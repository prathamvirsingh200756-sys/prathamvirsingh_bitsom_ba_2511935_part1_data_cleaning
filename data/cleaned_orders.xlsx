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vir Singh\OneDrive\Documents\"/>
    </mc:Choice>
  </mc:AlternateContent>
  <xr:revisionPtr revIDLastSave="0" documentId="8_{CA16380F-9222-41BC-91C1-E4D1B218A2BB}" xr6:coauthVersionLast="47" xr6:coauthVersionMax="47" xr10:uidLastSave="{00000000-0000-0000-0000-000000000000}"/>
  <bookViews>
    <workbookView xWindow="-108" yWindow="-108" windowWidth="23256" windowHeight="12456" activeTab="1" xr2:uid="{3E0FE4E9-FA9F-4F08-8B6C-F129ECCE017C}"/>
  </bookViews>
  <sheets>
    <sheet name="raw_orders" sheetId="2" r:id="rId1"/>
    <sheet name="Sheet1" sheetId="1" r:id="rId2"/>
  </sheets>
  <externalReferences>
    <externalReference r:id="rId3"/>
  </externalReferences>
  <definedNames>
    <definedName name="ExternalData_1" localSheetId="0" hidden="1">'raw_orders'!$A$1:$U$933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U3" i="1"/>
  <c r="V3" i="1"/>
  <c r="W3" i="1"/>
  <c r="X3" i="1"/>
  <c r="U4" i="1"/>
  <c r="V4" i="1" s="1"/>
  <c r="W4" i="1" s="1"/>
  <c r="X4" i="1"/>
  <c r="U5" i="1"/>
  <c r="V5" i="1"/>
  <c r="W5" i="1" s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 s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 s="1"/>
  <c r="X13" i="1"/>
  <c r="U14" i="1"/>
  <c r="V14" i="1" s="1"/>
  <c r="W14" i="1" s="1"/>
  <c r="X14" i="1"/>
  <c r="U15" i="1"/>
  <c r="V15" i="1"/>
  <c r="W15" i="1"/>
  <c r="X15" i="1"/>
  <c r="U16" i="1"/>
  <c r="V16" i="1"/>
  <c r="W16" i="1"/>
  <c r="X16" i="1"/>
  <c r="U17" i="1"/>
  <c r="V17" i="1"/>
  <c r="W17" i="1" s="1"/>
  <c r="X17" i="1"/>
  <c r="U18" i="1"/>
  <c r="V18" i="1"/>
  <c r="W18" i="1" s="1"/>
  <c r="X18" i="1"/>
  <c r="U19" i="1"/>
  <c r="V19" i="1"/>
  <c r="W19" i="1"/>
  <c r="X19" i="1"/>
  <c r="U20" i="1"/>
  <c r="V20" i="1"/>
  <c r="W20" i="1"/>
  <c r="X20" i="1"/>
  <c r="U21" i="1"/>
  <c r="V21" i="1"/>
  <c r="W21" i="1" s="1"/>
  <c r="X21" i="1"/>
  <c r="U22" i="1"/>
  <c r="V22" i="1" s="1"/>
  <c r="W22" i="1" s="1"/>
  <c r="X22" i="1"/>
  <c r="U23" i="1"/>
  <c r="V23" i="1"/>
  <c r="W23" i="1"/>
  <c r="X23" i="1"/>
  <c r="U24" i="1"/>
  <c r="V24" i="1"/>
  <c r="W24" i="1"/>
  <c r="X24" i="1"/>
  <c r="U25" i="1"/>
  <c r="V25" i="1"/>
  <c r="W25" i="1" s="1"/>
  <c r="X25" i="1"/>
  <c r="U26" i="1"/>
  <c r="V26" i="1" s="1"/>
  <c r="W26" i="1" s="1"/>
  <c r="X26" i="1"/>
  <c r="U27" i="1"/>
  <c r="V27" i="1"/>
  <c r="W27" i="1"/>
  <c r="X27" i="1"/>
  <c r="U28" i="1"/>
  <c r="V28" i="1"/>
  <c r="W28" i="1"/>
  <c r="X28" i="1"/>
  <c r="U29" i="1"/>
  <c r="V29" i="1"/>
  <c r="W29" i="1" s="1"/>
  <c r="X29" i="1"/>
  <c r="U30" i="1"/>
  <c r="V30" i="1"/>
  <c r="W30" i="1" s="1"/>
  <c r="X30" i="1"/>
  <c r="U31" i="1"/>
  <c r="V31" i="1"/>
  <c r="W31" i="1" s="1"/>
  <c r="X31" i="1"/>
  <c r="U32" i="1"/>
  <c r="V32" i="1"/>
  <c r="W32" i="1"/>
  <c r="X32" i="1"/>
  <c r="U33" i="1"/>
  <c r="V33" i="1"/>
  <c r="W33" i="1" s="1"/>
  <c r="X33" i="1"/>
  <c r="U34" i="1"/>
  <c r="V34" i="1"/>
  <c r="W34" i="1"/>
  <c r="X34" i="1"/>
  <c r="U35" i="1"/>
  <c r="V35" i="1"/>
  <c r="W35" i="1" s="1"/>
  <c r="X35" i="1"/>
  <c r="U36" i="1"/>
  <c r="V36" i="1"/>
  <c r="W36" i="1"/>
  <c r="X36" i="1"/>
  <c r="U37" i="1"/>
  <c r="V37" i="1"/>
  <c r="W37" i="1" s="1"/>
  <c r="X37" i="1"/>
  <c r="U38" i="1"/>
  <c r="V38" i="1" s="1"/>
  <c r="W38" i="1" s="1"/>
  <c r="X38" i="1"/>
  <c r="U39" i="1"/>
  <c r="V39" i="1"/>
  <c r="W39" i="1" s="1"/>
  <c r="X39" i="1"/>
  <c r="U40" i="1"/>
  <c r="V40" i="1"/>
  <c r="W40" i="1"/>
  <c r="X40" i="1"/>
  <c r="U41" i="1"/>
  <c r="V41" i="1" s="1"/>
  <c r="W41" i="1" s="1"/>
  <c r="X41" i="1"/>
  <c r="U42" i="1"/>
  <c r="V42" i="1" s="1"/>
  <c r="W42" i="1" s="1"/>
  <c r="X42" i="1"/>
  <c r="U43" i="1"/>
  <c r="V43" i="1"/>
  <c r="W43" i="1" s="1"/>
  <c r="X43" i="1"/>
  <c r="U44" i="1"/>
  <c r="V44" i="1"/>
  <c r="W44" i="1"/>
  <c r="X44" i="1"/>
  <c r="U45" i="1"/>
  <c r="V45" i="1" s="1"/>
  <c r="W45" i="1" s="1"/>
  <c r="X45" i="1"/>
  <c r="U46" i="1"/>
  <c r="V46" i="1"/>
  <c r="W46" i="1"/>
  <c r="X46" i="1"/>
  <c r="U47" i="1"/>
  <c r="V47" i="1"/>
  <c r="W47" i="1" s="1"/>
  <c r="X47" i="1"/>
  <c r="U48" i="1"/>
  <c r="V48" i="1"/>
  <c r="W48" i="1"/>
  <c r="X48" i="1"/>
  <c r="U49" i="1"/>
  <c r="V49" i="1" s="1"/>
  <c r="W49" i="1" s="1"/>
  <c r="X49" i="1"/>
  <c r="U50" i="1"/>
  <c r="V50" i="1"/>
  <c r="W50" i="1" s="1"/>
  <c r="X50" i="1"/>
  <c r="U51" i="1"/>
  <c r="V51" i="1"/>
  <c r="W51" i="1" s="1"/>
  <c r="X51" i="1"/>
  <c r="U52" i="1"/>
  <c r="V52" i="1"/>
  <c r="W52" i="1"/>
  <c r="X52" i="1"/>
  <c r="U53" i="1"/>
  <c r="V53" i="1" s="1"/>
  <c r="W53" i="1" s="1"/>
  <c r="X53" i="1"/>
  <c r="U54" i="1"/>
  <c r="V54" i="1"/>
  <c r="W54" i="1" s="1"/>
  <c r="X54" i="1"/>
  <c r="U55" i="1"/>
  <c r="V55" i="1"/>
  <c r="W55" i="1" s="1"/>
  <c r="X55" i="1"/>
  <c r="U56" i="1"/>
  <c r="V56" i="1"/>
  <c r="W56" i="1"/>
  <c r="X56" i="1"/>
  <c r="U57" i="1"/>
  <c r="V57" i="1" s="1"/>
  <c r="W57" i="1" s="1"/>
  <c r="X57" i="1"/>
  <c r="U58" i="1"/>
  <c r="V58" i="1"/>
  <c r="W58" i="1"/>
  <c r="X58" i="1"/>
  <c r="U59" i="1"/>
  <c r="V59" i="1"/>
  <c r="W59" i="1" s="1"/>
  <c r="X59" i="1"/>
  <c r="U60" i="1"/>
  <c r="V60" i="1" s="1"/>
  <c r="W60" i="1" s="1"/>
  <c r="X60" i="1"/>
  <c r="U61" i="1"/>
  <c r="V61" i="1" s="1"/>
  <c r="W61" i="1" s="1"/>
  <c r="X61" i="1"/>
  <c r="U62" i="1"/>
  <c r="V62" i="1" s="1"/>
  <c r="W62" i="1" s="1"/>
  <c r="X62" i="1"/>
  <c r="U63" i="1"/>
  <c r="V63" i="1"/>
  <c r="W63" i="1" s="1"/>
  <c r="X63" i="1"/>
  <c r="U64" i="1"/>
  <c r="V64" i="1" s="1"/>
  <c r="W64" i="1" s="1"/>
  <c r="X64" i="1"/>
  <c r="U65" i="1"/>
  <c r="V65" i="1" s="1"/>
  <c r="W65" i="1" s="1"/>
  <c r="X65" i="1"/>
  <c r="U66" i="1"/>
  <c r="V66" i="1"/>
  <c r="W66" i="1" s="1"/>
  <c r="X66" i="1"/>
  <c r="U67" i="1"/>
  <c r="V67" i="1"/>
  <c r="W67" i="1" s="1"/>
  <c r="X67" i="1"/>
  <c r="U68" i="1"/>
  <c r="V68" i="1" s="1"/>
  <c r="W68" i="1" s="1"/>
  <c r="X68" i="1"/>
  <c r="U69" i="1"/>
  <c r="V69" i="1" s="1"/>
  <c r="W69" i="1" s="1"/>
  <c r="X69" i="1"/>
  <c r="U70" i="1"/>
  <c r="V70" i="1"/>
  <c r="W70" i="1"/>
  <c r="X70" i="1"/>
  <c r="U71" i="1"/>
  <c r="V71" i="1"/>
  <c r="W71" i="1" s="1"/>
  <c r="X71" i="1"/>
  <c r="U72" i="1"/>
  <c r="V72" i="1" s="1"/>
  <c r="W72" i="1" s="1"/>
  <c r="X72" i="1"/>
  <c r="U73" i="1"/>
  <c r="V73" i="1" s="1"/>
  <c r="W73" i="1" s="1"/>
  <c r="X73" i="1"/>
  <c r="U74" i="1"/>
  <c r="V74" i="1" s="1"/>
  <c r="W74" i="1"/>
  <c r="X74" i="1"/>
  <c r="U75" i="1"/>
  <c r="V75" i="1"/>
  <c r="W75" i="1" s="1"/>
  <c r="X75" i="1"/>
  <c r="U76" i="1"/>
  <c r="V76" i="1" s="1"/>
  <c r="W76" i="1" s="1"/>
  <c r="X76" i="1"/>
  <c r="U77" i="1"/>
  <c r="V77" i="1" s="1"/>
  <c r="W77" i="1" s="1"/>
  <c r="X77" i="1"/>
  <c r="U78" i="1"/>
  <c r="V78" i="1" s="1"/>
  <c r="W78" i="1" s="1"/>
  <c r="X78" i="1"/>
  <c r="U79" i="1"/>
  <c r="V79" i="1"/>
  <c r="W79" i="1" s="1"/>
  <c r="X79" i="1"/>
  <c r="U80" i="1"/>
  <c r="V80" i="1" s="1"/>
  <c r="W80" i="1" s="1"/>
  <c r="X80" i="1"/>
  <c r="U81" i="1"/>
  <c r="V81" i="1" s="1"/>
  <c r="W81" i="1" s="1"/>
  <c r="X81" i="1"/>
  <c r="U82" i="1"/>
  <c r="V82" i="1"/>
  <c r="W82" i="1"/>
  <c r="X82" i="1"/>
  <c r="U83" i="1"/>
  <c r="V83" i="1"/>
  <c r="W83" i="1" s="1"/>
  <c r="X83" i="1"/>
  <c r="U84" i="1"/>
  <c r="V84" i="1" s="1"/>
  <c r="W84" i="1" s="1"/>
  <c r="X84" i="1"/>
  <c r="U85" i="1"/>
  <c r="V85" i="1" s="1"/>
  <c r="W85" i="1" s="1"/>
  <c r="X85" i="1"/>
  <c r="U86" i="1"/>
  <c r="V86" i="1"/>
  <c r="W86" i="1" s="1"/>
  <c r="X86" i="1"/>
  <c r="U87" i="1"/>
  <c r="V87" i="1"/>
  <c r="W87" i="1" s="1"/>
  <c r="X87" i="1"/>
  <c r="U88" i="1"/>
  <c r="V88" i="1" s="1"/>
  <c r="W88" i="1" s="1"/>
  <c r="X88" i="1"/>
  <c r="U89" i="1"/>
  <c r="V89" i="1" s="1"/>
  <c r="W89" i="1" s="1"/>
  <c r="X89" i="1"/>
  <c r="U90" i="1"/>
  <c r="V90" i="1"/>
  <c r="W90" i="1"/>
  <c r="X90" i="1"/>
  <c r="U91" i="1"/>
  <c r="V91" i="1"/>
  <c r="W91" i="1" s="1"/>
  <c r="X91" i="1"/>
  <c r="U92" i="1"/>
  <c r="V92" i="1" s="1"/>
  <c r="W92" i="1" s="1"/>
  <c r="X92" i="1"/>
  <c r="U93" i="1"/>
  <c r="V93" i="1" s="1"/>
  <c r="W93" i="1" s="1"/>
  <c r="X93" i="1"/>
  <c r="U94" i="1"/>
  <c r="V94" i="1"/>
  <c r="W94" i="1" s="1"/>
  <c r="X94" i="1"/>
  <c r="U95" i="1"/>
  <c r="V95" i="1"/>
  <c r="W95" i="1" s="1"/>
  <c r="X95" i="1"/>
  <c r="U96" i="1"/>
  <c r="V96" i="1" s="1"/>
  <c r="W96" i="1" s="1"/>
  <c r="X96" i="1"/>
  <c r="U97" i="1"/>
  <c r="V97" i="1" s="1"/>
  <c r="W97" i="1" s="1"/>
  <c r="X97" i="1"/>
  <c r="U98" i="1"/>
  <c r="V98" i="1" s="1"/>
  <c r="W98" i="1" s="1"/>
  <c r="X98" i="1"/>
  <c r="U99" i="1"/>
  <c r="V99" i="1"/>
  <c r="W99" i="1" s="1"/>
  <c r="X99" i="1"/>
  <c r="U100" i="1"/>
  <c r="V100" i="1" s="1"/>
  <c r="W100" i="1" s="1"/>
  <c r="X100" i="1"/>
  <c r="U101" i="1"/>
  <c r="V101" i="1" s="1"/>
  <c r="W101" i="1" s="1"/>
  <c r="X101" i="1"/>
  <c r="U102" i="1"/>
  <c r="V102" i="1"/>
  <c r="W102" i="1"/>
  <c r="X102" i="1"/>
  <c r="U103" i="1"/>
  <c r="V103" i="1"/>
  <c r="W103" i="1" s="1"/>
  <c r="X103" i="1"/>
  <c r="U104" i="1"/>
  <c r="V104" i="1" s="1"/>
  <c r="W104" i="1" s="1"/>
  <c r="X104" i="1"/>
  <c r="U105" i="1"/>
  <c r="V105" i="1" s="1"/>
  <c r="W105" i="1" s="1"/>
  <c r="X105" i="1"/>
  <c r="U106" i="1"/>
  <c r="V106" i="1" s="1"/>
  <c r="W106" i="1" s="1"/>
  <c r="X106" i="1"/>
  <c r="U107" i="1"/>
  <c r="V107" i="1"/>
  <c r="W107" i="1" s="1"/>
  <c r="X107" i="1"/>
  <c r="U108" i="1"/>
  <c r="V108" i="1" s="1"/>
  <c r="W108" i="1" s="1"/>
  <c r="X108" i="1"/>
  <c r="U109" i="1"/>
  <c r="V109" i="1" s="1"/>
  <c r="W109" i="1" s="1"/>
  <c r="X109" i="1"/>
  <c r="U110" i="1"/>
  <c r="V110" i="1" s="1"/>
  <c r="W110" i="1" s="1"/>
  <c r="X110" i="1"/>
  <c r="U111" i="1"/>
  <c r="V111" i="1"/>
  <c r="W111" i="1" s="1"/>
  <c r="X111" i="1"/>
  <c r="U112" i="1"/>
  <c r="V112" i="1" s="1"/>
  <c r="W112" i="1" s="1"/>
  <c r="X112" i="1"/>
  <c r="U113" i="1"/>
  <c r="V113" i="1" s="1"/>
  <c r="W113" i="1" s="1"/>
  <c r="X113" i="1"/>
  <c r="U114" i="1"/>
  <c r="V114" i="1"/>
  <c r="W114" i="1" s="1"/>
  <c r="X114" i="1"/>
  <c r="U115" i="1"/>
  <c r="V115" i="1"/>
  <c r="W115" i="1" s="1"/>
  <c r="X115" i="1"/>
  <c r="U116" i="1"/>
  <c r="V116" i="1" s="1"/>
  <c r="W116" i="1" s="1"/>
  <c r="X116" i="1"/>
  <c r="U117" i="1"/>
  <c r="V117" i="1" s="1"/>
  <c r="W117" i="1" s="1"/>
  <c r="X117" i="1"/>
  <c r="U118" i="1"/>
  <c r="V118" i="1"/>
  <c r="W118" i="1" s="1"/>
  <c r="X118" i="1"/>
  <c r="U119" i="1"/>
  <c r="V119" i="1"/>
  <c r="W119" i="1" s="1"/>
  <c r="X119" i="1"/>
  <c r="U120" i="1"/>
  <c r="V120" i="1" s="1"/>
  <c r="W120" i="1" s="1"/>
  <c r="X120" i="1"/>
  <c r="U121" i="1"/>
  <c r="V121" i="1" s="1"/>
  <c r="W121" i="1" s="1"/>
  <c r="X121" i="1"/>
  <c r="U122" i="1"/>
  <c r="V122" i="1"/>
  <c r="W122" i="1"/>
  <c r="X122" i="1"/>
  <c r="U123" i="1"/>
  <c r="V123" i="1" s="1"/>
  <c r="W123" i="1" s="1"/>
  <c r="X123" i="1"/>
  <c r="U124" i="1"/>
  <c r="V124" i="1" s="1"/>
  <c r="W124" i="1" s="1"/>
  <c r="X124" i="1"/>
  <c r="U125" i="1"/>
  <c r="V125" i="1" s="1"/>
  <c r="W125" i="1" s="1"/>
  <c r="X125" i="1"/>
  <c r="U126" i="1"/>
  <c r="V126" i="1" s="1"/>
  <c r="W126" i="1" s="1"/>
  <c r="X126" i="1"/>
  <c r="U127" i="1"/>
  <c r="V127" i="1" s="1"/>
  <c r="W127" i="1" s="1"/>
  <c r="X127" i="1"/>
  <c r="U128" i="1"/>
  <c r="V128" i="1" s="1"/>
  <c r="W128" i="1" s="1"/>
  <c r="X128" i="1"/>
  <c r="U129" i="1"/>
  <c r="V129" i="1" s="1"/>
  <c r="W129" i="1" s="1"/>
  <c r="X129" i="1"/>
  <c r="U130" i="1"/>
  <c r="V130" i="1" s="1"/>
  <c r="W130" i="1" s="1"/>
  <c r="X130" i="1"/>
  <c r="U131" i="1"/>
  <c r="V131" i="1"/>
  <c r="W131" i="1" s="1"/>
  <c r="X131" i="1"/>
  <c r="U132" i="1"/>
  <c r="V132" i="1" s="1"/>
  <c r="W132" i="1" s="1"/>
  <c r="X132" i="1"/>
  <c r="U133" i="1"/>
  <c r="V133" i="1" s="1"/>
  <c r="W133" i="1" s="1"/>
  <c r="X133" i="1"/>
  <c r="U134" i="1"/>
  <c r="V134" i="1"/>
  <c r="W134" i="1"/>
  <c r="X134" i="1"/>
  <c r="U135" i="1"/>
  <c r="V135" i="1"/>
  <c r="W135" i="1" s="1"/>
  <c r="X135" i="1"/>
  <c r="U136" i="1"/>
  <c r="V136" i="1" s="1"/>
  <c r="W136" i="1" s="1"/>
  <c r="X136" i="1"/>
  <c r="U137" i="1"/>
  <c r="V137" i="1" s="1"/>
  <c r="W137" i="1" s="1"/>
  <c r="X137" i="1"/>
  <c r="U138" i="1"/>
  <c r="V138" i="1" s="1"/>
  <c r="W138" i="1"/>
  <c r="X138" i="1"/>
  <c r="U139" i="1"/>
  <c r="V139" i="1"/>
  <c r="W139" i="1" s="1"/>
  <c r="X139" i="1"/>
  <c r="U140" i="1"/>
  <c r="V140" i="1" s="1"/>
  <c r="W140" i="1" s="1"/>
  <c r="X140" i="1"/>
  <c r="U141" i="1"/>
  <c r="V141" i="1" s="1"/>
  <c r="W141" i="1" s="1"/>
  <c r="X141" i="1"/>
  <c r="U142" i="1"/>
  <c r="V142" i="1" s="1"/>
  <c r="W142" i="1" s="1"/>
  <c r="X142" i="1"/>
  <c r="U143" i="1"/>
  <c r="V143" i="1" s="1"/>
  <c r="W143" i="1" s="1"/>
  <c r="X143" i="1"/>
  <c r="U144" i="1"/>
  <c r="V144" i="1" s="1"/>
  <c r="W144" i="1" s="1"/>
  <c r="X144" i="1"/>
  <c r="U145" i="1"/>
  <c r="V145" i="1" s="1"/>
  <c r="W145" i="1" s="1"/>
  <c r="X145" i="1"/>
  <c r="U146" i="1"/>
  <c r="V146" i="1"/>
  <c r="W146" i="1"/>
  <c r="X146" i="1"/>
  <c r="U147" i="1"/>
  <c r="V147" i="1" s="1"/>
  <c r="W147" i="1" s="1"/>
  <c r="X147" i="1"/>
  <c r="U148" i="1"/>
  <c r="V148" i="1" s="1"/>
  <c r="W148" i="1" s="1"/>
  <c r="X148" i="1"/>
  <c r="U149" i="1"/>
  <c r="V149" i="1" s="1"/>
  <c r="W149" i="1" s="1"/>
  <c r="X149" i="1"/>
  <c r="U150" i="1"/>
  <c r="V150" i="1"/>
  <c r="W150" i="1" s="1"/>
  <c r="X150" i="1"/>
  <c r="U151" i="1"/>
  <c r="V151" i="1"/>
  <c r="W151" i="1" s="1"/>
  <c r="X151" i="1"/>
  <c r="U152" i="1"/>
  <c r="V152" i="1" s="1"/>
  <c r="W152" i="1" s="1"/>
  <c r="X152" i="1"/>
  <c r="U153" i="1"/>
  <c r="V153" i="1" s="1"/>
  <c r="W153" i="1" s="1"/>
  <c r="X153" i="1"/>
  <c r="U154" i="1"/>
  <c r="V154" i="1"/>
  <c r="W154" i="1"/>
  <c r="X154" i="1"/>
  <c r="U155" i="1"/>
  <c r="V155" i="1" s="1"/>
  <c r="W155" i="1" s="1"/>
  <c r="X155" i="1"/>
  <c r="U156" i="1"/>
  <c r="V156" i="1" s="1"/>
  <c r="W156" i="1" s="1"/>
  <c r="X156" i="1"/>
  <c r="U157" i="1"/>
  <c r="V157" i="1" s="1"/>
  <c r="W157" i="1" s="1"/>
  <c r="X157" i="1"/>
  <c r="U158" i="1"/>
  <c r="V158" i="1"/>
  <c r="W158" i="1" s="1"/>
  <c r="X158" i="1"/>
  <c r="U159" i="1"/>
  <c r="V159" i="1" s="1"/>
  <c r="W159" i="1" s="1"/>
  <c r="X159" i="1"/>
  <c r="U160" i="1"/>
  <c r="V160" i="1" s="1"/>
  <c r="W160" i="1" s="1"/>
  <c r="X160" i="1"/>
  <c r="U161" i="1"/>
  <c r="V161" i="1" s="1"/>
  <c r="W161" i="1" s="1"/>
  <c r="X161" i="1"/>
  <c r="U162" i="1"/>
  <c r="V162" i="1" s="1"/>
  <c r="W162" i="1" s="1"/>
  <c r="X162" i="1"/>
  <c r="U163" i="1"/>
  <c r="V163" i="1"/>
  <c r="W163" i="1" s="1"/>
  <c r="X163" i="1"/>
  <c r="U164" i="1"/>
  <c r="V164" i="1" s="1"/>
  <c r="W164" i="1" s="1"/>
  <c r="X164" i="1"/>
  <c r="U165" i="1"/>
  <c r="V165" i="1" s="1"/>
  <c r="W165" i="1" s="1"/>
  <c r="X165" i="1"/>
  <c r="U166" i="1"/>
  <c r="V166" i="1"/>
  <c r="W166" i="1"/>
  <c r="X166" i="1"/>
  <c r="U167" i="1"/>
  <c r="V167" i="1"/>
  <c r="W167" i="1" s="1"/>
  <c r="X167" i="1"/>
  <c r="U168" i="1"/>
  <c r="V168" i="1" s="1"/>
  <c r="W168" i="1" s="1"/>
  <c r="X168" i="1"/>
  <c r="U169" i="1"/>
  <c r="V169" i="1" s="1"/>
  <c r="W169" i="1" s="1"/>
  <c r="X169" i="1"/>
  <c r="U170" i="1"/>
  <c r="V170" i="1" s="1"/>
  <c r="W170" i="1" s="1"/>
  <c r="X170" i="1"/>
  <c r="U171" i="1"/>
  <c r="V171" i="1"/>
  <c r="W171" i="1" s="1"/>
  <c r="X171" i="1"/>
  <c r="U172" i="1"/>
  <c r="V172" i="1" s="1"/>
  <c r="W172" i="1" s="1"/>
  <c r="X172" i="1"/>
  <c r="U173" i="1"/>
  <c r="V173" i="1" s="1"/>
  <c r="W173" i="1" s="1"/>
  <c r="X173" i="1"/>
  <c r="U174" i="1"/>
  <c r="V174" i="1" s="1"/>
  <c r="W174" i="1" s="1"/>
  <c r="X174" i="1"/>
  <c r="U175" i="1"/>
  <c r="V175" i="1"/>
  <c r="W175" i="1" s="1"/>
  <c r="X175" i="1"/>
  <c r="U176" i="1"/>
  <c r="V176" i="1" s="1"/>
  <c r="W176" i="1" s="1"/>
  <c r="X176" i="1"/>
  <c r="U177" i="1"/>
  <c r="V177" i="1" s="1"/>
  <c r="W177" i="1" s="1"/>
  <c r="X177" i="1"/>
  <c r="U178" i="1"/>
  <c r="V178" i="1"/>
  <c r="W178" i="1" s="1"/>
  <c r="X178" i="1"/>
  <c r="U179" i="1"/>
  <c r="V179" i="1" s="1"/>
  <c r="W179" i="1" s="1"/>
  <c r="X179" i="1"/>
  <c r="U180" i="1"/>
  <c r="V180" i="1" s="1"/>
  <c r="W180" i="1" s="1"/>
  <c r="X180" i="1"/>
  <c r="U181" i="1"/>
  <c r="V181" i="1" s="1"/>
  <c r="W181" i="1" s="1"/>
  <c r="X181" i="1"/>
  <c r="U182" i="1"/>
  <c r="V182" i="1"/>
  <c r="W182" i="1" s="1"/>
  <c r="X182" i="1"/>
  <c r="U183" i="1"/>
  <c r="V183" i="1"/>
  <c r="W183" i="1" s="1"/>
  <c r="X183" i="1"/>
  <c r="U184" i="1"/>
  <c r="V184" i="1" s="1"/>
  <c r="W184" i="1" s="1"/>
  <c r="X184" i="1"/>
  <c r="U185" i="1"/>
  <c r="V185" i="1" s="1"/>
  <c r="W185" i="1" s="1"/>
  <c r="X185" i="1"/>
  <c r="U186" i="1"/>
  <c r="V186" i="1"/>
  <c r="W186" i="1"/>
  <c r="X186" i="1"/>
  <c r="U187" i="1"/>
  <c r="V187" i="1" s="1"/>
  <c r="W187" i="1" s="1"/>
  <c r="X187" i="1"/>
  <c r="U188" i="1"/>
  <c r="V188" i="1" s="1"/>
  <c r="W188" i="1" s="1"/>
  <c r="X188" i="1"/>
  <c r="U189" i="1"/>
  <c r="V189" i="1" s="1"/>
  <c r="W189" i="1" s="1"/>
  <c r="X189" i="1"/>
  <c r="U190" i="1"/>
  <c r="V190" i="1" s="1"/>
  <c r="W190" i="1" s="1"/>
  <c r="X190" i="1"/>
  <c r="U191" i="1"/>
  <c r="V191" i="1" s="1"/>
  <c r="W191" i="1" s="1"/>
  <c r="X191" i="1"/>
  <c r="U192" i="1"/>
  <c r="V192" i="1" s="1"/>
  <c r="W192" i="1" s="1"/>
  <c r="X192" i="1"/>
  <c r="U193" i="1"/>
  <c r="V193" i="1" s="1"/>
  <c r="W193" i="1" s="1"/>
  <c r="X193" i="1"/>
  <c r="U194" i="1"/>
  <c r="V194" i="1" s="1"/>
  <c r="W194" i="1" s="1"/>
  <c r="X194" i="1"/>
  <c r="U195" i="1"/>
  <c r="V195" i="1"/>
  <c r="W195" i="1" s="1"/>
  <c r="X195" i="1"/>
  <c r="U196" i="1"/>
  <c r="V196" i="1" s="1"/>
  <c r="W196" i="1" s="1"/>
  <c r="X196" i="1"/>
  <c r="U197" i="1"/>
  <c r="V197" i="1" s="1"/>
  <c r="W197" i="1" s="1"/>
  <c r="X197" i="1"/>
  <c r="U198" i="1"/>
  <c r="V198" i="1"/>
  <c r="W198" i="1"/>
  <c r="X198" i="1"/>
  <c r="U199" i="1"/>
  <c r="V199" i="1"/>
  <c r="W199" i="1" s="1"/>
  <c r="X199" i="1"/>
  <c r="U200" i="1"/>
  <c r="V200" i="1" s="1"/>
  <c r="W200" i="1" s="1"/>
  <c r="X200" i="1"/>
  <c r="U201" i="1"/>
  <c r="V201" i="1" s="1"/>
  <c r="W201" i="1" s="1"/>
  <c r="X201" i="1"/>
  <c r="U202" i="1"/>
  <c r="V202" i="1" s="1"/>
  <c r="W202" i="1"/>
  <c r="X202" i="1"/>
  <c r="U203" i="1"/>
  <c r="V203" i="1"/>
  <c r="W203" i="1" s="1"/>
  <c r="X203" i="1"/>
  <c r="U204" i="1"/>
  <c r="V204" i="1" s="1"/>
  <c r="W204" i="1" s="1"/>
  <c r="X204" i="1"/>
  <c r="U205" i="1"/>
  <c r="V205" i="1" s="1"/>
  <c r="W205" i="1" s="1"/>
  <c r="X205" i="1"/>
  <c r="U206" i="1"/>
  <c r="V206" i="1" s="1"/>
  <c r="W206" i="1" s="1"/>
  <c r="X206" i="1"/>
  <c r="U207" i="1"/>
  <c r="V207" i="1" s="1"/>
  <c r="W207" i="1" s="1"/>
  <c r="X207" i="1"/>
  <c r="U208" i="1"/>
  <c r="V208" i="1" s="1"/>
  <c r="W208" i="1" s="1"/>
  <c r="X208" i="1"/>
  <c r="U209" i="1"/>
  <c r="V209" i="1" s="1"/>
  <c r="W209" i="1" s="1"/>
  <c r="X209" i="1"/>
  <c r="U210" i="1"/>
  <c r="V210" i="1"/>
  <c r="W210" i="1"/>
  <c r="X210" i="1"/>
  <c r="U211" i="1"/>
  <c r="V211" i="1" s="1"/>
  <c r="W211" i="1" s="1"/>
  <c r="X211" i="1"/>
  <c r="U212" i="1"/>
  <c r="V212" i="1" s="1"/>
  <c r="W212" i="1" s="1"/>
  <c r="X212" i="1"/>
  <c r="U213" i="1"/>
  <c r="V213" i="1" s="1"/>
  <c r="W213" i="1" s="1"/>
  <c r="X213" i="1"/>
  <c r="U214" i="1"/>
  <c r="V214" i="1" s="1"/>
  <c r="W214" i="1" s="1"/>
  <c r="X214" i="1"/>
  <c r="U215" i="1"/>
  <c r="V215" i="1"/>
  <c r="W215" i="1" s="1"/>
  <c r="X215" i="1"/>
  <c r="U216" i="1"/>
  <c r="V216" i="1" s="1"/>
  <c r="W216" i="1" s="1"/>
  <c r="X216" i="1"/>
  <c r="U217" i="1"/>
  <c r="V217" i="1" s="1"/>
  <c r="W217" i="1" s="1"/>
  <c r="X217" i="1"/>
  <c r="U218" i="1"/>
  <c r="V218" i="1" s="1"/>
  <c r="W218" i="1" s="1"/>
  <c r="X218" i="1"/>
  <c r="U219" i="1"/>
  <c r="V219" i="1" s="1"/>
  <c r="W219" i="1" s="1"/>
  <c r="X219" i="1"/>
  <c r="U220" i="1"/>
  <c r="V220" i="1" s="1"/>
  <c r="W220" i="1" s="1"/>
  <c r="X220" i="1"/>
  <c r="U221" i="1"/>
  <c r="V221" i="1" s="1"/>
  <c r="W221" i="1" s="1"/>
  <c r="X221" i="1"/>
  <c r="U222" i="1"/>
  <c r="V222" i="1" s="1"/>
  <c r="W222" i="1" s="1"/>
  <c r="X222" i="1"/>
  <c r="U223" i="1"/>
  <c r="V223" i="1" s="1"/>
  <c r="W223" i="1" s="1"/>
  <c r="X223" i="1"/>
  <c r="U224" i="1"/>
  <c r="V224" i="1" s="1"/>
  <c r="W224" i="1" s="1"/>
  <c r="X224" i="1"/>
  <c r="U225" i="1"/>
  <c r="V225" i="1" s="1"/>
  <c r="W225" i="1" s="1"/>
  <c r="X225" i="1"/>
  <c r="U226" i="1"/>
  <c r="V226" i="1" s="1"/>
  <c r="W226" i="1" s="1"/>
  <c r="X226" i="1"/>
  <c r="U227" i="1"/>
  <c r="V227" i="1" s="1"/>
  <c r="W227" i="1" s="1"/>
  <c r="X227" i="1"/>
  <c r="U228" i="1"/>
  <c r="V228" i="1" s="1"/>
  <c r="W228" i="1" s="1"/>
  <c r="X228" i="1"/>
  <c r="U229" i="1"/>
  <c r="V229" i="1" s="1"/>
  <c r="W229" i="1" s="1"/>
  <c r="X229" i="1"/>
  <c r="U230" i="1"/>
  <c r="V230" i="1" s="1"/>
  <c r="W230" i="1" s="1"/>
  <c r="X230" i="1"/>
  <c r="U231" i="1"/>
  <c r="V231" i="1" s="1"/>
  <c r="W231" i="1" s="1"/>
  <c r="X231" i="1"/>
  <c r="U232" i="1"/>
  <c r="V232" i="1" s="1"/>
  <c r="W232" i="1" s="1"/>
  <c r="X232" i="1"/>
  <c r="U233" i="1"/>
  <c r="V233" i="1"/>
  <c r="W233" i="1" s="1"/>
  <c r="X233" i="1"/>
  <c r="U234" i="1"/>
  <c r="V234" i="1" s="1"/>
  <c r="W234" i="1" s="1"/>
  <c r="X234" i="1"/>
  <c r="U235" i="1"/>
  <c r="V235" i="1" s="1"/>
  <c r="W235" i="1" s="1"/>
  <c r="X235" i="1"/>
  <c r="U236" i="1"/>
  <c r="V236" i="1" s="1"/>
  <c r="W236" i="1" s="1"/>
  <c r="X236" i="1"/>
  <c r="U237" i="1"/>
  <c r="V237" i="1"/>
  <c r="W237" i="1" s="1"/>
  <c r="X237" i="1"/>
  <c r="U238" i="1"/>
  <c r="V238" i="1"/>
  <c r="W238" i="1"/>
  <c r="X238" i="1"/>
  <c r="U239" i="1"/>
  <c r="V239" i="1" s="1"/>
  <c r="W239" i="1" s="1"/>
  <c r="X239" i="1"/>
  <c r="U240" i="1"/>
  <c r="V240" i="1" s="1"/>
  <c r="W240" i="1" s="1"/>
  <c r="X240" i="1"/>
  <c r="U241" i="1"/>
  <c r="V241" i="1" s="1"/>
  <c r="W241" i="1" s="1"/>
  <c r="X241" i="1"/>
  <c r="U242" i="1"/>
  <c r="V242" i="1"/>
  <c r="W242" i="1" s="1"/>
  <c r="X242" i="1"/>
  <c r="U243" i="1"/>
  <c r="V243" i="1"/>
  <c r="W243" i="1"/>
  <c r="X243" i="1"/>
  <c r="U244" i="1"/>
  <c r="V244" i="1" s="1"/>
  <c r="W244" i="1" s="1"/>
  <c r="X244" i="1"/>
  <c r="U245" i="1"/>
  <c r="V245" i="1" s="1"/>
  <c r="W245" i="1" s="1"/>
  <c r="X245" i="1"/>
  <c r="U246" i="1"/>
  <c r="V246" i="1"/>
  <c r="W246" i="1"/>
  <c r="X246" i="1"/>
  <c r="U247" i="1"/>
  <c r="V247" i="1" s="1"/>
  <c r="W247" i="1" s="1"/>
  <c r="X247" i="1"/>
  <c r="U248" i="1"/>
  <c r="V248" i="1" s="1"/>
  <c r="W248" i="1" s="1"/>
  <c r="X248" i="1"/>
  <c r="U249" i="1"/>
  <c r="V249" i="1" s="1"/>
  <c r="W249" i="1" s="1"/>
  <c r="X249" i="1"/>
  <c r="U250" i="1"/>
  <c r="V250" i="1" s="1"/>
  <c r="W250" i="1" s="1"/>
  <c r="X250" i="1"/>
  <c r="U251" i="1"/>
  <c r="V251" i="1" s="1"/>
  <c r="W251" i="1" s="1"/>
  <c r="X251" i="1"/>
  <c r="U252" i="1"/>
  <c r="V252" i="1" s="1"/>
  <c r="W252" i="1" s="1"/>
  <c r="X252" i="1"/>
  <c r="U253" i="1"/>
  <c r="V253" i="1"/>
  <c r="W253" i="1" s="1"/>
  <c r="X253" i="1"/>
  <c r="U254" i="1"/>
  <c r="V254" i="1"/>
  <c r="W254" i="1" s="1"/>
  <c r="X254" i="1"/>
  <c r="U255" i="1"/>
  <c r="V255" i="1"/>
  <c r="W255" i="1"/>
  <c r="X255" i="1"/>
  <c r="U256" i="1"/>
  <c r="V256" i="1" s="1"/>
  <c r="W256" i="1" s="1"/>
  <c r="X256" i="1"/>
  <c r="U257" i="1"/>
  <c r="V257" i="1" s="1"/>
  <c r="W257" i="1" s="1"/>
  <c r="X257" i="1"/>
  <c r="U258" i="1"/>
  <c r="V258" i="1"/>
  <c r="W258" i="1" s="1"/>
  <c r="X258" i="1"/>
  <c r="U259" i="1"/>
  <c r="V259" i="1"/>
  <c r="W259" i="1" s="1"/>
  <c r="X259" i="1"/>
  <c r="U260" i="1"/>
  <c r="V260" i="1" s="1"/>
  <c r="W260" i="1" s="1"/>
  <c r="X260" i="1"/>
  <c r="U261" i="1"/>
  <c r="V261" i="1" s="1"/>
  <c r="W261" i="1" s="1"/>
  <c r="X261" i="1"/>
  <c r="U262" i="1"/>
  <c r="V262" i="1" s="1"/>
  <c r="W262" i="1" s="1"/>
  <c r="X262" i="1"/>
  <c r="U263" i="1"/>
  <c r="V263" i="1" s="1"/>
  <c r="W263" i="1" s="1"/>
  <c r="X263" i="1"/>
  <c r="U264" i="1"/>
  <c r="V264" i="1" s="1"/>
  <c r="W264" i="1" s="1"/>
  <c r="X264" i="1"/>
  <c r="U265" i="1"/>
  <c r="V265" i="1"/>
  <c r="W265" i="1" s="1"/>
  <c r="X265" i="1"/>
  <c r="U266" i="1"/>
  <c r="V266" i="1" s="1"/>
  <c r="W266" i="1" s="1"/>
  <c r="X266" i="1"/>
  <c r="U267" i="1"/>
  <c r="V267" i="1" s="1"/>
  <c r="W267" i="1" s="1"/>
  <c r="X267" i="1"/>
  <c r="U268" i="1"/>
  <c r="V268" i="1" s="1"/>
  <c r="W268" i="1" s="1"/>
  <c r="X268" i="1"/>
  <c r="U269" i="1"/>
  <c r="V269" i="1" s="1"/>
  <c r="W269" i="1" s="1"/>
  <c r="X269" i="1"/>
  <c r="U270" i="1"/>
  <c r="V270" i="1"/>
  <c r="W270" i="1"/>
  <c r="X270" i="1"/>
  <c r="U271" i="1"/>
  <c r="V271" i="1" s="1"/>
  <c r="W271" i="1" s="1"/>
  <c r="X271" i="1"/>
  <c r="U272" i="1"/>
  <c r="V272" i="1" s="1"/>
  <c r="W272" i="1" s="1"/>
  <c r="X272" i="1"/>
  <c r="U273" i="1"/>
  <c r="V273" i="1"/>
  <c r="W273" i="1" s="1"/>
  <c r="X273" i="1"/>
  <c r="U274" i="1"/>
  <c r="V274" i="1" s="1"/>
  <c r="W274" i="1" s="1"/>
  <c r="X274" i="1"/>
  <c r="U275" i="1"/>
  <c r="V275" i="1"/>
  <c r="W275" i="1" s="1"/>
  <c r="X275" i="1"/>
  <c r="U276" i="1"/>
  <c r="V276" i="1" s="1"/>
  <c r="W276" i="1" s="1"/>
  <c r="X276" i="1"/>
  <c r="U277" i="1"/>
  <c r="V277" i="1" s="1"/>
  <c r="W277" i="1" s="1"/>
  <c r="X277" i="1"/>
  <c r="U278" i="1"/>
  <c r="V278" i="1"/>
  <c r="W278" i="1" s="1"/>
  <c r="X278" i="1"/>
  <c r="U279" i="1"/>
  <c r="V279" i="1" s="1"/>
  <c r="W279" i="1" s="1"/>
  <c r="X279" i="1"/>
  <c r="U280" i="1"/>
  <c r="V280" i="1" s="1"/>
  <c r="W280" i="1" s="1"/>
  <c r="X280" i="1"/>
  <c r="U281" i="1"/>
  <c r="V281" i="1"/>
  <c r="W281" i="1" s="1"/>
  <c r="X281" i="1"/>
  <c r="U282" i="1"/>
  <c r="V282" i="1" s="1"/>
  <c r="W282" i="1" s="1"/>
  <c r="X282" i="1"/>
  <c r="U283" i="1"/>
  <c r="V283" i="1"/>
  <c r="W283" i="1" s="1"/>
  <c r="X283" i="1"/>
  <c r="U284" i="1"/>
  <c r="V284" i="1" s="1"/>
  <c r="W284" i="1" s="1"/>
  <c r="X284" i="1"/>
  <c r="U285" i="1"/>
  <c r="V285" i="1"/>
  <c r="W285" i="1" s="1"/>
  <c r="X285" i="1"/>
  <c r="U286" i="1"/>
  <c r="V286" i="1"/>
  <c r="W286" i="1"/>
  <c r="X286" i="1"/>
  <c r="U287" i="1"/>
  <c r="V287" i="1"/>
  <c r="W287" i="1"/>
  <c r="X287" i="1"/>
  <c r="U288" i="1"/>
  <c r="V288" i="1" s="1"/>
  <c r="W288" i="1" s="1"/>
  <c r="X288" i="1"/>
  <c r="U289" i="1"/>
  <c r="V289" i="1" s="1"/>
  <c r="W289" i="1" s="1"/>
  <c r="X289" i="1"/>
  <c r="U290" i="1"/>
  <c r="V290" i="1"/>
  <c r="W290" i="1" s="1"/>
  <c r="X290" i="1"/>
  <c r="U291" i="1"/>
  <c r="V291" i="1"/>
  <c r="W291" i="1" s="1"/>
  <c r="X291" i="1"/>
  <c r="U292" i="1"/>
  <c r="V292" i="1" s="1"/>
  <c r="W292" i="1" s="1"/>
  <c r="X292" i="1"/>
  <c r="U293" i="1"/>
  <c r="V293" i="1"/>
  <c r="W293" i="1" s="1"/>
  <c r="X293" i="1"/>
  <c r="U294" i="1"/>
  <c r="V294" i="1" s="1"/>
  <c r="W294" i="1" s="1"/>
  <c r="X294" i="1"/>
  <c r="U295" i="1"/>
  <c r="V295" i="1"/>
  <c r="W295" i="1"/>
  <c r="X295" i="1"/>
  <c r="U296" i="1"/>
  <c r="V296" i="1" s="1"/>
  <c r="W296" i="1" s="1"/>
  <c r="X296" i="1"/>
  <c r="U297" i="1"/>
  <c r="V297" i="1"/>
  <c r="W297" i="1" s="1"/>
  <c r="X297" i="1"/>
  <c r="U298" i="1"/>
  <c r="V298" i="1"/>
  <c r="W298" i="1" s="1"/>
  <c r="X298" i="1"/>
  <c r="U299" i="1"/>
  <c r="V299" i="1"/>
  <c r="W299" i="1"/>
  <c r="X299" i="1"/>
  <c r="U300" i="1"/>
  <c r="V300" i="1" s="1"/>
  <c r="W300" i="1" s="1"/>
  <c r="X300" i="1"/>
  <c r="U301" i="1"/>
  <c r="V301" i="1" s="1"/>
  <c r="W301" i="1" s="1"/>
  <c r="X301" i="1"/>
  <c r="U302" i="1"/>
  <c r="V302" i="1"/>
  <c r="W302" i="1" s="1"/>
  <c r="X302" i="1"/>
  <c r="U303" i="1"/>
  <c r="V303" i="1" s="1"/>
  <c r="W303" i="1" s="1"/>
  <c r="X303" i="1"/>
  <c r="U304" i="1"/>
  <c r="V304" i="1" s="1"/>
  <c r="W304" i="1" s="1"/>
  <c r="X304" i="1"/>
  <c r="U305" i="1"/>
  <c r="V305" i="1"/>
  <c r="W305" i="1" s="1"/>
  <c r="X305" i="1"/>
  <c r="U306" i="1"/>
  <c r="V306" i="1"/>
  <c r="W306" i="1" s="1"/>
  <c r="X306" i="1"/>
  <c r="U307" i="1"/>
  <c r="V307" i="1"/>
  <c r="W307" i="1" s="1"/>
  <c r="X307" i="1"/>
  <c r="U308" i="1"/>
  <c r="V308" i="1" s="1"/>
  <c r="W308" i="1" s="1"/>
  <c r="X308" i="1"/>
  <c r="U309" i="1"/>
  <c r="V309" i="1"/>
  <c r="W309" i="1" s="1"/>
  <c r="X309" i="1"/>
  <c r="U310" i="1"/>
  <c r="V310" i="1" s="1"/>
  <c r="W310" i="1"/>
  <c r="X310" i="1"/>
  <c r="U311" i="1"/>
  <c r="V311" i="1"/>
  <c r="W311" i="1" s="1"/>
  <c r="X311" i="1"/>
  <c r="U312" i="1"/>
  <c r="V312" i="1" s="1"/>
  <c r="W312" i="1" s="1"/>
  <c r="X312" i="1"/>
  <c r="U313" i="1"/>
  <c r="V313" i="1"/>
  <c r="W313" i="1"/>
  <c r="X313" i="1"/>
  <c r="U314" i="1"/>
  <c r="V314" i="1" s="1"/>
  <c r="W314" i="1" s="1"/>
  <c r="X314" i="1"/>
  <c r="U315" i="1"/>
  <c r="V315" i="1"/>
  <c r="W315" i="1" s="1"/>
  <c r="X315" i="1"/>
  <c r="U316" i="1"/>
  <c r="V316" i="1" s="1"/>
  <c r="W316" i="1" s="1"/>
  <c r="X316" i="1"/>
  <c r="U317" i="1"/>
  <c r="V317" i="1" s="1"/>
  <c r="W317" i="1" s="1"/>
  <c r="X317" i="1"/>
  <c r="U318" i="1"/>
  <c r="V318" i="1"/>
  <c r="W318" i="1" s="1"/>
  <c r="X318" i="1"/>
  <c r="U319" i="1"/>
  <c r="V319" i="1" s="1"/>
  <c r="W319" i="1"/>
  <c r="X319" i="1"/>
  <c r="U320" i="1"/>
  <c r="V320" i="1" s="1"/>
  <c r="W320" i="1" s="1"/>
  <c r="X320" i="1"/>
  <c r="U321" i="1"/>
  <c r="V321" i="1" s="1"/>
  <c r="W321" i="1" s="1"/>
  <c r="X321" i="1"/>
  <c r="U322" i="1"/>
  <c r="V322" i="1"/>
  <c r="W322" i="1" s="1"/>
  <c r="X322" i="1"/>
  <c r="U323" i="1"/>
  <c r="V323" i="1"/>
  <c r="W323" i="1" s="1"/>
  <c r="X323" i="1"/>
  <c r="U324" i="1"/>
  <c r="V324" i="1" s="1"/>
  <c r="W324" i="1" s="1"/>
  <c r="X324" i="1"/>
  <c r="U325" i="1"/>
  <c r="V325" i="1" s="1"/>
  <c r="W325" i="1" s="1"/>
  <c r="X325" i="1"/>
  <c r="U326" i="1"/>
  <c r="V326" i="1" s="1"/>
  <c r="W326" i="1" s="1"/>
  <c r="X326" i="1"/>
  <c r="U327" i="1"/>
  <c r="V327" i="1"/>
  <c r="W327" i="1" s="1"/>
  <c r="X327" i="1"/>
  <c r="U328" i="1"/>
  <c r="V328" i="1" s="1"/>
  <c r="W328" i="1" s="1"/>
  <c r="X328" i="1"/>
  <c r="U329" i="1"/>
  <c r="V329" i="1" s="1"/>
  <c r="W329" i="1" s="1"/>
  <c r="X329" i="1"/>
  <c r="U330" i="1"/>
  <c r="V330" i="1" s="1"/>
  <c r="W330" i="1" s="1"/>
  <c r="X330" i="1"/>
  <c r="U331" i="1"/>
  <c r="V331" i="1"/>
  <c r="W331" i="1" s="1"/>
  <c r="X331" i="1"/>
  <c r="U332" i="1"/>
  <c r="V332" i="1" s="1"/>
  <c r="W332" i="1" s="1"/>
  <c r="X332" i="1"/>
  <c r="U333" i="1"/>
  <c r="V333" i="1" s="1"/>
  <c r="W333" i="1" s="1"/>
  <c r="X333" i="1"/>
  <c r="U334" i="1"/>
  <c r="V334" i="1" s="1"/>
  <c r="W334" i="1" s="1"/>
  <c r="X334" i="1"/>
  <c r="U335" i="1"/>
  <c r="V335" i="1" s="1"/>
  <c r="W335" i="1" s="1"/>
  <c r="X335" i="1"/>
  <c r="U336" i="1"/>
  <c r="V336" i="1" s="1"/>
  <c r="W336" i="1" s="1"/>
  <c r="X336" i="1"/>
  <c r="U337" i="1"/>
  <c r="V337" i="1"/>
  <c r="W337" i="1"/>
  <c r="X337" i="1"/>
  <c r="U338" i="1"/>
  <c r="V338" i="1" s="1"/>
  <c r="W338" i="1" s="1"/>
  <c r="X338" i="1"/>
  <c r="U339" i="1"/>
  <c r="V339" i="1"/>
  <c r="W339" i="1" s="1"/>
  <c r="X339" i="1"/>
  <c r="U340" i="1"/>
  <c r="V340" i="1" s="1"/>
  <c r="W340" i="1" s="1"/>
  <c r="X340" i="1"/>
  <c r="U341" i="1"/>
  <c r="V341" i="1" s="1"/>
  <c r="W341" i="1" s="1"/>
  <c r="X341" i="1"/>
  <c r="U342" i="1"/>
  <c r="V342" i="1" s="1"/>
  <c r="W342" i="1"/>
  <c r="X342" i="1"/>
  <c r="U343" i="1"/>
  <c r="V343" i="1" s="1"/>
  <c r="W343" i="1" s="1"/>
  <c r="X343" i="1"/>
  <c r="U344" i="1"/>
  <c r="V344" i="1" s="1"/>
  <c r="W344" i="1" s="1"/>
  <c r="X344" i="1"/>
  <c r="U345" i="1"/>
  <c r="V345" i="1"/>
  <c r="W345" i="1" s="1"/>
  <c r="X345" i="1"/>
  <c r="U346" i="1"/>
  <c r="V346" i="1"/>
  <c r="W346" i="1" s="1"/>
  <c r="X346" i="1"/>
  <c r="U347" i="1"/>
  <c r="V347" i="1" s="1"/>
  <c r="W347" i="1" s="1"/>
  <c r="X347" i="1"/>
  <c r="U348" i="1"/>
  <c r="V348" i="1" s="1"/>
  <c r="W348" i="1" s="1"/>
  <c r="X348" i="1"/>
  <c r="U349" i="1"/>
  <c r="V349" i="1" s="1"/>
  <c r="W349" i="1"/>
  <c r="X349" i="1"/>
  <c r="U350" i="1"/>
  <c r="V350" i="1" s="1"/>
  <c r="W350" i="1" s="1"/>
  <c r="X350" i="1"/>
  <c r="U351" i="1"/>
  <c r="V351" i="1" s="1"/>
  <c r="W351" i="1" s="1"/>
  <c r="X351" i="1"/>
  <c r="U352" i="1"/>
  <c r="V352" i="1" s="1"/>
  <c r="W352" i="1" s="1"/>
  <c r="X352" i="1"/>
  <c r="U353" i="1"/>
  <c r="V353" i="1" s="1"/>
  <c r="W353" i="1" s="1"/>
  <c r="X353" i="1"/>
  <c r="U354" i="1"/>
  <c r="V354" i="1" s="1"/>
  <c r="W354" i="1" s="1"/>
  <c r="X354" i="1"/>
  <c r="U355" i="1"/>
  <c r="V355" i="1" s="1"/>
  <c r="W355" i="1" s="1"/>
  <c r="X355" i="1"/>
  <c r="U356" i="1"/>
  <c r="V356" i="1" s="1"/>
  <c r="W356" i="1" s="1"/>
  <c r="X356" i="1"/>
  <c r="U357" i="1"/>
  <c r="V357" i="1"/>
  <c r="W357" i="1" s="1"/>
  <c r="X357" i="1"/>
  <c r="U358" i="1"/>
  <c r="V358" i="1" s="1"/>
  <c r="W358" i="1"/>
  <c r="X358" i="1"/>
  <c r="U359" i="1"/>
  <c r="V359" i="1"/>
  <c r="W359" i="1" s="1"/>
  <c r="X359" i="1"/>
  <c r="U360" i="1"/>
  <c r="V360" i="1" s="1"/>
  <c r="W360" i="1" s="1"/>
  <c r="X360" i="1"/>
  <c r="U361" i="1"/>
  <c r="V361" i="1"/>
  <c r="W361" i="1" s="1"/>
  <c r="X361" i="1"/>
  <c r="U362" i="1"/>
  <c r="V362" i="1" s="1"/>
  <c r="W362" i="1" s="1"/>
  <c r="X362" i="1"/>
  <c r="U363" i="1"/>
  <c r="V363" i="1"/>
  <c r="W363" i="1"/>
  <c r="X363" i="1"/>
  <c r="U364" i="1"/>
  <c r="V364" i="1" s="1"/>
  <c r="W364" i="1" s="1"/>
  <c r="X364" i="1"/>
  <c r="U365" i="1"/>
  <c r="V365" i="1" s="1"/>
  <c r="W365" i="1" s="1"/>
  <c r="X365" i="1"/>
  <c r="U366" i="1"/>
  <c r="V366" i="1"/>
  <c r="W366" i="1" s="1"/>
  <c r="X366" i="1"/>
  <c r="U367" i="1"/>
  <c r="V367" i="1" s="1"/>
  <c r="W367" i="1" s="1"/>
  <c r="X367" i="1"/>
  <c r="U368" i="1"/>
  <c r="V368" i="1" s="1"/>
  <c r="W368" i="1" s="1"/>
  <c r="X368" i="1"/>
  <c r="U369" i="1"/>
  <c r="V369" i="1" s="1"/>
  <c r="W369" i="1" s="1"/>
  <c r="X369" i="1"/>
  <c r="U370" i="1"/>
  <c r="V370" i="1" s="1"/>
  <c r="W370" i="1" s="1"/>
  <c r="X370" i="1"/>
  <c r="U371" i="1"/>
  <c r="V371" i="1" s="1"/>
  <c r="W371" i="1" s="1"/>
  <c r="X371" i="1"/>
  <c r="U372" i="1"/>
  <c r="V372" i="1" s="1"/>
  <c r="W372" i="1" s="1"/>
  <c r="X372" i="1"/>
  <c r="U373" i="1"/>
  <c r="V373" i="1" s="1"/>
  <c r="W373" i="1" s="1"/>
  <c r="X373" i="1"/>
  <c r="U374" i="1"/>
  <c r="V374" i="1" s="1"/>
  <c r="W374" i="1"/>
  <c r="X374" i="1"/>
  <c r="U375" i="1"/>
  <c r="V375" i="1" s="1"/>
  <c r="W375" i="1" s="1"/>
  <c r="X375" i="1"/>
  <c r="U376" i="1"/>
  <c r="V376" i="1" s="1"/>
  <c r="W376" i="1" s="1"/>
  <c r="X376" i="1"/>
  <c r="U377" i="1"/>
  <c r="V377" i="1"/>
  <c r="W377" i="1" s="1"/>
  <c r="X377" i="1"/>
  <c r="U378" i="1"/>
  <c r="V378" i="1"/>
  <c r="W378" i="1" s="1"/>
  <c r="X378" i="1"/>
  <c r="U379" i="1"/>
  <c r="V379" i="1"/>
  <c r="W379" i="1" s="1"/>
  <c r="X379" i="1"/>
  <c r="U380" i="1"/>
  <c r="V380" i="1" s="1"/>
  <c r="W380" i="1" s="1"/>
  <c r="X380" i="1"/>
  <c r="U381" i="1"/>
  <c r="V381" i="1"/>
  <c r="W381" i="1" s="1"/>
  <c r="X381" i="1"/>
  <c r="U382" i="1"/>
  <c r="V382" i="1" s="1"/>
  <c r="W382" i="1" s="1"/>
  <c r="X382" i="1"/>
  <c r="U383" i="1"/>
  <c r="V383" i="1"/>
  <c r="W383" i="1" s="1"/>
  <c r="X383" i="1"/>
  <c r="U384" i="1"/>
  <c r="V384" i="1" s="1"/>
  <c r="W384" i="1"/>
  <c r="X384" i="1"/>
  <c r="U385" i="1"/>
  <c r="V385" i="1"/>
  <c r="W385" i="1"/>
  <c r="X385" i="1"/>
  <c r="U386" i="1"/>
  <c r="V386" i="1"/>
  <c r="W386" i="1" s="1"/>
  <c r="X386" i="1"/>
  <c r="U387" i="1"/>
  <c r="V387" i="1"/>
  <c r="W387" i="1"/>
  <c r="X387" i="1"/>
  <c r="U388" i="1"/>
  <c r="V388" i="1" s="1"/>
  <c r="W388" i="1" s="1"/>
  <c r="X388" i="1"/>
  <c r="U389" i="1"/>
  <c r="V389" i="1" s="1"/>
  <c r="W389" i="1"/>
  <c r="X389" i="1"/>
  <c r="U390" i="1"/>
  <c r="V390" i="1" s="1"/>
  <c r="W390" i="1" s="1"/>
  <c r="X390" i="1"/>
  <c r="U391" i="1"/>
  <c r="V391" i="1" s="1"/>
  <c r="W391" i="1" s="1"/>
  <c r="X391" i="1"/>
  <c r="U392" i="1"/>
  <c r="V392" i="1" s="1"/>
  <c r="W392" i="1"/>
  <c r="X392" i="1"/>
  <c r="U393" i="1"/>
  <c r="V393" i="1" s="1"/>
  <c r="W393" i="1" s="1"/>
  <c r="X393" i="1"/>
  <c r="U394" i="1"/>
  <c r="V394" i="1"/>
  <c r="W394" i="1"/>
  <c r="X394" i="1"/>
  <c r="U395" i="1"/>
  <c r="V395" i="1"/>
  <c r="W395" i="1" s="1"/>
  <c r="X395" i="1"/>
  <c r="U396" i="1"/>
  <c r="V396" i="1" s="1"/>
  <c r="W396" i="1" s="1"/>
  <c r="X396" i="1"/>
  <c r="U397" i="1"/>
  <c r="V397" i="1" s="1"/>
  <c r="W397" i="1" s="1"/>
  <c r="X397" i="1"/>
  <c r="U398" i="1"/>
  <c r="V398" i="1"/>
  <c r="W398" i="1" s="1"/>
  <c r="X398" i="1"/>
  <c r="U399" i="1"/>
  <c r="V399" i="1"/>
  <c r="W399" i="1" s="1"/>
  <c r="X399" i="1"/>
  <c r="U400" i="1"/>
  <c r="V400" i="1"/>
  <c r="W400" i="1" s="1"/>
  <c r="X400" i="1"/>
  <c r="U401" i="1"/>
  <c r="V401" i="1"/>
  <c r="W401" i="1" s="1"/>
  <c r="X401" i="1"/>
  <c r="U402" i="1"/>
  <c r="V402" i="1"/>
  <c r="W402" i="1" s="1"/>
  <c r="X402" i="1"/>
  <c r="U403" i="1"/>
  <c r="V403" i="1"/>
  <c r="W403" i="1" s="1"/>
  <c r="X403" i="1"/>
  <c r="U404" i="1"/>
  <c r="V404" i="1" s="1"/>
  <c r="W404" i="1" s="1"/>
  <c r="X404" i="1"/>
  <c r="U405" i="1"/>
  <c r="V405" i="1" s="1"/>
  <c r="W405" i="1" s="1"/>
  <c r="X405" i="1"/>
  <c r="U406" i="1"/>
  <c r="V406" i="1"/>
  <c r="W406" i="1" s="1"/>
  <c r="X406" i="1"/>
  <c r="U407" i="1"/>
  <c r="V407" i="1"/>
  <c r="W407" i="1" s="1"/>
  <c r="X407" i="1"/>
  <c r="U408" i="1"/>
  <c r="V408" i="1"/>
  <c r="W408" i="1"/>
  <c r="X408" i="1"/>
  <c r="U409" i="1"/>
  <c r="V409" i="1"/>
  <c r="W409" i="1" s="1"/>
  <c r="X409" i="1"/>
  <c r="U410" i="1"/>
  <c r="V410" i="1" s="1"/>
  <c r="W410" i="1" s="1"/>
  <c r="X410" i="1"/>
  <c r="U411" i="1"/>
  <c r="V411" i="1"/>
  <c r="W411" i="1" s="1"/>
  <c r="X411" i="1"/>
  <c r="U412" i="1"/>
  <c r="V412" i="1" s="1"/>
  <c r="W412" i="1" s="1"/>
  <c r="X412" i="1"/>
  <c r="U413" i="1"/>
  <c r="V413" i="1" s="1"/>
  <c r="W413" i="1" s="1"/>
  <c r="X413" i="1"/>
  <c r="U414" i="1"/>
  <c r="V414" i="1" s="1"/>
  <c r="W414" i="1" s="1"/>
  <c r="X414" i="1"/>
  <c r="U415" i="1"/>
  <c r="V415" i="1"/>
  <c r="W415" i="1" s="1"/>
  <c r="X415" i="1"/>
  <c r="U416" i="1"/>
  <c r="V416" i="1" s="1"/>
  <c r="W416" i="1" s="1"/>
  <c r="X416" i="1"/>
  <c r="U417" i="1"/>
  <c r="V417" i="1"/>
  <c r="W417" i="1" s="1"/>
  <c r="X417" i="1"/>
  <c r="U418" i="1"/>
  <c r="V418" i="1"/>
  <c r="W418" i="1"/>
  <c r="X418" i="1"/>
  <c r="U419" i="1"/>
  <c r="V419" i="1" s="1"/>
  <c r="W419" i="1" s="1"/>
  <c r="X419" i="1"/>
  <c r="U420" i="1"/>
  <c r="V420" i="1" s="1"/>
  <c r="W420" i="1" s="1"/>
  <c r="X420" i="1"/>
  <c r="U421" i="1"/>
  <c r="V421" i="1" s="1"/>
  <c r="W421" i="1" s="1"/>
  <c r="X421" i="1"/>
  <c r="U422" i="1"/>
  <c r="V422" i="1"/>
  <c r="W422" i="1" s="1"/>
  <c r="X422" i="1"/>
  <c r="U423" i="1"/>
  <c r="V423" i="1" s="1"/>
  <c r="W423" i="1" s="1"/>
  <c r="X423" i="1"/>
  <c r="U424" i="1"/>
  <c r="V424" i="1"/>
  <c r="W424" i="1"/>
  <c r="X424" i="1"/>
  <c r="U425" i="1"/>
  <c r="V425" i="1" s="1"/>
  <c r="W425" i="1" s="1"/>
  <c r="X425" i="1"/>
  <c r="U426" i="1"/>
  <c r="V426" i="1"/>
  <c r="W426" i="1"/>
  <c r="X426" i="1"/>
  <c r="U427" i="1"/>
  <c r="V427" i="1"/>
  <c r="W427" i="1" s="1"/>
  <c r="X427" i="1"/>
  <c r="U428" i="1"/>
  <c r="V428" i="1" s="1"/>
  <c r="W428" i="1" s="1"/>
  <c r="X428" i="1"/>
  <c r="U429" i="1"/>
  <c r="V429" i="1" s="1"/>
  <c r="W429" i="1" s="1"/>
  <c r="X429" i="1"/>
  <c r="U430" i="1"/>
  <c r="V430" i="1"/>
  <c r="W430" i="1" s="1"/>
  <c r="X430" i="1"/>
  <c r="U431" i="1"/>
  <c r="V431" i="1"/>
  <c r="W431" i="1" s="1"/>
  <c r="X431" i="1"/>
  <c r="U432" i="1"/>
  <c r="V432" i="1"/>
  <c r="W432" i="1" s="1"/>
  <c r="X432" i="1"/>
  <c r="U433" i="1"/>
  <c r="V433" i="1"/>
  <c r="W433" i="1" s="1"/>
  <c r="X433" i="1"/>
  <c r="U434" i="1"/>
  <c r="V434" i="1"/>
  <c r="W434" i="1" s="1"/>
  <c r="X434" i="1"/>
  <c r="U435" i="1"/>
  <c r="V435" i="1"/>
  <c r="W435" i="1" s="1"/>
  <c r="X435" i="1"/>
  <c r="U436" i="1"/>
  <c r="V436" i="1" s="1"/>
  <c r="W436" i="1"/>
  <c r="X436" i="1"/>
  <c r="U437" i="1"/>
  <c r="V437" i="1" s="1"/>
  <c r="W437" i="1" s="1"/>
  <c r="X437" i="1"/>
  <c r="U438" i="1"/>
  <c r="V438" i="1"/>
  <c r="W438" i="1" s="1"/>
  <c r="X438" i="1"/>
  <c r="U439" i="1"/>
  <c r="V439" i="1"/>
  <c r="W439" i="1" s="1"/>
  <c r="X439" i="1"/>
  <c r="U440" i="1"/>
  <c r="V440" i="1"/>
  <c r="W440" i="1"/>
  <c r="X440" i="1"/>
  <c r="U441" i="1"/>
  <c r="V441" i="1"/>
  <c r="W441" i="1" s="1"/>
  <c r="X441" i="1"/>
  <c r="U442" i="1"/>
  <c r="V442" i="1" s="1"/>
  <c r="W442" i="1" s="1"/>
  <c r="X442" i="1"/>
  <c r="U443" i="1"/>
  <c r="V443" i="1"/>
  <c r="W443" i="1" s="1"/>
  <c r="X443" i="1"/>
  <c r="U444" i="1"/>
  <c r="V444" i="1" s="1"/>
  <c r="W444" i="1" s="1"/>
  <c r="X444" i="1"/>
  <c r="U445" i="1"/>
  <c r="V445" i="1" s="1"/>
  <c r="W445" i="1" s="1"/>
  <c r="X445" i="1"/>
  <c r="U446" i="1"/>
  <c r="V446" i="1" s="1"/>
  <c r="W446" i="1" s="1"/>
  <c r="X446" i="1"/>
  <c r="U447" i="1"/>
  <c r="V447" i="1"/>
  <c r="W447" i="1" s="1"/>
  <c r="X447" i="1"/>
  <c r="U448" i="1"/>
  <c r="V448" i="1" s="1"/>
  <c r="W448" i="1" s="1"/>
  <c r="X448" i="1"/>
  <c r="U449" i="1"/>
  <c r="V449" i="1"/>
  <c r="W449" i="1" s="1"/>
  <c r="X449" i="1"/>
  <c r="U450" i="1"/>
  <c r="V450" i="1"/>
  <c r="W450" i="1" s="1"/>
  <c r="X450" i="1"/>
  <c r="U451" i="1"/>
  <c r="V451" i="1" s="1"/>
  <c r="W451" i="1" s="1"/>
  <c r="X451" i="1"/>
  <c r="U452" i="1"/>
  <c r="V452" i="1" s="1"/>
  <c r="W452" i="1" s="1"/>
  <c r="X452" i="1"/>
  <c r="U453" i="1"/>
  <c r="V453" i="1" s="1"/>
  <c r="W453" i="1" s="1"/>
  <c r="X453" i="1"/>
  <c r="U454" i="1"/>
  <c r="V454" i="1"/>
  <c r="W454" i="1" s="1"/>
  <c r="X454" i="1"/>
  <c r="U455" i="1"/>
  <c r="V455" i="1" s="1"/>
  <c r="W455" i="1" s="1"/>
  <c r="X455" i="1"/>
  <c r="U456" i="1"/>
  <c r="V456" i="1"/>
  <c r="W456" i="1"/>
  <c r="X456" i="1"/>
  <c r="U457" i="1"/>
  <c r="V457" i="1" s="1"/>
  <c r="W457" i="1" s="1"/>
  <c r="X457" i="1"/>
  <c r="U458" i="1"/>
  <c r="V458" i="1"/>
  <c r="W458" i="1"/>
  <c r="X458" i="1"/>
  <c r="U459" i="1"/>
  <c r="V459" i="1"/>
  <c r="W459" i="1" s="1"/>
  <c r="X459" i="1"/>
  <c r="U460" i="1"/>
  <c r="V460" i="1" s="1"/>
  <c r="W460" i="1" s="1"/>
  <c r="X460" i="1"/>
  <c r="U461" i="1"/>
  <c r="V461" i="1" s="1"/>
  <c r="W461" i="1" s="1"/>
  <c r="X461" i="1"/>
  <c r="U462" i="1"/>
  <c r="V462" i="1"/>
  <c r="W462" i="1" s="1"/>
  <c r="X462" i="1"/>
  <c r="U463" i="1"/>
  <c r="V463" i="1"/>
  <c r="W463" i="1" s="1"/>
  <c r="X463" i="1"/>
  <c r="U464" i="1"/>
  <c r="V464" i="1" s="1"/>
  <c r="W464" i="1" s="1"/>
  <c r="X464" i="1"/>
  <c r="U465" i="1"/>
  <c r="V465" i="1"/>
  <c r="W465" i="1" s="1"/>
  <c r="X465" i="1"/>
  <c r="U466" i="1"/>
  <c r="V466" i="1"/>
  <c r="W466" i="1" s="1"/>
  <c r="X466" i="1"/>
  <c r="U467" i="1"/>
  <c r="V467" i="1"/>
  <c r="W467" i="1" s="1"/>
  <c r="X467" i="1"/>
  <c r="U468" i="1"/>
  <c r="V468" i="1" s="1"/>
  <c r="W468" i="1"/>
  <c r="X468" i="1"/>
  <c r="U469" i="1"/>
  <c r="V469" i="1" s="1"/>
  <c r="W469" i="1" s="1"/>
  <c r="X469" i="1"/>
  <c r="U470" i="1"/>
  <c r="V470" i="1"/>
  <c r="W470" i="1" s="1"/>
  <c r="X470" i="1"/>
  <c r="U471" i="1"/>
  <c r="V471" i="1"/>
  <c r="W471" i="1" s="1"/>
  <c r="X471" i="1"/>
  <c r="U472" i="1"/>
  <c r="V472" i="1"/>
  <c r="W472" i="1"/>
  <c r="X472" i="1"/>
  <c r="U473" i="1"/>
  <c r="V473" i="1" s="1"/>
  <c r="W473" i="1" s="1"/>
  <c r="X473" i="1"/>
  <c r="U474" i="1"/>
  <c r="V474" i="1" s="1"/>
  <c r="W474" i="1" s="1"/>
  <c r="X474" i="1"/>
  <c r="U475" i="1"/>
  <c r="V475" i="1"/>
  <c r="W475" i="1" s="1"/>
  <c r="X475" i="1"/>
  <c r="U476" i="1"/>
  <c r="V476" i="1" s="1"/>
  <c r="W476" i="1" s="1"/>
  <c r="X476" i="1"/>
  <c r="U477" i="1"/>
  <c r="V477" i="1" s="1"/>
  <c r="W477" i="1" s="1"/>
  <c r="X477" i="1"/>
  <c r="U478" i="1"/>
  <c r="V478" i="1" s="1"/>
  <c r="W478" i="1" s="1"/>
  <c r="X478" i="1"/>
  <c r="U479" i="1"/>
  <c r="V479" i="1"/>
  <c r="W479" i="1" s="1"/>
  <c r="X479" i="1"/>
  <c r="U480" i="1"/>
  <c r="V480" i="1"/>
  <c r="W480" i="1" s="1"/>
  <c r="X480" i="1"/>
  <c r="U481" i="1"/>
  <c r="V481" i="1"/>
  <c r="W481" i="1" s="1"/>
  <c r="X481" i="1"/>
  <c r="U482" i="1"/>
  <c r="V482" i="1"/>
  <c r="W482" i="1" s="1"/>
  <c r="X482" i="1"/>
  <c r="U483" i="1"/>
  <c r="V483" i="1"/>
  <c r="W483" i="1"/>
  <c r="X483" i="1"/>
  <c r="U484" i="1"/>
  <c r="V484" i="1" s="1"/>
  <c r="W484" i="1" s="1"/>
  <c r="X484" i="1"/>
  <c r="U485" i="1"/>
  <c r="V485" i="1"/>
  <c r="W485" i="1" s="1"/>
  <c r="X485" i="1"/>
  <c r="U486" i="1"/>
  <c r="V486" i="1"/>
  <c r="W486" i="1" s="1"/>
  <c r="X486" i="1"/>
  <c r="U487" i="1"/>
  <c r="V487" i="1"/>
  <c r="W487" i="1"/>
  <c r="X487" i="1"/>
  <c r="U488" i="1"/>
  <c r="V488" i="1"/>
  <c r="W488" i="1" s="1"/>
  <c r="X488" i="1"/>
  <c r="U489" i="1"/>
  <c r="V489" i="1"/>
  <c r="W489" i="1" s="1"/>
  <c r="X489" i="1"/>
  <c r="U490" i="1"/>
  <c r="V490" i="1" s="1"/>
  <c r="W490" i="1"/>
  <c r="X490" i="1"/>
  <c r="U491" i="1"/>
  <c r="V491" i="1" s="1"/>
  <c r="W491" i="1" s="1"/>
  <c r="X491" i="1"/>
  <c r="U492" i="1"/>
  <c r="V492" i="1" s="1"/>
  <c r="W492" i="1" s="1"/>
  <c r="X492" i="1"/>
  <c r="U493" i="1"/>
  <c r="V493" i="1" s="1"/>
  <c r="W493" i="1" s="1"/>
  <c r="X493" i="1"/>
  <c r="U494" i="1"/>
  <c r="V494" i="1"/>
  <c r="W494" i="1" s="1"/>
  <c r="X494" i="1"/>
  <c r="U495" i="1"/>
  <c r="V495" i="1" s="1"/>
  <c r="W495" i="1" s="1"/>
  <c r="X495" i="1"/>
  <c r="U496" i="1"/>
  <c r="V496" i="1"/>
  <c r="W496" i="1" s="1"/>
  <c r="X496" i="1"/>
  <c r="U497" i="1"/>
  <c r="V497" i="1"/>
  <c r="W497" i="1" s="1"/>
  <c r="X497" i="1"/>
  <c r="U498" i="1"/>
  <c r="V498" i="1"/>
  <c r="W498" i="1" s="1"/>
  <c r="X498" i="1"/>
  <c r="U499" i="1"/>
  <c r="V499" i="1"/>
  <c r="W499" i="1" s="1"/>
  <c r="X499" i="1"/>
  <c r="U500" i="1"/>
  <c r="V500" i="1"/>
  <c r="W500" i="1"/>
  <c r="X500" i="1"/>
  <c r="U501" i="1"/>
  <c r="V501" i="1" s="1"/>
  <c r="W501" i="1" s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 s="1"/>
  <c r="X505" i="1"/>
  <c r="U506" i="1"/>
  <c r="V506" i="1" s="1"/>
  <c r="W506" i="1" s="1"/>
  <c r="X506" i="1"/>
  <c r="U507" i="1"/>
  <c r="V507" i="1" s="1"/>
  <c r="W507" i="1" s="1"/>
  <c r="X507" i="1"/>
  <c r="U508" i="1"/>
  <c r="V508" i="1" s="1"/>
  <c r="W508" i="1" s="1"/>
  <c r="X508" i="1"/>
  <c r="U509" i="1"/>
  <c r="V509" i="1" s="1"/>
  <c r="W509" i="1" s="1"/>
  <c r="X509" i="1"/>
  <c r="U510" i="1"/>
  <c r="V510" i="1"/>
  <c r="W510" i="1" s="1"/>
  <c r="X510" i="1"/>
  <c r="U511" i="1"/>
  <c r="V511" i="1"/>
  <c r="W511" i="1" s="1"/>
  <c r="X511" i="1"/>
  <c r="U512" i="1"/>
  <c r="V512" i="1" s="1"/>
  <c r="W512" i="1" s="1"/>
  <c r="X512" i="1"/>
  <c r="U513" i="1"/>
  <c r="V513" i="1"/>
  <c r="W513" i="1" s="1"/>
  <c r="X513" i="1"/>
  <c r="U514" i="1"/>
  <c r="V514" i="1" s="1"/>
  <c r="W514" i="1" s="1"/>
  <c r="X514" i="1"/>
  <c r="U515" i="1"/>
  <c r="V515" i="1" s="1"/>
  <c r="W515" i="1" s="1"/>
  <c r="X515" i="1"/>
  <c r="U516" i="1"/>
  <c r="V516" i="1" s="1"/>
  <c r="W516" i="1" s="1"/>
  <c r="X516" i="1"/>
  <c r="U517" i="1"/>
  <c r="V517" i="1"/>
  <c r="W517" i="1" s="1"/>
  <c r="X517" i="1"/>
  <c r="U518" i="1"/>
  <c r="V518" i="1"/>
  <c r="W518" i="1" s="1"/>
  <c r="X518" i="1"/>
  <c r="U519" i="1"/>
  <c r="V519" i="1"/>
  <c r="W519" i="1" s="1"/>
  <c r="X519" i="1"/>
  <c r="U520" i="1"/>
  <c r="V520" i="1"/>
  <c r="W520" i="1" s="1"/>
  <c r="X520" i="1"/>
  <c r="U521" i="1"/>
  <c r="V521" i="1"/>
  <c r="W521" i="1" s="1"/>
  <c r="X521" i="1"/>
  <c r="U522" i="1"/>
  <c r="V522" i="1" s="1"/>
  <c r="W522" i="1" s="1"/>
  <c r="X522" i="1"/>
  <c r="U523" i="1"/>
  <c r="V523" i="1" s="1"/>
  <c r="W523" i="1" s="1"/>
  <c r="X523" i="1"/>
  <c r="U524" i="1"/>
  <c r="V524" i="1" s="1"/>
  <c r="W524" i="1" s="1"/>
  <c r="X524" i="1"/>
  <c r="U525" i="1"/>
  <c r="V525" i="1" s="1"/>
  <c r="W525" i="1" s="1"/>
  <c r="X525" i="1"/>
  <c r="U526" i="1"/>
  <c r="V526" i="1"/>
  <c r="W526" i="1" s="1"/>
  <c r="X526" i="1"/>
  <c r="U527" i="1"/>
  <c r="V527" i="1"/>
  <c r="W527" i="1" s="1"/>
  <c r="X527" i="1"/>
  <c r="U528" i="1"/>
  <c r="V528" i="1" s="1"/>
  <c r="W528" i="1" s="1"/>
  <c r="X528" i="1"/>
  <c r="U529" i="1"/>
  <c r="V529" i="1" s="1"/>
  <c r="W529" i="1" s="1"/>
  <c r="X529" i="1"/>
  <c r="U530" i="1"/>
  <c r="V530" i="1"/>
  <c r="W530" i="1"/>
  <c r="X530" i="1"/>
  <c r="U531" i="1"/>
  <c r="V531" i="1" s="1"/>
  <c r="W531" i="1" s="1"/>
  <c r="X531" i="1"/>
  <c r="U532" i="1"/>
  <c r="V532" i="1"/>
  <c r="W532" i="1"/>
  <c r="X532" i="1"/>
  <c r="U533" i="1"/>
  <c r="V533" i="1" s="1"/>
  <c r="W533" i="1" s="1"/>
  <c r="X533" i="1"/>
  <c r="U534" i="1"/>
  <c r="V534" i="1"/>
  <c r="W534" i="1"/>
  <c r="X534" i="1"/>
  <c r="U535" i="1"/>
  <c r="V535" i="1"/>
  <c r="W535" i="1" s="1"/>
  <c r="X535" i="1"/>
  <c r="U536" i="1"/>
  <c r="V536" i="1"/>
  <c r="W536" i="1" s="1"/>
  <c r="X536" i="1"/>
  <c r="U537" i="1"/>
  <c r="V537" i="1"/>
  <c r="W537" i="1" s="1"/>
  <c r="X537" i="1"/>
  <c r="U538" i="1"/>
  <c r="V538" i="1" s="1"/>
  <c r="W538" i="1" s="1"/>
  <c r="X538" i="1"/>
  <c r="U539" i="1"/>
  <c r="V539" i="1" s="1"/>
  <c r="W539" i="1" s="1"/>
  <c r="X539" i="1"/>
  <c r="U540" i="1"/>
  <c r="V540" i="1" s="1"/>
  <c r="W540" i="1"/>
  <c r="X540" i="1"/>
  <c r="U541" i="1"/>
  <c r="V541" i="1" s="1"/>
  <c r="W541" i="1" s="1"/>
  <c r="X541" i="1"/>
  <c r="U542" i="1"/>
  <c r="V542" i="1" s="1"/>
  <c r="W542" i="1" s="1"/>
  <c r="X542" i="1"/>
  <c r="U543" i="1"/>
  <c r="V543" i="1" s="1"/>
  <c r="W543" i="1" s="1"/>
  <c r="X543" i="1"/>
  <c r="U544" i="1"/>
  <c r="V544" i="1"/>
  <c r="W544" i="1" s="1"/>
  <c r="X544" i="1"/>
  <c r="U545" i="1"/>
  <c r="V545" i="1" s="1"/>
  <c r="W545" i="1" s="1"/>
  <c r="X545" i="1"/>
  <c r="U546" i="1"/>
  <c r="V546" i="1" s="1"/>
  <c r="W546" i="1" s="1"/>
  <c r="X546" i="1"/>
  <c r="U547" i="1"/>
  <c r="V547" i="1"/>
  <c r="W547" i="1" s="1"/>
  <c r="X547" i="1"/>
  <c r="U548" i="1"/>
  <c r="V548" i="1" s="1"/>
  <c r="W548" i="1" s="1"/>
  <c r="X548" i="1"/>
  <c r="U549" i="1"/>
  <c r="V549" i="1"/>
  <c r="W549" i="1" s="1"/>
  <c r="X549" i="1"/>
  <c r="U550" i="1"/>
  <c r="V550" i="1" s="1"/>
  <c r="W550" i="1" s="1"/>
  <c r="X550" i="1"/>
  <c r="U551" i="1"/>
  <c r="V551" i="1"/>
  <c r="W551" i="1"/>
  <c r="X551" i="1"/>
  <c r="U552" i="1"/>
  <c r="V552" i="1"/>
  <c r="W552" i="1" s="1"/>
  <c r="X552" i="1"/>
  <c r="U553" i="1"/>
  <c r="V553" i="1"/>
  <c r="W553" i="1" s="1"/>
  <c r="X553" i="1"/>
  <c r="U554" i="1"/>
  <c r="V554" i="1" s="1"/>
  <c r="W554" i="1" s="1"/>
  <c r="X554" i="1"/>
  <c r="U555" i="1"/>
  <c r="V555" i="1" s="1"/>
  <c r="W555" i="1" s="1"/>
  <c r="X555" i="1"/>
  <c r="U556" i="1"/>
  <c r="V556" i="1" s="1"/>
  <c r="W556" i="1"/>
  <c r="X556" i="1"/>
  <c r="U557" i="1"/>
  <c r="V557" i="1" s="1"/>
  <c r="W557" i="1" s="1"/>
  <c r="X557" i="1"/>
  <c r="U558" i="1"/>
  <c r="V558" i="1"/>
  <c r="W558" i="1" s="1"/>
  <c r="X558" i="1"/>
  <c r="U559" i="1"/>
  <c r="V559" i="1" s="1"/>
  <c r="W559" i="1" s="1"/>
  <c r="X559" i="1"/>
  <c r="U560" i="1"/>
  <c r="V560" i="1" s="1"/>
  <c r="W560" i="1" s="1"/>
  <c r="X560" i="1"/>
  <c r="U561" i="1"/>
  <c r="V561" i="1"/>
  <c r="W561" i="1" s="1"/>
  <c r="X561" i="1"/>
  <c r="U562" i="1"/>
  <c r="V562" i="1" s="1"/>
  <c r="W562" i="1" s="1"/>
  <c r="X562" i="1"/>
  <c r="U563" i="1"/>
  <c r="V563" i="1"/>
  <c r="W563" i="1" s="1"/>
  <c r="X563" i="1"/>
  <c r="U564" i="1"/>
  <c r="V564" i="1"/>
  <c r="W564" i="1"/>
  <c r="X564" i="1"/>
  <c r="U565" i="1"/>
  <c r="V565" i="1" s="1"/>
  <c r="W565" i="1" s="1"/>
  <c r="X565" i="1"/>
  <c r="U566" i="1"/>
  <c r="V566" i="1"/>
  <c r="W566" i="1" s="1"/>
  <c r="X566" i="1"/>
  <c r="U567" i="1"/>
  <c r="V567" i="1"/>
  <c r="W567" i="1" s="1"/>
  <c r="X567" i="1"/>
  <c r="U568" i="1"/>
  <c r="V568" i="1"/>
  <c r="W568" i="1" s="1"/>
  <c r="X568" i="1"/>
  <c r="U569" i="1"/>
  <c r="V569" i="1"/>
  <c r="W569" i="1" s="1"/>
  <c r="X569" i="1"/>
  <c r="U570" i="1"/>
  <c r="V570" i="1" s="1"/>
  <c r="W570" i="1" s="1"/>
  <c r="X570" i="1"/>
  <c r="U571" i="1"/>
  <c r="V571" i="1"/>
  <c r="W571" i="1" s="1"/>
  <c r="X571" i="1"/>
  <c r="U572" i="1"/>
  <c r="V572" i="1" s="1"/>
  <c r="W572" i="1"/>
  <c r="X572" i="1"/>
  <c r="U573" i="1"/>
  <c r="V573" i="1" s="1"/>
  <c r="W573" i="1" s="1"/>
  <c r="X573" i="1"/>
  <c r="U574" i="1"/>
  <c r="V574" i="1"/>
  <c r="W574" i="1" s="1"/>
  <c r="X574" i="1"/>
  <c r="U575" i="1"/>
  <c r="V575" i="1" s="1"/>
  <c r="W575" i="1" s="1"/>
  <c r="X575" i="1"/>
  <c r="U576" i="1"/>
  <c r="V576" i="1" s="1"/>
  <c r="W576" i="1" s="1"/>
  <c r="X576" i="1"/>
  <c r="U577" i="1"/>
  <c r="V577" i="1"/>
  <c r="W577" i="1" s="1"/>
  <c r="X577" i="1"/>
  <c r="U578" i="1"/>
  <c r="V578" i="1" s="1"/>
  <c r="W578" i="1"/>
  <c r="X578" i="1"/>
  <c r="U579" i="1"/>
  <c r="V579" i="1"/>
  <c r="W579" i="1"/>
  <c r="X579" i="1"/>
  <c r="U580" i="1"/>
  <c r="V580" i="1" s="1"/>
  <c r="W580" i="1" s="1"/>
  <c r="X580" i="1"/>
  <c r="U581" i="1"/>
  <c r="V581" i="1" s="1"/>
  <c r="W581" i="1" s="1"/>
  <c r="X581" i="1"/>
  <c r="U582" i="1"/>
  <c r="V582" i="1"/>
  <c r="W582" i="1" s="1"/>
  <c r="X582" i="1"/>
  <c r="U583" i="1"/>
  <c r="V583" i="1"/>
  <c r="W583" i="1" s="1"/>
  <c r="X583" i="1"/>
  <c r="U584" i="1"/>
  <c r="V584" i="1"/>
  <c r="W584" i="1"/>
  <c r="X584" i="1"/>
  <c r="U585" i="1"/>
  <c r="V585" i="1"/>
  <c r="W585" i="1" s="1"/>
  <c r="X585" i="1"/>
  <c r="U586" i="1"/>
  <c r="V586" i="1" s="1"/>
  <c r="W586" i="1"/>
  <c r="X586" i="1"/>
  <c r="U587" i="1"/>
  <c r="V587" i="1" s="1"/>
  <c r="W587" i="1" s="1"/>
  <c r="X587" i="1"/>
  <c r="U588" i="1"/>
  <c r="V588" i="1" s="1"/>
  <c r="W588" i="1" s="1"/>
  <c r="X588" i="1"/>
  <c r="U589" i="1"/>
  <c r="V589" i="1" s="1"/>
  <c r="W589" i="1" s="1"/>
  <c r="X589" i="1"/>
  <c r="U590" i="1"/>
  <c r="V590" i="1" s="1"/>
  <c r="W590" i="1" s="1"/>
  <c r="X590" i="1"/>
  <c r="U591" i="1"/>
  <c r="V591" i="1"/>
  <c r="W591" i="1" s="1"/>
  <c r="X591" i="1"/>
  <c r="U592" i="1"/>
  <c r="V592" i="1"/>
  <c r="W592" i="1" s="1"/>
  <c r="X592" i="1"/>
  <c r="U593" i="1"/>
  <c r="V593" i="1" s="1"/>
  <c r="W593" i="1" s="1"/>
  <c r="X593" i="1"/>
  <c r="U594" i="1"/>
  <c r="V594" i="1"/>
  <c r="W594" i="1"/>
  <c r="X594" i="1"/>
  <c r="U595" i="1"/>
  <c r="V595" i="1" s="1"/>
  <c r="W595" i="1" s="1"/>
  <c r="X595" i="1"/>
  <c r="U596" i="1"/>
  <c r="V596" i="1" s="1"/>
  <c r="W596" i="1" s="1"/>
  <c r="X596" i="1"/>
  <c r="U597" i="1"/>
  <c r="V597" i="1" s="1"/>
  <c r="W597" i="1" s="1"/>
  <c r="X597" i="1"/>
  <c r="U598" i="1"/>
  <c r="V598" i="1"/>
  <c r="W598" i="1" s="1"/>
  <c r="X598" i="1"/>
  <c r="U599" i="1"/>
  <c r="V599" i="1"/>
  <c r="W599" i="1" s="1"/>
  <c r="X599" i="1"/>
  <c r="U600" i="1"/>
  <c r="V600" i="1"/>
  <c r="W600" i="1"/>
  <c r="X600" i="1"/>
  <c r="U601" i="1"/>
  <c r="V601" i="1" s="1"/>
  <c r="W601" i="1" s="1"/>
  <c r="X601" i="1"/>
  <c r="U602" i="1"/>
  <c r="V602" i="1" s="1"/>
  <c r="W602" i="1"/>
  <c r="X602" i="1"/>
  <c r="U603" i="1"/>
  <c r="V603" i="1" s="1"/>
  <c r="W603" i="1" s="1"/>
  <c r="X603" i="1"/>
  <c r="U604" i="1"/>
  <c r="V604" i="1" s="1"/>
  <c r="W604" i="1" s="1"/>
  <c r="X604" i="1"/>
  <c r="U605" i="1"/>
  <c r="V605" i="1" s="1"/>
  <c r="W605" i="1" s="1"/>
  <c r="X605" i="1"/>
  <c r="U606" i="1"/>
  <c r="V606" i="1" s="1"/>
  <c r="W606" i="1" s="1"/>
  <c r="X606" i="1"/>
  <c r="U607" i="1"/>
  <c r="V607" i="1"/>
  <c r="W607" i="1" s="1"/>
  <c r="X607" i="1"/>
  <c r="U608" i="1"/>
  <c r="V608" i="1"/>
  <c r="W608" i="1" s="1"/>
  <c r="X608" i="1"/>
  <c r="U609" i="1"/>
  <c r="V609" i="1"/>
  <c r="W609" i="1" s="1"/>
  <c r="X609" i="1"/>
  <c r="U610" i="1"/>
  <c r="V610" i="1" s="1"/>
  <c r="W610" i="1" s="1"/>
  <c r="X610" i="1"/>
  <c r="U611" i="1"/>
  <c r="V611" i="1" s="1"/>
  <c r="W611" i="1" s="1"/>
  <c r="X611" i="1"/>
  <c r="U612" i="1"/>
  <c r="V612" i="1" s="1"/>
  <c r="W612" i="1" s="1"/>
  <c r="X612" i="1"/>
  <c r="U613" i="1"/>
  <c r="V613" i="1" s="1"/>
  <c r="W613" i="1" s="1"/>
  <c r="X613" i="1"/>
  <c r="U614" i="1"/>
  <c r="V614" i="1"/>
  <c r="W614" i="1" s="1"/>
  <c r="X614" i="1"/>
  <c r="U615" i="1"/>
  <c r="V615" i="1"/>
  <c r="W615" i="1"/>
  <c r="X615" i="1"/>
  <c r="U616" i="1"/>
  <c r="V616" i="1" s="1"/>
  <c r="W616" i="1" s="1"/>
  <c r="X616" i="1"/>
  <c r="U617" i="1"/>
  <c r="V617" i="1"/>
  <c r="W617" i="1" s="1"/>
  <c r="X617" i="1"/>
  <c r="U618" i="1"/>
  <c r="V618" i="1" s="1"/>
  <c r="W618" i="1" s="1"/>
  <c r="X618" i="1"/>
  <c r="U619" i="1"/>
  <c r="V619" i="1" s="1"/>
  <c r="W619" i="1" s="1"/>
  <c r="X619" i="1"/>
  <c r="U620" i="1"/>
  <c r="V620" i="1"/>
  <c r="W620" i="1" s="1"/>
  <c r="X620" i="1"/>
  <c r="U621" i="1"/>
  <c r="V621" i="1" s="1"/>
  <c r="W621" i="1" s="1"/>
  <c r="X621" i="1"/>
  <c r="U622" i="1"/>
  <c r="V622" i="1"/>
  <c r="W622" i="1"/>
  <c r="X622" i="1"/>
  <c r="U623" i="1"/>
  <c r="V623" i="1"/>
  <c r="W623" i="1" s="1"/>
  <c r="X623" i="1"/>
  <c r="U624" i="1"/>
  <c r="V624" i="1" s="1"/>
  <c r="W624" i="1" s="1"/>
  <c r="X624" i="1"/>
  <c r="U625" i="1"/>
  <c r="V625" i="1"/>
  <c r="W625" i="1" s="1"/>
  <c r="X625" i="1"/>
  <c r="U626" i="1"/>
  <c r="V626" i="1"/>
  <c r="W626" i="1" s="1"/>
  <c r="X626" i="1"/>
  <c r="U627" i="1"/>
  <c r="V627" i="1" s="1"/>
  <c r="W627" i="1" s="1"/>
  <c r="X627" i="1"/>
  <c r="U628" i="1"/>
  <c r="V628" i="1" s="1"/>
  <c r="W628" i="1" s="1"/>
  <c r="X628" i="1"/>
  <c r="U629" i="1"/>
  <c r="V629" i="1" s="1"/>
  <c r="W629" i="1" s="1"/>
  <c r="X629" i="1"/>
  <c r="U630" i="1"/>
  <c r="V630" i="1"/>
  <c r="W630" i="1" s="1"/>
  <c r="X630" i="1"/>
  <c r="U631" i="1"/>
  <c r="V631" i="1"/>
  <c r="W631" i="1"/>
  <c r="X631" i="1"/>
  <c r="U632" i="1"/>
  <c r="V632" i="1"/>
  <c r="W632" i="1"/>
  <c r="X632" i="1"/>
  <c r="U633" i="1"/>
  <c r="V633" i="1" s="1"/>
  <c r="W633" i="1" s="1"/>
  <c r="X633" i="1"/>
  <c r="U634" i="1"/>
  <c r="V634" i="1" s="1"/>
  <c r="W634" i="1" s="1"/>
  <c r="X634" i="1"/>
  <c r="U635" i="1"/>
  <c r="V635" i="1"/>
  <c r="W635" i="1" s="1"/>
  <c r="X635" i="1"/>
  <c r="U636" i="1"/>
  <c r="V636" i="1" s="1"/>
  <c r="W636" i="1" s="1"/>
  <c r="X636" i="1"/>
  <c r="U637" i="1"/>
  <c r="V637" i="1"/>
  <c r="W637" i="1" s="1"/>
  <c r="X637" i="1"/>
  <c r="U638" i="1"/>
  <c r="V638" i="1" s="1"/>
  <c r="W638" i="1" s="1"/>
  <c r="X638" i="1"/>
  <c r="U639" i="1"/>
  <c r="V639" i="1"/>
  <c r="W639" i="1" s="1"/>
  <c r="X639" i="1"/>
  <c r="U640" i="1"/>
  <c r="V640" i="1" s="1"/>
  <c r="W640" i="1"/>
  <c r="X640" i="1"/>
  <c r="U641" i="1"/>
  <c r="V641" i="1" s="1"/>
  <c r="W641" i="1" s="1"/>
  <c r="X641" i="1"/>
  <c r="U642" i="1"/>
  <c r="V642" i="1" s="1"/>
  <c r="W642" i="1" s="1"/>
  <c r="X642" i="1"/>
  <c r="U643" i="1"/>
  <c r="V643" i="1"/>
  <c r="W643" i="1" s="1"/>
  <c r="X643" i="1"/>
  <c r="U644" i="1"/>
  <c r="V644" i="1" s="1"/>
  <c r="W644" i="1"/>
  <c r="X644" i="1"/>
  <c r="U645" i="1"/>
  <c r="V645" i="1"/>
  <c r="W645" i="1" s="1"/>
  <c r="X645" i="1"/>
  <c r="U646" i="1"/>
  <c r="V646" i="1" s="1"/>
  <c r="W646" i="1"/>
  <c r="X646" i="1"/>
  <c r="U647" i="1"/>
  <c r="V647" i="1" s="1"/>
  <c r="W647" i="1" s="1"/>
  <c r="X647" i="1"/>
  <c r="U648" i="1"/>
  <c r="V648" i="1" s="1"/>
  <c r="W648" i="1"/>
  <c r="X648" i="1"/>
  <c r="U649" i="1"/>
  <c r="V649" i="1" s="1"/>
  <c r="W649" i="1" s="1"/>
  <c r="X649" i="1"/>
  <c r="U650" i="1"/>
  <c r="V650" i="1" s="1"/>
  <c r="W650" i="1" s="1"/>
  <c r="X650" i="1"/>
  <c r="U651" i="1"/>
  <c r="V651" i="1"/>
  <c r="W651" i="1" s="1"/>
  <c r="X651" i="1"/>
  <c r="U652" i="1"/>
  <c r="V652" i="1" s="1"/>
  <c r="W652" i="1"/>
  <c r="X652" i="1"/>
  <c r="U653" i="1"/>
  <c r="V653" i="1" s="1"/>
  <c r="W653" i="1" s="1"/>
  <c r="X653" i="1"/>
  <c r="U654" i="1"/>
  <c r="V654" i="1" s="1"/>
  <c r="W654" i="1"/>
  <c r="X654" i="1"/>
  <c r="U655" i="1"/>
  <c r="V655" i="1"/>
  <c r="W655" i="1"/>
  <c r="X655" i="1"/>
  <c r="U656" i="1"/>
  <c r="V656" i="1" s="1"/>
  <c r="W656" i="1" s="1"/>
  <c r="X656" i="1"/>
  <c r="U657" i="1"/>
  <c r="V657" i="1" s="1"/>
  <c r="W657" i="1" s="1"/>
  <c r="X657" i="1"/>
  <c r="U658" i="1"/>
  <c r="V658" i="1" s="1"/>
  <c r="W658" i="1" s="1"/>
  <c r="X658" i="1"/>
  <c r="U659" i="1"/>
  <c r="V659" i="1" s="1"/>
  <c r="W659" i="1" s="1"/>
  <c r="X659" i="1"/>
  <c r="U660" i="1"/>
  <c r="V660" i="1" s="1"/>
  <c r="W660" i="1" s="1"/>
  <c r="X660" i="1"/>
  <c r="U661" i="1"/>
  <c r="V661" i="1" s="1"/>
  <c r="W661" i="1" s="1"/>
  <c r="X661" i="1"/>
  <c r="U662" i="1"/>
  <c r="V662" i="1" s="1"/>
  <c r="W662" i="1" s="1"/>
  <c r="X662" i="1"/>
  <c r="U663" i="1"/>
  <c r="V663" i="1"/>
  <c r="W663" i="1"/>
  <c r="X663" i="1"/>
  <c r="U664" i="1"/>
  <c r="V664" i="1" s="1"/>
  <c r="W664" i="1"/>
  <c r="X664" i="1"/>
  <c r="U665" i="1"/>
  <c r="V665" i="1" s="1"/>
  <c r="W665" i="1" s="1"/>
  <c r="X665" i="1"/>
  <c r="U666" i="1"/>
  <c r="V666" i="1" s="1"/>
  <c r="W666" i="1" s="1"/>
  <c r="X666" i="1"/>
  <c r="U667" i="1"/>
  <c r="V667" i="1"/>
  <c r="W667" i="1" s="1"/>
  <c r="X667" i="1"/>
  <c r="U668" i="1"/>
  <c r="V668" i="1" s="1"/>
  <c r="W668" i="1" s="1"/>
  <c r="X668" i="1"/>
  <c r="U669" i="1"/>
  <c r="V669" i="1"/>
  <c r="W669" i="1" s="1"/>
  <c r="X669" i="1"/>
  <c r="U670" i="1"/>
  <c r="V670" i="1" s="1"/>
  <c r="W670" i="1" s="1"/>
  <c r="X670" i="1"/>
  <c r="U671" i="1"/>
  <c r="V671" i="1"/>
  <c r="W671" i="1" s="1"/>
  <c r="X671" i="1"/>
  <c r="U672" i="1"/>
  <c r="V672" i="1" s="1"/>
  <c r="W672" i="1"/>
  <c r="X672" i="1"/>
  <c r="U673" i="1"/>
  <c r="V673" i="1" s="1"/>
  <c r="W673" i="1" s="1"/>
  <c r="X673" i="1"/>
  <c r="U674" i="1"/>
  <c r="V674" i="1" s="1"/>
  <c r="W674" i="1" s="1"/>
  <c r="X674" i="1"/>
  <c r="U675" i="1"/>
  <c r="V675" i="1"/>
  <c r="W675" i="1" s="1"/>
  <c r="X675" i="1"/>
  <c r="U676" i="1"/>
  <c r="V676" i="1" s="1"/>
  <c r="W676" i="1"/>
  <c r="X676" i="1"/>
  <c r="U677" i="1"/>
  <c r="V677" i="1"/>
  <c r="W677" i="1" s="1"/>
  <c r="X677" i="1"/>
  <c r="U678" i="1"/>
  <c r="V678" i="1" s="1"/>
  <c r="W678" i="1"/>
  <c r="X678" i="1"/>
  <c r="U679" i="1"/>
  <c r="V679" i="1" s="1"/>
  <c r="W679" i="1" s="1"/>
  <c r="X679" i="1"/>
  <c r="U680" i="1"/>
  <c r="V680" i="1" s="1"/>
  <c r="W680" i="1"/>
  <c r="X680" i="1"/>
  <c r="U681" i="1"/>
  <c r="V681" i="1" s="1"/>
  <c r="W681" i="1" s="1"/>
  <c r="X681" i="1"/>
  <c r="U682" i="1"/>
  <c r="V682" i="1" s="1"/>
  <c r="W682" i="1" s="1"/>
  <c r="X682" i="1"/>
  <c r="U683" i="1"/>
  <c r="V683" i="1" s="1"/>
  <c r="W683" i="1" s="1"/>
  <c r="X683" i="1"/>
  <c r="U684" i="1"/>
  <c r="V684" i="1" s="1"/>
  <c r="W684" i="1"/>
  <c r="X684" i="1"/>
  <c r="U685" i="1"/>
  <c r="V685" i="1" s="1"/>
  <c r="W685" i="1" s="1"/>
  <c r="X685" i="1"/>
  <c r="U686" i="1"/>
  <c r="V686" i="1" s="1"/>
  <c r="W686" i="1"/>
  <c r="X686" i="1"/>
  <c r="U687" i="1"/>
  <c r="V687" i="1"/>
  <c r="W687" i="1"/>
  <c r="X687" i="1"/>
  <c r="U688" i="1"/>
  <c r="V688" i="1" s="1"/>
  <c r="W688" i="1" s="1"/>
  <c r="X688" i="1"/>
  <c r="U689" i="1"/>
  <c r="V689" i="1" s="1"/>
  <c r="W689" i="1" s="1"/>
  <c r="X689" i="1"/>
  <c r="U690" i="1"/>
  <c r="V690" i="1" s="1"/>
  <c r="W690" i="1" s="1"/>
  <c r="X690" i="1"/>
  <c r="U691" i="1"/>
  <c r="V691" i="1" s="1"/>
  <c r="W691" i="1" s="1"/>
  <c r="X691" i="1"/>
  <c r="U692" i="1"/>
  <c r="V692" i="1" s="1"/>
  <c r="W692" i="1" s="1"/>
  <c r="X692" i="1"/>
  <c r="U693" i="1"/>
  <c r="V693" i="1"/>
  <c r="W693" i="1" s="1"/>
  <c r="X693" i="1"/>
  <c r="U694" i="1"/>
  <c r="V694" i="1" s="1"/>
  <c r="W694" i="1"/>
  <c r="X694" i="1"/>
  <c r="U695" i="1"/>
  <c r="V695" i="1"/>
  <c r="W695" i="1" s="1"/>
  <c r="X695" i="1"/>
  <c r="U696" i="1"/>
  <c r="V696" i="1"/>
  <c r="W696" i="1" s="1"/>
  <c r="X696" i="1"/>
  <c r="U697" i="1"/>
  <c r="V697" i="1" s="1"/>
  <c r="W697" i="1" s="1"/>
  <c r="X697" i="1"/>
  <c r="U698" i="1"/>
  <c r="V698" i="1" s="1"/>
  <c r="W698" i="1" s="1"/>
  <c r="X698" i="1"/>
  <c r="U699" i="1"/>
  <c r="V699" i="1"/>
  <c r="W699" i="1"/>
  <c r="X699" i="1"/>
  <c r="U700" i="1"/>
  <c r="V700" i="1"/>
  <c r="W700" i="1"/>
  <c r="X700" i="1"/>
  <c r="U701" i="1"/>
  <c r="V701" i="1" s="1"/>
  <c r="W701" i="1" s="1"/>
  <c r="X701" i="1"/>
  <c r="U702" i="1"/>
  <c r="V702" i="1" s="1"/>
  <c r="W702" i="1"/>
  <c r="X702" i="1"/>
  <c r="U703" i="1"/>
  <c r="V703" i="1" s="1"/>
  <c r="W703" i="1" s="1"/>
  <c r="X703" i="1"/>
  <c r="U704" i="1"/>
  <c r="V704" i="1" s="1"/>
  <c r="W704" i="1" s="1"/>
  <c r="X704" i="1"/>
  <c r="U705" i="1"/>
  <c r="V705" i="1" s="1"/>
  <c r="W705" i="1" s="1"/>
  <c r="X705" i="1"/>
  <c r="U706" i="1"/>
  <c r="V706" i="1" s="1"/>
  <c r="W706" i="1" s="1"/>
  <c r="X706" i="1"/>
  <c r="U707" i="1"/>
  <c r="V707" i="1"/>
  <c r="W707" i="1" s="1"/>
  <c r="X707" i="1"/>
  <c r="U708" i="1"/>
  <c r="V708" i="1" s="1"/>
  <c r="W708" i="1" s="1"/>
  <c r="X708" i="1"/>
  <c r="U709" i="1"/>
  <c r="V709" i="1" s="1"/>
  <c r="W709" i="1" s="1"/>
  <c r="X709" i="1"/>
  <c r="U710" i="1"/>
  <c r="V710" i="1" s="1"/>
  <c r="W710" i="1"/>
  <c r="X710" i="1"/>
  <c r="U711" i="1"/>
  <c r="V711" i="1" s="1"/>
  <c r="W711" i="1" s="1"/>
  <c r="X711" i="1"/>
  <c r="U712" i="1"/>
  <c r="V712" i="1"/>
  <c r="W712" i="1" s="1"/>
  <c r="X712" i="1"/>
  <c r="U713" i="1"/>
  <c r="V713" i="1"/>
  <c r="W713" i="1" s="1"/>
  <c r="X713" i="1"/>
  <c r="U714" i="1"/>
  <c r="V714" i="1" s="1"/>
  <c r="W714" i="1" s="1"/>
  <c r="X714" i="1"/>
  <c r="U715" i="1"/>
  <c r="V715" i="1"/>
  <c r="W715" i="1" s="1"/>
  <c r="X715" i="1"/>
  <c r="U716" i="1"/>
  <c r="V716" i="1"/>
  <c r="W716" i="1"/>
  <c r="X716" i="1"/>
  <c r="U717" i="1"/>
  <c r="V717" i="1"/>
  <c r="W717" i="1"/>
  <c r="X717" i="1"/>
  <c r="U718" i="1"/>
  <c r="V718" i="1" s="1"/>
  <c r="W718" i="1" s="1"/>
  <c r="X718" i="1"/>
  <c r="U719" i="1"/>
  <c r="V719" i="1" s="1"/>
  <c r="W719" i="1" s="1"/>
  <c r="X719" i="1"/>
  <c r="U720" i="1"/>
  <c r="V720" i="1" s="1"/>
  <c r="W720" i="1" s="1"/>
  <c r="X720" i="1"/>
  <c r="U721" i="1"/>
  <c r="V721" i="1" s="1"/>
  <c r="W721" i="1" s="1"/>
  <c r="X721" i="1"/>
  <c r="U722" i="1"/>
  <c r="V722" i="1" s="1"/>
  <c r="W722" i="1" s="1"/>
  <c r="X722" i="1"/>
  <c r="U723" i="1"/>
  <c r="V723" i="1"/>
  <c r="W723" i="1" s="1"/>
  <c r="X723" i="1"/>
  <c r="U724" i="1"/>
  <c r="V724" i="1"/>
  <c r="W724" i="1" s="1"/>
  <c r="X724" i="1"/>
  <c r="U725" i="1"/>
  <c r="V725" i="1" s="1"/>
  <c r="W725" i="1" s="1"/>
  <c r="X725" i="1"/>
  <c r="U726" i="1"/>
  <c r="V726" i="1" s="1"/>
  <c r="W726" i="1" s="1"/>
  <c r="X726" i="1"/>
  <c r="U727" i="1"/>
  <c r="V727" i="1" s="1"/>
  <c r="W727" i="1" s="1"/>
  <c r="X727" i="1"/>
  <c r="U728" i="1"/>
  <c r="V728" i="1" s="1"/>
  <c r="W728" i="1" s="1"/>
  <c r="X728" i="1"/>
  <c r="U729" i="1"/>
  <c r="V729" i="1"/>
  <c r="W729" i="1" s="1"/>
  <c r="X729" i="1"/>
  <c r="U730" i="1"/>
  <c r="V730" i="1" s="1"/>
  <c r="W730" i="1"/>
  <c r="X730" i="1"/>
  <c r="U731" i="1"/>
  <c r="V731" i="1" s="1"/>
  <c r="W731" i="1" s="1"/>
  <c r="X731" i="1"/>
  <c r="U732" i="1"/>
  <c r="V732" i="1"/>
  <c r="W732" i="1" s="1"/>
  <c r="X732" i="1"/>
  <c r="U733" i="1"/>
  <c r="V733" i="1"/>
  <c r="W733" i="1"/>
  <c r="X733" i="1"/>
  <c r="U734" i="1"/>
  <c r="V734" i="1" s="1"/>
  <c r="W734" i="1"/>
  <c r="X734" i="1"/>
  <c r="U735" i="1"/>
  <c r="V735" i="1" s="1"/>
  <c r="W735" i="1" s="1"/>
  <c r="X735" i="1"/>
  <c r="U736" i="1"/>
  <c r="V736" i="1" s="1"/>
  <c r="W736" i="1" s="1"/>
  <c r="X736" i="1"/>
  <c r="U737" i="1"/>
  <c r="V737" i="1" s="1"/>
  <c r="W737" i="1" s="1"/>
  <c r="X737" i="1"/>
  <c r="U738" i="1"/>
  <c r="V738" i="1" s="1"/>
  <c r="W738" i="1" s="1"/>
  <c r="X738" i="1"/>
  <c r="U739" i="1"/>
  <c r="V739" i="1" s="1"/>
  <c r="W739" i="1" s="1"/>
  <c r="X739" i="1"/>
  <c r="U740" i="1"/>
  <c r="V740" i="1"/>
  <c r="W740" i="1" s="1"/>
  <c r="X740" i="1"/>
  <c r="U741" i="1"/>
  <c r="V741" i="1"/>
  <c r="W741" i="1" s="1"/>
  <c r="X741" i="1"/>
  <c r="U742" i="1"/>
  <c r="V742" i="1" s="1"/>
  <c r="W742" i="1" s="1"/>
  <c r="X742" i="1"/>
  <c r="U743" i="1"/>
  <c r="V743" i="1"/>
  <c r="W743" i="1" s="1"/>
  <c r="X743" i="1"/>
  <c r="U744" i="1"/>
  <c r="V744" i="1" s="1"/>
  <c r="W744" i="1" s="1"/>
  <c r="X744" i="1"/>
  <c r="U745" i="1"/>
  <c r="V745" i="1" s="1"/>
  <c r="W745" i="1" s="1"/>
  <c r="X745" i="1"/>
  <c r="U746" i="1"/>
  <c r="V746" i="1" s="1"/>
  <c r="W746" i="1"/>
  <c r="X746" i="1"/>
  <c r="U747" i="1"/>
  <c r="V747" i="1"/>
  <c r="W747" i="1"/>
  <c r="X747" i="1"/>
  <c r="U748" i="1"/>
  <c r="V748" i="1" s="1"/>
  <c r="W748" i="1" s="1"/>
  <c r="X748" i="1"/>
  <c r="U749" i="1"/>
  <c r="V749" i="1"/>
  <c r="W749" i="1" s="1"/>
  <c r="X749" i="1"/>
  <c r="U750" i="1"/>
  <c r="V750" i="1" s="1"/>
  <c r="W750" i="1"/>
  <c r="X750" i="1"/>
  <c r="U751" i="1"/>
  <c r="V751" i="1" s="1"/>
  <c r="W751" i="1" s="1"/>
  <c r="X751" i="1"/>
  <c r="U752" i="1"/>
  <c r="V752" i="1" s="1"/>
  <c r="W752" i="1" s="1"/>
  <c r="X752" i="1"/>
  <c r="U753" i="1"/>
  <c r="V753" i="1" s="1"/>
  <c r="W753" i="1" s="1"/>
  <c r="X753" i="1"/>
  <c r="U754" i="1"/>
  <c r="V754" i="1" s="1"/>
  <c r="W754" i="1" s="1"/>
  <c r="X754" i="1"/>
  <c r="U755" i="1"/>
  <c r="V755" i="1" s="1"/>
  <c r="W755" i="1" s="1"/>
  <c r="X755" i="1"/>
  <c r="U756" i="1"/>
  <c r="V756" i="1" s="1"/>
  <c r="W756" i="1" s="1"/>
  <c r="X756" i="1"/>
  <c r="U757" i="1"/>
  <c r="V757" i="1"/>
  <c r="W757" i="1" s="1"/>
  <c r="X757" i="1"/>
  <c r="U758" i="1"/>
  <c r="V758" i="1" s="1"/>
  <c r="W758" i="1"/>
  <c r="X758" i="1"/>
  <c r="U759" i="1"/>
  <c r="V759" i="1"/>
  <c r="W759" i="1" s="1"/>
  <c r="X759" i="1"/>
  <c r="U760" i="1"/>
  <c r="V760" i="1"/>
  <c r="W760" i="1" s="1"/>
  <c r="X760" i="1"/>
  <c r="U761" i="1"/>
  <c r="V761" i="1" s="1"/>
  <c r="W761" i="1" s="1"/>
  <c r="X761" i="1"/>
  <c r="U762" i="1"/>
  <c r="V762" i="1" s="1"/>
  <c r="W762" i="1" s="1"/>
  <c r="X762" i="1"/>
  <c r="U763" i="1"/>
  <c r="V763" i="1"/>
  <c r="W763" i="1"/>
  <c r="X763" i="1"/>
  <c r="U764" i="1"/>
  <c r="V764" i="1"/>
  <c r="W764" i="1"/>
  <c r="X764" i="1"/>
  <c r="U765" i="1"/>
  <c r="V765" i="1" s="1"/>
  <c r="W765" i="1" s="1"/>
  <c r="X765" i="1"/>
  <c r="U766" i="1"/>
  <c r="V766" i="1" s="1"/>
  <c r="W766" i="1"/>
  <c r="X766" i="1"/>
  <c r="U767" i="1"/>
  <c r="V767" i="1" s="1"/>
  <c r="W767" i="1" s="1"/>
  <c r="X767" i="1"/>
  <c r="U768" i="1"/>
  <c r="V768" i="1" s="1"/>
  <c r="W768" i="1" s="1"/>
  <c r="X768" i="1"/>
  <c r="U769" i="1"/>
  <c r="V769" i="1" s="1"/>
  <c r="W769" i="1" s="1"/>
  <c r="X769" i="1"/>
  <c r="U770" i="1"/>
  <c r="V770" i="1" s="1"/>
  <c r="W770" i="1" s="1"/>
  <c r="X770" i="1"/>
  <c r="U771" i="1"/>
  <c r="V771" i="1"/>
  <c r="W771" i="1" s="1"/>
  <c r="X771" i="1"/>
  <c r="U772" i="1"/>
  <c r="V772" i="1" s="1"/>
  <c r="W772" i="1" s="1"/>
  <c r="X772" i="1"/>
  <c r="U773" i="1"/>
  <c r="V773" i="1" s="1"/>
  <c r="W773" i="1" s="1"/>
  <c r="X773" i="1"/>
  <c r="U774" i="1"/>
  <c r="V774" i="1" s="1"/>
  <c r="W774" i="1"/>
  <c r="X774" i="1"/>
  <c r="U775" i="1"/>
  <c r="V775" i="1" s="1"/>
  <c r="W775" i="1" s="1"/>
  <c r="X775" i="1"/>
  <c r="U776" i="1"/>
  <c r="V776" i="1"/>
  <c r="W776" i="1" s="1"/>
  <c r="X776" i="1"/>
  <c r="U777" i="1"/>
  <c r="V777" i="1"/>
  <c r="W777" i="1" s="1"/>
  <c r="X777" i="1"/>
  <c r="U778" i="1"/>
  <c r="V778" i="1" s="1"/>
  <c r="W778" i="1" s="1"/>
  <c r="X778" i="1"/>
  <c r="U779" i="1"/>
  <c r="V779" i="1"/>
  <c r="W779" i="1" s="1"/>
  <c r="X779" i="1"/>
  <c r="U780" i="1"/>
  <c r="V780" i="1"/>
  <c r="W780" i="1"/>
  <c r="X780" i="1"/>
  <c r="U781" i="1"/>
  <c r="V781" i="1"/>
  <c r="W781" i="1"/>
  <c r="X781" i="1"/>
  <c r="U782" i="1"/>
  <c r="V782" i="1" s="1"/>
  <c r="W782" i="1" s="1"/>
  <c r="X782" i="1"/>
  <c r="U783" i="1"/>
  <c r="V783" i="1" s="1"/>
  <c r="W783" i="1" s="1"/>
  <c r="X783" i="1"/>
  <c r="U784" i="1"/>
  <c r="V784" i="1" s="1"/>
  <c r="W784" i="1" s="1"/>
  <c r="X784" i="1"/>
  <c r="U785" i="1"/>
  <c r="V785" i="1" s="1"/>
  <c r="W785" i="1" s="1"/>
  <c r="X785" i="1"/>
  <c r="U786" i="1"/>
  <c r="V786" i="1" s="1"/>
  <c r="W786" i="1" s="1"/>
  <c r="X786" i="1"/>
  <c r="U787" i="1"/>
  <c r="V787" i="1"/>
  <c r="W787" i="1" s="1"/>
  <c r="X787" i="1"/>
  <c r="U788" i="1"/>
  <c r="V788" i="1"/>
  <c r="W788" i="1" s="1"/>
  <c r="X788" i="1"/>
  <c r="U789" i="1"/>
  <c r="V789" i="1" s="1"/>
  <c r="W789" i="1" s="1"/>
  <c r="X789" i="1"/>
  <c r="U790" i="1"/>
  <c r="V790" i="1" s="1"/>
  <c r="W790" i="1" s="1"/>
  <c r="X790" i="1"/>
  <c r="U791" i="1"/>
  <c r="V791" i="1" s="1"/>
  <c r="W791" i="1" s="1"/>
  <c r="X791" i="1"/>
  <c r="U792" i="1"/>
  <c r="V792" i="1" s="1"/>
  <c r="W792" i="1" s="1"/>
  <c r="X792" i="1"/>
  <c r="U793" i="1"/>
  <c r="V793" i="1"/>
  <c r="W793" i="1" s="1"/>
  <c r="X793" i="1"/>
  <c r="U794" i="1"/>
  <c r="V794" i="1" s="1"/>
  <c r="W794" i="1"/>
  <c r="X794" i="1"/>
  <c r="U795" i="1"/>
  <c r="V795" i="1" s="1"/>
  <c r="W795" i="1" s="1"/>
  <c r="X795" i="1"/>
  <c r="U796" i="1"/>
  <c r="V796" i="1"/>
  <c r="W796" i="1" s="1"/>
  <c r="X796" i="1"/>
  <c r="U797" i="1"/>
  <c r="V797" i="1"/>
  <c r="W797" i="1"/>
  <c r="X797" i="1"/>
  <c r="U798" i="1"/>
  <c r="V798" i="1" s="1"/>
  <c r="W798" i="1"/>
  <c r="X798" i="1"/>
  <c r="U799" i="1"/>
  <c r="V799" i="1" s="1"/>
  <c r="W799" i="1" s="1"/>
  <c r="X799" i="1"/>
  <c r="U800" i="1"/>
  <c r="V800" i="1" s="1"/>
  <c r="W800" i="1" s="1"/>
  <c r="X800" i="1"/>
  <c r="U801" i="1"/>
  <c r="V801" i="1" s="1"/>
  <c r="W801" i="1" s="1"/>
  <c r="X801" i="1"/>
  <c r="U802" i="1"/>
  <c r="V802" i="1" s="1"/>
  <c r="W802" i="1" s="1"/>
  <c r="X802" i="1"/>
  <c r="U803" i="1"/>
  <c r="V803" i="1" s="1"/>
  <c r="W803" i="1" s="1"/>
  <c r="X803" i="1"/>
  <c r="U804" i="1"/>
  <c r="V804" i="1"/>
  <c r="W804" i="1" s="1"/>
  <c r="X804" i="1"/>
  <c r="U805" i="1"/>
  <c r="V805" i="1"/>
  <c r="W805" i="1" s="1"/>
  <c r="X805" i="1"/>
  <c r="U806" i="1"/>
  <c r="V806" i="1" s="1"/>
  <c r="W806" i="1" s="1"/>
  <c r="X806" i="1"/>
  <c r="U807" i="1"/>
  <c r="V807" i="1"/>
  <c r="W807" i="1" s="1"/>
  <c r="X807" i="1"/>
  <c r="U808" i="1"/>
  <c r="V808" i="1" s="1"/>
  <c r="W808" i="1" s="1"/>
  <c r="X808" i="1"/>
  <c r="U809" i="1"/>
  <c r="V809" i="1" s="1"/>
  <c r="W809" i="1" s="1"/>
  <c r="X809" i="1"/>
  <c r="U810" i="1"/>
  <c r="V810" i="1" s="1"/>
  <c r="W810" i="1"/>
  <c r="X810" i="1"/>
  <c r="U811" i="1"/>
  <c r="V811" i="1"/>
  <c r="W811" i="1"/>
  <c r="X811" i="1"/>
  <c r="U812" i="1"/>
  <c r="V812" i="1" s="1"/>
  <c r="W812" i="1" s="1"/>
  <c r="X812" i="1"/>
  <c r="U813" i="1"/>
  <c r="V813" i="1"/>
  <c r="W813" i="1" s="1"/>
  <c r="X813" i="1"/>
  <c r="U814" i="1"/>
  <c r="V814" i="1"/>
  <c r="W814" i="1"/>
  <c r="X814" i="1"/>
  <c r="U815" i="1"/>
  <c r="V815" i="1"/>
  <c r="W815" i="1"/>
  <c r="X815" i="1"/>
  <c r="U816" i="1"/>
  <c r="V816" i="1" s="1"/>
  <c r="W816" i="1" s="1"/>
  <c r="X816" i="1"/>
  <c r="U817" i="1"/>
  <c r="V817" i="1"/>
  <c r="W817" i="1" s="1"/>
  <c r="X817" i="1"/>
  <c r="U818" i="1"/>
  <c r="V818" i="1"/>
  <c r="W818" i="1"/>
  <c r="X818" i="1"/>
  <c r="U819" i="1"/>
  <c r="V819" i="1"/>
  <c r="W819" i="1"/>
  <c r="X819" i="1"/>
  <c r="U820" i="1"/>
  <c r="V820" i="1" s="1"/>
  <c r="W820" i="1" s="1"/>
  <c r="X820" i="1"/>
  <c r="U821" i="1"/>
  <c r="V821" i="1"/>
  <c r="W821" i="1" s="1"/>
  <c r="X821" i="1"/>
  <c r="U822" i="1"/>
  <c r="V822" i="1"/>
  <c r="W822" i="1"/>
  <c r="X822" i="1"/>
  <c r="U823" i="1"/>
  <c r="V823" i="1"/>
  <c r="W823" i="1"/>
  <c r="X823" i="1"/>
  <c r="U824" i="1"/>
  <c r="V824" i="1" s="1"/>
  <c r="W824" i="1" s="1"/>
  <c r="X824" i="1"/>
  <c r="U825" i="1"/>
  <c r="V825" i="1"/>
  <c r="W825" i="1" s="1"/>
  <c r="X825" i="1"/>
  <c r="U826" i="1"/>
  <c r="V826" i="1"/>
  <c r="W826" i="1"/>
  <c r="X826" i="1"/>
  <c r="U827" i="1"/>
  <c r="V827" i="1"/>
  <c r="W827" i="1"/>
  <c r="X827" i="1"/>
  <c r="U828" i="1"/>
  <c r="V828" i="1" s="1"/>
  <c r="W828" i="1" s="1"/>
  <c r="X828" i="1"/>
  <c r="U829" i="1"/>
  <c r="V829" i="1"/>
  <c r="W829" i="1" s="1"/>
  <c r="X829" i="1"/>
  <c r="U830" i="1"/>
  <c r="V830" i="1"/>
  <c r="W830" i="1"/>
  <c r="X830" i="1"/>
  <c r="U831" i="1"/>
  <c r="V831" i="1"/>
  <c r="W831" i="1"/>
  <c r="X831" i="1"/>
  <c r="U832" i="1"/>
  <c r="V832" i="1" s="1"/>
  <c r="W832" i="1" s="1"/>
  <c r="X832" i="1"/>
  <c r="U833" i="1"/>
  <c r="V833" i="1"/>
  <c r="W833" i="1" s="1"/>
  <c r="X833" i="1"/>
  <c r="U834" i="1"/>
  <c r="V834" i="1"/>
  <c r="W834" i="1"/>
  <c r="X834" i="1"/>
  <c r="U835" i="1"/>
  <c r="V835" i="1"/>
  <c r="W835" i="1"/>
  <c r="X835" i="1"/>
  <c r="U836" i="1"/>
  <c r="V836" i="1" s="1"/>
  <c r="W836" i="1" s="1"/>
  <c r="X836" i="1"/>
  <c r="U837" i="1"/>
  <c r="V837" i="1"/>
  <c r="W837" i="1" s="1"/>
  <c r="X837" i="1"/>
  <c r="U838" i="1"/>
  <c r="V838" i="1"/>
  <c r="W838" i="1"/>
  <c r="X838" i="1"/>
  <c r="U839" i="1"/>
  <c r="V839" i="1"/>
  <c r="W839" i="1"/>
  <c r="X839" i="1"/>
  <c r="U840" i="1"/>
  <c r="V840" i="1" s="1"/>
  <c r="W840" i="1" s="1"/>
  <c r="X840" i="1"/>
  <c r="U841" i="1"/>
  <c r="V841" i="1"/>
  <c r="W841" i="1" s="1"/>
  <c r="X841" i="1"/>
  <c r="U842" i="1"/>
  <c r="V842" i="1"/>
  <c r="W842" i="1"/>
  <c r="X842" i="1"/>
  <c r="U843" i="1"/>
  <c r="V843" i="1"/>
  <c r="W843" i="1"/>
  <c r="X843" i="1"/>
  <c r="U844" i="1"/>
  <c r="V844" i="1" s="1"/>
  <c r="W844" i="1" s="1"/>
  <c r="X844" i="1"/>
  <c r="U845" i="1"/>
  <c r="V845" i="1"/>
  <c r="W845" i="1" s="1"/>
  <c r="X845" i="1"/>
  <c r="U846" i="1"/>
  <c r="V846" i="1"/>
  <c r="W846" i="1"/>
  <c r="X846" i="1"/>
  <c r="U847" i="1"/>
  <c r="V847" i="1"/>
  <c r="W847" i="1"/>
  <c r="X847" i="1"/>
  <c r="U848" i="1"/>
  <c r="V848" i="1" s="1"/>
  <c r="W848" i="1" s="1"/>
  <c r="X848" i="1"/>
  <c r="U849" i="1"/>
  <c r="V849" i="1"/>
  <c r="W849" i="1" s="1"/>
  <c r="X849" i="1"/>
  <c r="U850" i="1"/>
  <c r="V850" i="1"/>
  <c r="W850" i="1"/>
  <c r="X850" i="1"/>
  <c r="U851" i="1"/>
  <c r="V851" i="1"/>
  <c r="W851" i="1"/>
  <c r="X851" i="1"/>
  <c r="U852" i="1"/>
  <c r="V852" i="1" s="1"/>
  <c r="W852" i="1" s="1"/>
  <c r="X852" i="1"/>
  <c r="U853" i="1"/>
  <c r="V853" i="1"/>
  <c r="W853" i="1" s="1"/>
  <c r="X853" i="1"/>
  <c r="U854" i="1"/>
  <c r="V854" i="1"/>
  <c r="W854" i="1"/>
  <c r="X854" i="1"/>
  <c r="U855" i="1"/>
  <c r="V855" i="1"/>
  <c r="W855" i="1"/>
  <c r="X855" i="1"/>
  <c r="U856" i="1"/>
  <c r="V856" i="1" s="1"/>
  <c r="W856" i="1" s="1"/>
  <c r="X856" i="1"/>
  <c r="U857" i="1"/>
  <c r="V857" i="1"/>
  <c r="W857" i="1" s="1"/>
  <c r="X857" i="1"/>
  <c r="U858" i="1"/>
  <c r="V858" i="1"/>
  <c r="W858" i="1"/>
  <c r="X858" i="1"/>
  <c r="U859" i="1"/>
  <c r="V859" i="1"/>
  <c r="W859" i="1"/>
  <c r="X859" i="1"/>
  <c r="U860" i="1"/>
  <c r="V860" i="1" s="1"/>
  <c r="W860" i="1" s="1"/>
  <c r="X860" i="1"/>
  <c r="U861" i="1"/>
  <c r="V861" i="1"/>
  <c r="W861" i="1" s="1"/>
  <c r="X861" i="1"/>
  <c r="U862" i="1"/>
  <c r="V862" i="1"/>
  <c r="W862" i="1"/>
  <c r="X862" i="1"/>
  <c r="U863" i="1"/>
  <c r="V863" i="1"/>
  <c r="W863" i="1"/>
  <c r="X863" i="1"/>
  <c r="U864" i="1"/>
  <c r="V864" i="1" s="1"/>
  <c r="W864" i="1" s="1"/>
  <c r="X864" i="1"/>
  <c r="U865" i="1"/>
  <c r="V865" i="1"/>
  <c r="W865" i="1" s="1"/>
  <c r="X865" i="1"/>
  <c r="U866" i="1"/>
  <c r="V866" i="1"/>
  <c r="W866" i="1"/>
  <c r="X866" i="1"/>
  <c r="U867" i="1"/>
  <c r="V867" i="1"/>
  <c r="W867" i="1"/>
  <c r="X867" i="1"/>
  <c r="U868" i="1"/>
  <c r="V868" i="1" s="1"/>
  <c r="W868" i="1" s="1"/>
  <c r="X868" i="1"/>
  <c r="U869" i="1"/>
  <c r="V869" i="1"/>
  <c r="W869" i="1" s="1"/>
  <c r="X869" i="1"/>
  <c r="U870" i="1"/>
  <c r="V870" i="1"/>
  <c r="W870" i="1"/>
  <c r="X870" i="1"/>
  <c r="U871" i="1"/>
  <c r="V871" i="1"/>
  <c r="W871" i="1"/>
  <c r="X871" i="1"/>
  <c r="U872" i="1"/>
  <c r="V872" i="1" s="1"/>
  <c r="W872" i="1" s="1"/>
  <c r="X872" i="1"/>
  <c r="U873" i="1"/>
  <c r="V873" i="1"/>
  <c r="W873" i="1" s="1"/>
  <c r="X873" i="1"/>
  <c r="U874" i="1"/>
  <c r="V874" i="1"/>
  <c r="W874" i="1"/>
  <c r="X874" i="1"/>
  <c r="U875" i="1"/>
  <c r="V875" i="1"/>
  <c r="W875" i="1"/>
  <c r="X875" i="1"/>
  <c r="U876" i="1"/>
  <c r="V876" i="1" s="1"/>
  <c r="W876" i="1" s="1"/>
  <c r="X876" i="1"/>
  <c r="U877" i="1"/>
  <c r="V877" i="1"/>
  <c r="W877" i="1" s="1"/>
  <c r="X877" i="1"/>
  <c r="U878" i="1"/>
  <c r="V878" i="1"/>
  <c r="W878" i="1"/>
  <c r="X878" i="1"/>
  <c r="U879" i="1"/>
  <c r="V879" i="1"/>
  <c r="W879" i="1"/>
  <c r="X879" i="1"/>
  <c r="U880" i="1"/>
  <c r="V880" i="1" s="1"/>
  <c r="W880" i="1" s="1"/>
  <c r="X880" i="1"/>
  <c r="U881" i="1"/>
  <c r="V881" i="1"/>
  <c r="W881" i="1" s="1"/>
  <c r="X881" i="1"/>
  <c r="U882" i="1"/>
  <c r="V882" i="1"/>
  <c r="W882" i="1"/>
  <c r="X882" i="1"/>
  <c r="U883" i="1"/>
  <c r="V883" i="1"/>
  <c r="W883" i="1"/>
  <c r="X883" i="1"/>
  <c r="U884" i="1"/>
  <c r="V884" i="1" s="1"/>
  <c r="W884" i="1" s="1"/>
  <c r="X884" i="1"/>
  <c r="U885" i="1"/>
  <c r="V885" i="1"/>
  <c r="W885" i="1" s="1"/>
  <c r="X885" i="1"/>
  <c r="U886" i="1"/>
  <c r="V886" i="1"/>
  <c r="W886" i="1"/>
  <c r="X886" i="1"/>
  <c r="U887" i="1"/>
  <c r="V887" i="1"/>
  <c r="W887" i="1"/>
  <c r="X887" i="1"/>
  <c r="U888" i="1"/>
  <c r="V888" i="1" s="1"/>
  <c r="W888" i="1" s="1"/>
  <c r="X888" i="1"/>
  <c r="U889" i="1"/>
  <c r="V889" i="1"/>
  <c r="W889" i="1" s="1"/>
  <c r="X889" i="1"/>
  <c r="U890" i="1"/>
  <c r="V890" i="1"/>
  <c r="W890" i="1"/>
  <c r="X890" i="1"/>
  <c r="U891" i="1"/>
  <c r="V891" i="1"/>
  <c r="W891" i="1"/>
  <c r="X891" i="1"/>
  <c r="U892" i="1"/>
  <c r="V892" i="1" s="1"/>
  <c r="W892" i="1" s="1"/>
  <c r="X892" i="1"/>
  <c r="U893" i="1"/>
  <c r="V893" i="1"/>
  <c r="W893" i="1" s="1"/>
  <c r="X893" i="1"/>
  <c r="U894" i="1"/>
  <c r="V894" i="1" s="1"/>
  <c r="W894" i="1" s="1"/>
  <c r="X894" i="1"/>
  <c r="U895" i="1"/>
  <c r="V895" i="1"/>
  <c r="W895" i="1"/>
  <c r="X895" i="1"/>
  <c r="U896" i="1"/>
  <c r="V896" i="1" s="1"/>
  <c r="W896" i="1" s="1"/>
  <c r="X896" i="1"/>
  <c r="U897" i="1"/>
  <c r="V897" i="1"/>
  <c r="W897" i="1" s="1"/>
  <c r="X897" i="1"/>
  <c r="U898" i="1"/>
  <c r="V898" i="1" s="1"/>
  <c r="W898" i="1" s="1"/>
  <c r="X898" i="1"/>
  <c r="U899" i="1"/>
  <c r="V899" i="1"/>
  <c r="W899" i="1"/>
  <c r="X899" i="1"/>
  <c r="U900" i="1"/>
  <c r="V900" i="1" s="1"/>
  <c r="W900" i="1" s="1"/>
  <c r="X900" i="1"/>
  <c r="U901" i="1"/>
  <c r="V901" i="1"/>
  <c r="W901" i="1" s="1"/>
  <c r="X901" i="1"/>
  <c r="U902" i="1"/>
  <c r="V902" i="1" s="1"/>
  <c r="W902" i="1" s="1"/>
  <c r="X902" i="1"/>
  <c r="U903" i="1"/>
  <c r="V903" i="1"/>
  <c r="W903" i="1"/>
  <c r="X903" i="1"/>
  <c r="U904" i="1"/>
  <c r="V904" i="1" s="1"/>
  <c r="W904" i="1" s="1"/>
  <c r="X904" i="1"/>
  <c r="U905" i="1"/>
  <c r="V905" i="1"/>
  <c r="W905" i="1" s="1"/>
  <c r="X905" i="1"/>
  <c r="U906" i="1"/>
  <c r="V906" i="1" s="1"/>
  <c r="W906" i="1" s="1"/>
  <c r="X906" i="1"/>
  <c r="U907" i="1"/>
  <c r="V907" i="1"/>
  <c r="W907" i="1"/>
  <c r="X907" i="1"/>
  <c r="U908" i="1"/>
  <c r="V908" i="1" s="1"/>
  <c r="W908" i="1" s="1"/>
  <c r="X908" i="1"/>
  <c r="U909" i="1"/>
  <c r="V909" i="1"/>
  <c r="W909" i="1" s="1"/>
  <c r="X909" i="1"/>
  <c r="U910" i="1"/>
  <c r="V910" i="1" s="1"/>
  <c r="W910" i="1" s="1"/>
  <c r="X910" i="1"/>
  <c r="U911" i="1"/>
  <c r="V911" i="1"/>
  <c r="W911" i="1"/>
  <c r="X911" i="1"/>
  <c r="U912" i="1"/>
  <c r="V912" i="1" s="1"/>
  <c r="W912" i="1" s="1"/>
  <c r="X912" i="1"/>
  <c r="U913" i="1"/>
  <c r="V913" i="1"/>
  <c r="W913" i="1" s="1"/>
  <c r="X913" i="1"/>
  <c r="U914" i="1"/>
  <c r="V914" i="1" s="1"/>
  <c r="W914" i="1" s="1"/>
  <c r="X914" i="1"/>
  <c r="U915" i="1"/>
  <c r="V915" i="1"/>
  <c r="W915" i="1"/>
  <c r="X915" i="1"/>
  <c r="U916" i="1"/>
  <c r="V916" i="1" s="1"/>
  <c r="W916" i="1" s="1"/>
  <c r="X916" i="1"/>
  <c r="U917" i="1"/>
  <c r="V917" i="1"/>
  <c r="W917" i="1" s="1"/>
  <c r="X917" i="1"/>
  <c r="U918" i="1"/>
  <c r="V918" i="1" s="1"/>
  <c r="W918" i="1" s="1"/>
  <c r="X918" i="1"/>
  <c r="U919" i="1"/>
  <c r="V919" i="1"/>
  <c r="W919" i="1"/>
  <c r="X919" i="1"/>
  <c r="U920" i="1"/>
  <c r="V920" i="1" s="1"/>
  <c r="W920" i="1" s="1"/>
  <c r="X920" i="1"/>
  <c r="U921" i="1"/>
  <c r="V921" i="1"/>
  <c r="W921" i="1" s="1"/>
  <c r="X921" i="1"/>
  <c r="U922" i="1"/>
  <c r="V922" i="1" s="1"/>
  <c r="W922" i="1" s="1"/>
  <c r="X922" i="1"/>
  <c r="U923" i="1"/>
  <c r="V923" i="1"/>
  <c r="W923" i="1"/>
  <c r="X923" i="1"/>
  <c r="U924" i="1"/>
  <c r="V924" i="1" s="1"/>
  <c r="W924" i="1" s="1"/>
  <c r="X924" i="1"/>
  <c r="U925" i="1"/>
  <c r="V925" i="1"/>
  <c r="W925" i="1" s="1"/>
  <c r="X925" i="1"/>
  <c r="U926" i="1"/>
  <c r="V926" i="1" s="1"/>
  <c r="W926" i="1" s="1"/>
  <c r="X926" i="1"/>
  <c r="U927" i="1"/>
  <c r="V927" i="1"/>
  <c r="W927" i="1"/>
  <c r="X927" i="1"/>
  <c r="U928" i="1"/>
  <c r="V928" i="1" s="1"/>
  <c r="W928" i="1" s="1"/>
  <c r="X928" i="1"/>
  <c r="U929" i="1"/>
  <c r="V929" i="1"/>
  <c r="W929" i="1" s="1"/>
  <c r="X929" i="1"/>
  <c r="U930" i="1"/>
  <c r="V930" i="1" s="1"/>
  <c r="W930" i="1" s="1"/>
  <c r="X930" i="1"/>
  <c r="U931" i="1"/>
  <c r="V931" i="1"/>
  <c r="W931" i="1"/>
  <c r="X931" i="1"/>
  <c r="U932" i="1"/>
  <c r="V932" i="1" s="1"/>
  <c r="W932" i="1" s="1"/>
  <c r="X932" i="1"/>
  <c r="U933" i="1"/>
  <c r="V933" i="1"/>
  <c r="W933" i="1" s="1"/>
  <c r="X933" i="1"/>
  <c r="V2" i="1"/>
  <c r="W2" i="1" s="1"/>
  <c r="X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O2" i="1"/>
  <c r="B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N2" i="1"/>
  <c r="C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2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6EA3B-3B5B-4FB5-B43B-5D5F38D2E2E6}" keepAlive="1" name="Query - raw_orders" description="Connection to the 'raw_orders' query in the workbook." type="5" refreshedVersion="8" background="1" saveData="1">
    <dbPr connection="Provider=Microsoft.Mashup.OleDb.1;Data Source=$Workbook$;Location=raw_orders;Extended Properties=&quot;&quot;" command="SELECT * FROM [raw_orders]"/>
  </connection>
</connections>
</file>

<file path=xl/sharedStrings.xml><?xml version="1.0" encoding="utf-8"?>
<sst xmlns="http://schemas.openxmlformats.org/spreadsheetml/2006/main" count="12116" uniqueCount="2852">
  <si>
    <t>cleaned_customer_name</t>
  </si>
  <si>
    <t>cleaned_segment</t>
  </si>
  <si>
    <t>region</t>
  </si>
  <si>
    <t>North</t>
  </si>
  <si>
    <t>East</t>
  </si>
  <si>
    <t>South</t>
  </si>
  <si>
    <t>West</t>
  </si>
  <si>
    <t>NORTH</t>
  </si>
  <si>
    <t>west</t>
  </si>
  <si>
    <t>WEST</t>
  </si>
  <si>
    <t>EAST</t>
  </si>
  <si>
    <t>east</t>
  </si>
  <si>
    <t>north</t>
  </si>
  <si>
    <t>cleaned_region</t>
  </si>
  <si>
    <t>cleaned_state</t>
  </si>
  <si>
    <t>cleaned_city</t>
  </si>
  <si>
    <t>cleaned_category</t>
  </si>
  <si>
    <t>cleaned_sub_category</t>
  </si>
  <si>
    <t>order_id</t>
  </si>
  <si>
    <t>customer_id</t>
  </si>
  <si>
    <t>product_name</t>
  </si>
  <si>
    <t>cleaned_ship_mode</t>
  </si>
  <si>
    <t>order_date</t>
  </si>
  <si>
    <t>ship_date</t>
  </si>
  <si>
    <t>customer_name</t>
  </si>
  <si>
    <t>segment</t>
  </si>
  <si>
    <t>state</t>
  </si>
  <si>
    <t>city</t>
  </si>
  <si>
    <t>category</t>
  </si>
  <si>
    <t>sub_category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</si>
  <si>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</si>
  <si>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</si>
  <si>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</si>
  <si>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</si>
  <si>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</si>
  <si>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</si>
  <si>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</si>
  <si>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</si>
  <si>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</si>
  <si>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</si>
  <si>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</si>
  <si>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</si>
  <si>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</si>
  <si>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</si>
  <si>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</si>
  <si>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</si>
  <si>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</si>
  <si>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</si>
  <si>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</si>
  <si>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</si>
  <si>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</si>
  <si>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</si>
  <si>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</si>
  <si>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</si>
  <si>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</si>
  <si>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</si>
  <si>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</si>
  <si>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</si>
  <si>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</si>
  <si>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</si>
  <si>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</si>
  <si>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</si>
  <si>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</si>
  <si>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</si>
  <si>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</si>
  <si>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</si>
  <si>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</si>
  <si>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</si>
  <si>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</si>
  <si>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</si>
  <si>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</si>
  <si>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</si>
  <si>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</si>
  <si>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</si>
  <si>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</si>
  <si>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</si>
  <si>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</si>
  <si>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</si>
  <si>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</si>
  <si>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</si>
  <si>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</si>
  <si>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</si>
  <si>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</si>
  <si>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</si>
  <si>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</si>
  <si>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</si>
  <si>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</si>
  <si>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</si>
  <si>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</si>
  <si>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</si>
  <si>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</si>
  <si>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</si>
  <si>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</si>
  <si>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</si>
  <si>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</si>
  <si>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</si>
  <si>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</si>
  <si>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</si>
  <si>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</si>
  <si>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</si>
  <si>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</si>
  <si>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</si>
  <si>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</si>
  <si>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</si>
  <si>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</si>
  <si>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</si>
  <si>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</si>
  <si>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</si>
  <si>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</si>
  <si>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</si>
  <si>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</si>
  <si>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</si>
  <si>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</si>
  <si>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</si>
  <si>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</si>
  <si>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</si>
  <si>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</si>
  <si>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</si>
  <si>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</si>
  <si>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</si>
  <si>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</si>
  <si>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</si>
  <si>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</si>
  <si>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</si>
  <si>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 xml:space="preserve">Corporate 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</si>
  <si>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</si>
  <si>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</si>
  <si>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</si>
  <si>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</si>
  <si>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</si>
  <si>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</si>
  <si>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</si>
  <si>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</si>
  <si>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</si>
  <si>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</si>
  <si>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</si>
  <si>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</si>
  <si>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</si>
  <si>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</si>
  <si>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</si>
  <si>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</si>
  <si>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</si>
  <si>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</si>
  <si>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</si>
  <si>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</si>
  <si>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</si>
  <si>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</si>
  <si>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</si>
  <si>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</si>
  <si>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</si>
  <si>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</si>
  <si>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</si>
  <si>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</si>
  <si>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</si>
  <si>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</si>
  <si>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</si>
  <si>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</si>
  <si>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</si>
  <si>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</si>
  <si>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</si>
  <si>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</si>
  <si>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</si>
  <si>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</si>
  <si>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</si>
  <si>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</si>
  <si>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</si>
  <si>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</si>
  <si>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</si>
  <si>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</si>
  <si>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</si>
  <si>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</si>
  <si>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</si>
  <si>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</si>
  <si>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</si>
  <si>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</si>
  <si>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</si>
  <si>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</si>
  <si>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</si>
  <si>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</si>
  <si>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</si>
  <si>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</si>
  <si>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</si>
  <si>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</si>
  <si>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</si>
  <si>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</si>
  <si>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</si>
  <si>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</si>
  <si>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</si>
  <si>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</si>
  <si>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 xml:space="preserve">Paid 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</si>
  <si>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</si>
  <si>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</si>
  <si>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</si>
  <si>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</si>
  <si>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</si>
  <si>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</si>
  <si>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</si>
  <si>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</si>
  <si>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</si>
  <si>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</si>
  <si>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</si>
  <si>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</si>
  <si>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</si>
  <si>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</si>
  <si>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</si>
  <si>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</si>
  <si>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</si>
  <si>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</si>
  <si>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</si>
  <si>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</si>
  <si>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</si>
  <si>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</si>
  <si>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</si>
  <si>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</si>
  <si>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</si>
  <si>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</si>
  <si>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</si>
  <si>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</si>
  <si>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</si>
  <si>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</si>
  <si>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</si>
  <si>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</si>
  <si>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</si>
  <si>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</si>
  <si>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</si>
  <si>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</si>
  <si>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</si>
  <si>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</si>
  <si>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</si>
  <si>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</si>
  <si>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</si>
  <si>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</si>
  <si>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</si>
  <si>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</si>
  <si>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</si>
  <si>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</si>
  <si>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</si>
  <si>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</si>
  <si>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</si>
  <si>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</si>
  <si>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</si>
  <si>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</si>
  <si>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</si>
  <si>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</si>
  <si>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</si>
  <si>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</si>
  <si>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</si>
  <si>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</si>
  <si>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</si>
  <si>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</si>
  <si>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</si>
  <si>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</si>
  <si>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</si>
  <si>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</si>
  <si>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</si>
  <si>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</si>
  <si>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</si>
  <si>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</si>
  <si>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</si>
  <si>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</si>
  <si>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</si>
  <si>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</si>
  <si>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</si>
  <si>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</si>
  <si>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</si>
  <si>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</si>
  <si>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</si>
  <si>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</si>
  <si>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</si>
  <si>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</si>
  <si>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</si>
  <si>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 xml:space="preserve">Second Class 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</si>
  <si>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</si>
  <si>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</si>
  <si>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</si>
  <si>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</si>
  <si>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</si>
  <si>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</si>
  <si>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</si>
  <si>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</si>
  <si>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 xml:space="preserve">Ananya Rao 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</si>
  <si>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</si>
  <si>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</si>
  <si>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</si>
  <si>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</si>
  <si>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</si>
  <si>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</si>
  <si>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</si>
  <si>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</si>
  <si>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</si>
  <si>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</si>
  <si>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</si>
  <si>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</si>
  <si>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</si>
  <si>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</si>
  <si>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</si>
  <si>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</si>
  <si>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</si>
  <si>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</si>
  <si>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</si>
  <si>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</si>
  <si>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</si>
  <si>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</si>
  <si>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</si>
  <si>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</si>
  <si>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</si>
  <si>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</si>
  <si>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</si>
  <si>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</si>
  <si>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</si>
  <si>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</si>
  <si>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</si>
  <si>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</si>
  <si>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</si>
  <si>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</si>
  <si>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</si>
  <si>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</si>
  <si>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</si>
  <si>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</si>
  <si>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</si>
  <si>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</si>
  <si>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</si>
  <si>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</si>
  <si>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</si>
  <si>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</si>
  <si>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</si>
  <si>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</si>
  <si>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</si>
  <si>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</si>
  <si>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</si>
  <si>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</si>
  <si>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</si>
  <si>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</si>
  <si>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</si>
  <si>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</si>
  <si>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</si>
  <si>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</si>
  <si>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</si>
  <si>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</si>
  <si>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</si>
  <si>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</si>
  <si>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</si>
  <si>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</si>
  <si>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 xml:space="preserve">  Small Business 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</si>
  <si>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</si>
  <si>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</si>
  <si>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</si>
  <si>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</si>
  <si>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</si>
  <si>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</si>
  <si>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</si>
  <si>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</si>
  <si>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</si>
  <si>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</si>
  <si>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</si>
  <si>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</si>
  <si>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</si>
  <si>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</si>
  <si>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</si>
  <si>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</si>
  <si>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</si>
  <si>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</si>
  <si>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</si>
  <si>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</si>
  <si>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</si>
  <si>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</si>
  <si>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</si>
  <si>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</si>
  <si>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 xml:space="preserve">  Furniture 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</si>
  <si>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</si>
  <si>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</si>
  <si>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</si>
  <si>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</si>
  <si>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</si>
  <si>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</si>
  <si>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</si>
  <si>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</si>
  <si>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</si>
  <si>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</si>
  <si>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</si>
  <si>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</si>
  <si>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</si>
  <si>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</si>
  <si>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</si>
  <si>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</si>
  <si>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</si>
  <si>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 xml:space="preserve">Technology 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</si>
  <si>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</si>
  <si>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</si>
  <si>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</si>
  <si>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</si>
  <si>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</si>
  <si>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</si>
  <si>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</si>
  <si>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</si>
  <si>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</si>
  <si>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</si>
  <si>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</si>
  <si>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</si>
  <si>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</si>
  <si>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</si>
  <si>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</si>
  <si>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</si>
  <si>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</si>
  <si>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</si>
  <si>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</si>
  <si>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</si>
  <si>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</si>
  <si>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</si>
  <si>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</si>
  <si>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</si>
  <si>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</si>
  <si>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</si>
  <si>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</si>
  <si>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</si>
  <si>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</si>
  <si>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</si>
  <si>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</si>
  <si>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</si>
  <si>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</si>
  <si>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</si>
  <si>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</si>
  <si>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</si>
  <si>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</si>
  <si>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</si>
  <si>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</si>
  <si>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</si>
  <si>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</si>
  <si>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</si>
  <si>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</si>
  <si>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</si>
  <si>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</si>
  <si>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</si>
  <si>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</si>
  <si>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</si>
  <si>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</si>
  <si>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</si>
  <si>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</si>
  <si>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 xml:space="preserve">  Home Office 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</si>
  <si>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</si>
  <si>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</si>
  <si>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</si>
  <si>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</si>
  <si>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</si>
  <si>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</si>
  <si>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</si>
  <si>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</si>
  <si>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</si>
  <si>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</si>
  <si>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</si>
  <si>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</si>
  <si>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</si>
  <si>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</si>
  <si>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</si>
  <si>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</si>
  <si>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</si>
  <si>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</si>
  <si>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</si>
  <si>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</si>
  <si>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</si>
  <si>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</si>
  <si>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</si>
  <si>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</si>
  <si>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</si>
  <si>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</si>
  <si>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</si>
  <si>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</si>
  <si>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</si>
  <si>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</si>
  <si>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</si>
  <si>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</si>
  <si>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</si>
  <si>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 xml:space="preserve">  Consumer 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</si>
  <si>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</si>
  <si>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</si>
  <si>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</si>
  <si>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</si>
  <si>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</si>
  <si>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</si>
  <si>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</si>
  <si>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</si>
  <si>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</si>
  <si>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</si>
  <si>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</si>
  <si>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</si>
  <si>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</si>
  <si>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</si>
  <si>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</si>
  <si>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</si>
  <si>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</si>
  <si>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</si>
  <si>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</si>
  <si>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</si>
  <si>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</si>
  <si>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 xml:space="preserve">Small Business 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</si>
  <si>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</si>
  <si>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</si>
  <si>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</si>
  <si>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</si>
  <si>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</si>
  <si>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</si>
  <si>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</si>
  <si>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</si>
  <si>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</si>
  <si>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</si>
  <si>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</si>
  <si>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</si>
  <si>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</si>
  <si>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</si>
  <si>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</si>
  <si>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</si>
  <si>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</si>
  <si>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 xml:space="preserve">Completed 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</si>
  <si>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</si>
  <si>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</si>
  <si>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</si>
  <si>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</si>
  <si>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</si>
  <si>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</si>
  <si>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</si>
  <si>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</si>
  <si>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</si>
  <si>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</si>
  <si>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</si>
  <si>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</si>
  <si>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</si>
  <si>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</si>
  <si>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</si>
  <si>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</si>
  <si>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</si>
  <si>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</si>
  <si>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</si>
  <si>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</si>
  <si>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</si>
  <si>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</si>
  <si>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</si>
  <si>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</si>
  <si>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</si>
  <si>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</si>
  <si>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</si>
  <si>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</si>
  <si>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</si>
  <si>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</si>
  <si>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</si>
  <si>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</si>
  <si>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 xml:space="preserve">Furniture 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</si>
  <si>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</si>
  <si>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</si>
  <si>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</si>
  <si>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</si>
  <si>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</si>
  <si>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</si>
  <si>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</si>
  <si>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</si>
  <si>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</si>
  <si>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</si>
  <si>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</si>
  <si>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</si>
  <si>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</si>
  <si>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</si>
  <si>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</si>
  <si>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</si>
  <si>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</si>
  <si>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</si>
  <si>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</si>
  <si>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</si>
  <si>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</si>
  <si>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</si>
  <si>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</si>
  <si>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</si>
  <si>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</si>
  <si>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</si>
  <si>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</si>
  <si>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</si>
  <si>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</si>
  <si>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</si>
  <si>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</si>
  <si>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</si>
  <si>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</si>
  <si>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</si>
  <si>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</si>
  <si>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</si>
  <si>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</si>
  <si>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</si>
  <si>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</si>
  <si>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</si>
  <si>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</si>
  <si>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</si>
  <si>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</si>
  <si>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</si>
  <si>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</si>
  <si>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</si>
  <si>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</si>
  <si>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</si>
  <si>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</si>
  <si>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</si>
  <si>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</si>
  <si>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</si>
  <si>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</si>
  <si>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</si>
  <si>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</si>
  <si>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</si>
  <si>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</si>
  <si>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</si>
  <si>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</si>
  <si>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</si>
  <si>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</si>
  <si>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</si>
  <si>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</si>
  <si>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</si>
  <si>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</si>
  <si>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</si>
  <si>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</si>
  <si>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</si>
  <si>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</si>
  <si>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</si>
  <si>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</si>
  <si>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</si>
  <si>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</si>
  <si>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</si>
  <si>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</si>
  <si>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</si>
  <si>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</si>
  <si>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</si>
  <si>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</si>
  <si>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</si>
  <si>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</si>
  <si>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</si>
  <si>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</si>
  <si>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</si>
  <si>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</si>
  <si>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</si>
  <si>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</si>
  <si>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</si>
  <si>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</si>
  <si>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</si>
  <si>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</si>
  <si>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</si>
  <si>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</si>
  <si>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</si>
  <si>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</si>
  <si>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</si>
  <si>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</si>
  <si>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</si>
  <si>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</si>
  <si>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</si>
  <si>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</si>
  <si>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</si>
  <si>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</si>
  <si>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</si>
  <si>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</si>
  <si>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</si>
  <si>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</si>
  <si>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</si>
  <si>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</si>
  <si>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</si>
  <si>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</si>
  <si>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</si>
  <si>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</si>
  <si>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</si>
  <si>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</si>
  <si>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</si>
  <si>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</si>
  <si>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</si>
  <si>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</si>
  <si>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</si>
  <si>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</si>
  <si>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</si>
  <si>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</si>
  <si>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</si>
  <si>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</si>
  <si>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</si>
  <si>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</si>
  <si>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</si>
  <si>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</si>
  <si>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</si>
  <si>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</si>
  <si>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</si>
  <si>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</si>
  <si>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</si>
  <si>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</si>
  <si>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</si>
  <si>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</si>
  <si>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</si>
  <si>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</si>
  <si>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</si>
  <si>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</si>
  <si>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</si>
  <si>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</si>
  <si>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</si>
  <si>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</si>
  <si>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</si>
  <si>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</si>
  <si>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</si>
  <si>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</si>
  <si>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</si>
  <si>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</si>
  <si>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</si>
  <si>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</si>
  <si>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</si>
  <si>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</si>
  <si>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</si>
  <si>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</si>
  <si>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</si>
  <si>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</si>
  <si>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</si>
  <si>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</si>
  <si>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</si>
  <si>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</si>
  <si>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</si>
  <si>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</si>
  <si>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</si>
  <si>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</si>
  <si>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</si>
  <si>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</si>
  <si>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 xml:space="preserve">  Completed 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</si>
  <si>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</si>
  <si>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</si>
  <si>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</si>
  <si>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</si>
  <si>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</si>
  <si>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</si>
  <si>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</si>
  <si>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</si>
  <si>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</si>
  <si>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</si>
  <si>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</si>
  <si>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</si>
  <si>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</si>
  <si>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</si>
  <si>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</si>
  <si>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</si>
  <si>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</si>
  <si>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</si>
  <si>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</si>
  <si>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</si>
  <si>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</si>
  <si>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</si>
  <si>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</si>
  <si>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</si>
  <si>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</si>
  <si>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</si>
  <si>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</si>
  <si>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</si>
  <si>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</si>
  <si>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</si>
  <si>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</si>
  <si>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</si>
  <si>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</si>
  <si>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</si>
  <si>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</si>
  <si>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</si>
  <si>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</si>
  <si>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</si>
  <si>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</si>
  <si>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</si>
  <si>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</si>
  <si>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</si>
  <si>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</si>
  <si>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</si>
  <si>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</si>
  <si>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</si>
  <si>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</si>
  <si>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</si>
  <si>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</si>
  <si>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</si>
  <si>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</si>
  <si>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</si>
  <si>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</si>
  <si>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</si>
  <si>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</si>
  <si>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</si>
  <si>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</si>
  <si>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</si>
  <si>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</si>
  <si>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</si>
  <si>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</si>
  <si>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</si>
  <si>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</si>
  <si>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</si>
  <si>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</si>
  <si>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</si>
  <si>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</si>
  <si>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</si>
  <si>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 xml:space="preserve">  Second Class </t>
  </si>
  <si>
    <t>ORD-2024-10215</t>
  </si>
  <si>
    <t>CUST-1301</t>
  </si>
  <si>
    <t>Classic Accessories 757</t>
  </si>
  <si>
    <t xml:space="preserve">  First Class 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</si>
  <si>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</si>
  <si>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</si>
  <si>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</si>
  <si>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</si>
  <si>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</si>
  <si>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</si>
  <si>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</si>
  <si>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</si>
  <si>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</si>
  <si>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</si>
  <si>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</si>
  <si>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</si>
  <si>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</si>
  <si>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</si>
  <si>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</si>
  <si>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</si>
  <si>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</si>
  <si>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</si>
  <si>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</si>
  <si>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</si>
  <si>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</si>
  <si>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</si>
  <si>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</si>
  <si>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</si>
  <si>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</si>
  <si>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</si>
  <si>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</si>
  <si>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</si>
  <si>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</si>
  <si>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</si>
  <si>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</si>
  <si>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</si>
  <si>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</si>
  <si>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</si>
  <si>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</si>
  <si>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</si>
  <si>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</si>
  <si>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</si>
  <si>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</si>
  <si>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</si>
  <si>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</si>
  <si>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</si>
  <si>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</si>
  <si>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</si>
  <si>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</si>
  <si>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</si>
  <si>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</si>
  <si>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</si>
  <si>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</si>
  <si>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</si>
  <si>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</si>
  <si>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</si>
  <si>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</si>
  <si>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</si>
  <si>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</si>
  <si>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</si>
  <si>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</si>
  <si>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</si>
  <si>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</si>
  <si>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</si>
  <si>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</si>
  <si>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</si>
  <si>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</si>
  <si>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</si>
  <si>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</si>
  <si>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</si>
  <si>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</si>
  <si>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</si>
  <si>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</si>
  <si>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</si>
  <si>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</si>
  <si>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</si>
  <si>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</si>
  <si>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</si>
  <si>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</si>
  <si>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</si>
  <si>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</si>
  <si>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</si>
  <si>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</si>
  <si>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</si>
  <si>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</si>
  <si>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</si>
  <si>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</si>
  <si>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</si>
  <si>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</si>
  <si>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</si>
  <si>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</si>
  <si>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</si>
  <si>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</si>
  <si>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</si>
  <si>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</si>
  <si>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</si>
  <si>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</si>
  <si>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</si>
  <si>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</si>
  <si>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</si>
  <si>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</si>
  <si>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</si>
  <si>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</si>
  <si>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</si>
  <si>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</si>
  <si>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</si>
  <si>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</si>
  <si>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</si>
  <si>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</si>
  <si>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</si>
  <si>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</si>
  <si>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</si>
  <si>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</si>
  <si>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</si>
  <si>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</si>
  <si>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</si>
  <si>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</si>
  <si>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</si>
  <si>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</si>
  <si>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</si>
  <si>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</si>
  <si>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</si>
  <si>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</si>
  <si>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</si>
  <si>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</si>
  <si>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</si>
  <si>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</si>
  <si>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</si>
  <si>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</si>
  <si>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</si>
  <si>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</si>
  <si>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</si>
  <si>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</si>
  <si>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</si>
  <si>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</si>
  <si>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</si>
  <si>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</si>
  <si>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</si>
  <si>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</si>
  <si>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</si>
  <si>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</si>
  <si>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</si>
  <si>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</si>
  <si>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</si>
  <si>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</si>
  <si>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</si>
  <si>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</si>
  <si>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</si>
  <si>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</si>
  <si>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</si>
  <si>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</si>
  <si>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</si>
  <si>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</si>
  <si>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</si>
  <si>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</si>
  <si>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</si>
  <si>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</si>
  <si>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</si>
  <si>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</si>
  <si>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 xml:space="preserve">  Cancelled 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</si>
  <si>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</si>
  <si>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</si>
  <si>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</si>
  <si>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</si>
  <si>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</si>
  <si>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</si>
  <si>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</si>
  <si>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</si>
  <si>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</si>
  <si>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</si>
  <si>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</si>
  <si>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</si>
  <si>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</si>
  <si>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</si>
  <si>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</si>
  <si>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</si>
  <si>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</si>
  <si>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</si>
  <si>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</si>
  <si>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</si>
  <si>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</si>
  <si>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</si>
  <si>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</si>
  <si>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</si>
  <si>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</si>
  <si>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</si>
  <si>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</si>
  <si>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</si>
  <si>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</si>
  <si>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</si>
  <si>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</si>
  <si>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</si>
  <si>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</si>
  <si>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</si>
  <si>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</si>
  <si>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</si>
  <si>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</si>
  <si>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 xml:space="preserve">Priya Menon 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</si>
  <si>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</si>
  <si>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</si>
  <si>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</si>
  <si>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</si>
  <si>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</si>
  <si>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</si>
  <si>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</si>
  <si>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</si>
  <si>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</si>
  <si>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</si>
  <si>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</si>
  <si>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</si>
  <si>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</si>
  <si>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</si>
  <si>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</si>
  <si>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</si>
  <si>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</si>
  <si>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</si>
  <si>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</si>
  <si>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</si>
  <si>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</si>
  <si>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</si>
  <si>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</si>
  <si>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</si>
  <si>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</si>
  <si>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</si>
  <si>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</si>
  <si>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</si>
  <si>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</si>
  <si>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</si>
  <si>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</si>
  <si>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</si>
  <si>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</si>
  <si>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</si>
  <si>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</si>
  <si>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</si>
  <si>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</si>
  <si>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</si>
  <si>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</si>
  <si>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</si>
  <si>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</si>
  <si>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</si>
  <si>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</si>
  <si>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</si>
  <si>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</si>
  <si>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</si>
  <si>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</si>
  <si>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</si>
  <si>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</si>
  <si>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</si>
  <si>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</si>
  <si>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</si>
  <si>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</si>
  <si>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</si>
  <si>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</si>
  <si>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</si>
  <si>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</si>
  <si>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</si>
  <si>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</si>
  <si>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</si>
  <si>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</si>
  <si>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</si>
  <si>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</si>
  <si>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</si>
  <si>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</si>
  <si>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</si>
  <si>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</si>
  <si>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</si>
  <si>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</si>
  <si>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</si>
  <si>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</si>
  <si>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</si>
  <si>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</si>
  <si>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</si>
  <si>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</si>
  <si>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</si>
  <si>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</si>
  <si>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</si>
  <si>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</si>
  <si>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</si>
  <si>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</si>
  <si>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</si>
  <si>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</si>
  <si>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</si>
  <si>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</si>
  <si>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</si>
  <si>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</si>
  <si>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</si>
  <si>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</si>
  <si>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</si>
  <si>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</si>
  <si>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</si>
  <si>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</si>
  <si>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</si>
  <si>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</si>
  <si>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</si>
  <si>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</si>
  <si>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</si>
  <si>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</si>
  <si>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</si>
  <si>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</si>
  <si>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</si>
  <si>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</si>
  <si>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</si>
  <si>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</si>
  <si>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</si>
  <si>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</si>
  <si>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</si>
  <si>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</si>
  <si>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</si>
  <si>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</si>
  <si>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</si>
  <si>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</si>
  <si>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</si>
  <si>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</si>
  <si>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</si>
  <si>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</si>
  <si>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</si>
  <si>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</si>
  <si>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</si>
  <si>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</si>
  <si>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</si>
  <si>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</si>
  <si>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</si>
  <si>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</si>
  <si>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</si>
  <si>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</si>
  <si>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</si>
  <si>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</si>
  <si>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</si>
  <si>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</si>
  <si>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</si>
  <si>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</si>
  <si>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</si>
  <si>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</si>
  <si>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</si>
  <si>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</si>
  <si>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</si>
  <si>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</si>
  <si>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</si>
  <si>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</si>
  <si>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</si>
  <si>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</si>
  <si>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</si>
  <si>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</si>
  <si>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</si>
  <si>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</si>
  <si>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</si>
  <si>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</si>
  <si>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</si>
  <si>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</si>
  <si>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</si>
  <si>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</si>
  <si>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</si>
  <si>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</si>
  <si>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</si>
  <si>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</si>
  <si>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</si>
  <si>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</si>
  <si>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</si>
  <si>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</si>
  <si>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</si>
  <si>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</si>
  <si>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</si>
  <si>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</si>
  <si>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</si>
  <si>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</si>
  <si>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</si>
  <si>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</si>
  <si>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</si>
  <si>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</si>
  <si>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</si>
  <si>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</si>
  <si>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</si>
  <si>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</si>
  <si>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</si>
  <si>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</si>
  <si>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</si>
  <si>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</si>
  <si>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</si>
  <si>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</si>
  <si>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</si>
  <si>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</si>
  <si>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</si>
  <si>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</si>
  <si>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</si>
  <si>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</si>
  <si>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</si>
  <si>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</si>
  <si>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</si>
  <si>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</si>
  <si>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</si>
  <si>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</si>
  <si>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</si>
  <si>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</si>
  <si>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</si>
  <si>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</si>
  <si>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</si>
  <si>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</si>
  <si>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</si>
  <si>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</si>
  <si>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</si>
  <si>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</si>
  <si>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</si>
  <si>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</si>
  <si>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</si>
  <si>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</si>
  <si>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</si>
  <si>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</si>
  <si>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</si>
  <si>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</si>
  <si>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</si>
  <si>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</si>
  <si>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</si>
  <si>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</si>
  <si>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</si>
  <si>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</si>
  <si>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</si>
  <si>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</si>
  <si>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</si>
  <si>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</si>
  <si>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</si>
  <si>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</si>
  <si>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</si>
  <si>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</si>
  <si>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</si>
  <si>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</si>
  <si>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</si>
  <si>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</si>
  <si>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</si>
  <si>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</si>
  <si>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</si>
  <si>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</si>
  <si>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</si>
  <si>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</si>
  <si>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</si>
  <si>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</si>
  <si>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</si>
  <si>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</si>
  <si>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</si>
  <si>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</si>
  <si>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</si>
  <si>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</si>
  <si>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</si>
  <si>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</si>
  <si>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</si>
  <si>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</si>
  <si>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</si>
  <si>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</si>
  <si>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</si>
  <si>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</si>
  <si>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</si>
  <si>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</si>
  <si>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</si>
  <si>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</si>
  <si>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</si>
  <si>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</si>
  <si>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</si>
  <si>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</si>
  <si>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</si>
  <si>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</si>
  <si>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</si>
  <si>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</si>
  <si>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</si>
  <si>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</si>
  <si>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</si>
  <si>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</si>
  <si>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</si>
  <si>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</si>
  <si>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</si>
  <si>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</si>
  <si>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</si>
  <si>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</si>
  <si>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</si>
  <si>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</si>
  <si>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</si>
  <si>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</si>
  <si>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</si>
  <si>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</si>
  <si>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</si>
  <si>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</si>
  <si>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</si>
  <si>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</si>
  <si>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</si>
  <si>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</si>
  <si>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</si>
  <si>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</si>
  <si>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</si>
  <si>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</si>
  <si>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</si>
  <si>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</si>
  <si>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</si>
  <si>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</si>
  <si>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</si>
  <si>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</si>
  <si>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</si>
  <si>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</si>
  <si>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</si>
  <si>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</si>
  <si>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</si>
  <si>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</si>
  <si>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</si>
  <si>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</si>
  <si>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</si>
  <si>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</si>
  <si>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</si>
  <si>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</si>
  <si>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</si>
  <si>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</si>
  <si>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</si>
  <si>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</si>
  <si>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</si>
  <si>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</si>
  <si>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</si>
  <si>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</si>
  <si>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</si>
  <si>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</si>
  <si>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</si>
  <si>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</si>
  <si>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</si>
  <si>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</si>
  <si>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</si>
  <si>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</si>
  <si>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</si>
  <si>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</si>
  <si>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</si>
  <si>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</si>
  <si>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</si>
  <si>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</si>
  <si>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</si>
  <si>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</si>
  <si>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</si>
  <si>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</si>
  <si>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</si>
  <si>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</si>
  <si>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</si>
  <si>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</si>
  <si>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</si>
  <si>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</si>
  <si>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</si>
  <si>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</si>
  <si>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</si>
  <si>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</si>
  <si>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</si>
  <si>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</si>
  <si>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</si>
  <si>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</si>
  <si>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</si>
  <si>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</si>
  <si>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</si>
  <si>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</si>
  <si>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</si>
  <si>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</si>
  <si>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</si>
  <si>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</si>
  <si>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</si>
  <si>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</si>
  <si>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</si>
  <si>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</si>
  <si>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</si>
  <si>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</si>
  <si>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</si>
  <si>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 xml:space="preserve">  Corporate 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</si>
  <si>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</si>
  <si>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</si>
  <si>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</si>
  <si>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</si>
  <si>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</si>
  <si>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</si>
  <si>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</si>
  <si>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</si>
  <si>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</si>
  <si>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</si>
  <si>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</si>
  <si>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</si>
  <si>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</si>
  <si>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</si>
  <si>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</si>
  <si>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</si>
  <si>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</si>
  <si>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</si>
  <si>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</si>
  <si>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</si>
  <si>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</si>
  <si>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</si>
  <si>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</si>
  <si>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</si>
  <si>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</si>
  <si>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</si>
  <si>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</si>
  <si>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</si>
  <si>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</si>
  <si>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</si>
  <si>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</si>
  <si>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</si>
  <si>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</si>
  <si>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</si>
  <si>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</si>
  <si>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</si>
  <si>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</si>
  <si>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</si>
  <si>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</si>
  <si>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</si>
  <si>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</si>
  <si>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</si>
  <si>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</si>
  <si>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</si>
  <si>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</si>
  <si>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</si>
  <si>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</si>
  <si>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</si>
  <si>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</si>
  <si>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</si>
  <si>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</si>
  <si>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</si>
  <si>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</si>
  <si>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</si>
  <si>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</si>
  <si>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</si>
  <si>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</si>
  <si>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</si>
  <si>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</si>
  <si>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</si>
  <si>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</si>
  <si>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</si>
  <si>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</si>
  <si>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</si>
  <si>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</si>
  <si>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</si>
  <si>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</si>
  <si>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</si>
  <si>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</si>
  <si>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</si>
  <si>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</si>
  <si>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</si>
  <si>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</si>
  <si>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</si>
  <si>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</si>
  <si>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</si>
  <si>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</si>
  <si>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</si>
  <si>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</si>
  <si>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</si>
  <si>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</si>
  <si>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</si>
  <si>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</si>
  <si>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</si>
  <si>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</si>
  <si>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</si>
  <si>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</si>
  <si>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</si>
  <si>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</si>
  <si>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</si>
  <si>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</si>
  <si>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</si>
  <si>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</si>
  <si>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</si>
  <si>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</si>
  <si>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</si>
  <si>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</si>
  <si>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</si>
  <si>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 xml:space="preserve">Office Supplies 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</si>
  <si>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</si>
  <si>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</si>
  <si>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</si>
  <si>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</si>
  <si>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</si>
  <si>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</si>
  <si>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</si>
  <si>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</si>
  <si>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</si>
  <si>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</si>
  <si>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</si>
  <si>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</si>
  <si>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</si>
  <si>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</si>
  <si>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</si>
  <si>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</si>
  <si>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</si>
  <si>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</si>
  <si>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</si>
  <si>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</si>
  <si>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</si>
  <si>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 xml:space="preserve">  Accessories 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</si>
  <si>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</si>
  <si>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</si>
  <si>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</si>
  <si>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</si>
  <si>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</si>
  <si>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</si>
  <si>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</si>
  <si>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</si>
  <si>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</si>
  <si>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</si>
  <si>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</si>
  <si>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</si>
  <si>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</si>
  <si>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</si>
  <si>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</si>
  <si>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</si>
  <si>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</si>
  <si>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</si>
  <si>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</si>
  <si>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</si>
  <si>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</si>
  <si>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</si>
  <si>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</si>
  <si>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</si>
  <si>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</si>
  <si>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</si>
  <si>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</si>
  <si>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</si>
  <si>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</si>
  <si>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</si>
  <si>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</si>
  <si>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</si>
  <si>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</si>
  <si>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</si>
  <si>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</si>
  <si>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</si>
  <si>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</si>
  <si>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</si>
  <si>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</si>
  <si>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</si>
  <si>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</si>
  <si>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</si>
  <si>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</si>
  <si>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</si>
  <si>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</si>
  <si>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</si>
  <si>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</si>
  <si>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</si>
  <si>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</si>
  <si>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</si>
  <si>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</si>
  <si>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</si>
  <si>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</si>
  <si>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</si>
  <si>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</si>
  <si>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</si>
  <si>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</si>
  <si>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</si>
  <si>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</si>
  <si>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</si>
  <si>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</si>
  <si>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</si>
  <si>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</si>
  <si>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</si>
  <si>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</si>
  <si>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</si>
  <si>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</si>
  <si>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</si>
  <si>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</si>
  <si>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</si>
  <si>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</si>
  <si>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</si>
  <si>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</si>
  <si>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</si>
  <si>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</si>
  <si>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</si>
  <si>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</si>
  <si>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</si>
  <si>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</si>
  <si>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</si>
  <si>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</si>
  <si>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</si>
  <si>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</si>
  <si>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</si>
  <si>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</si>
  <si>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</si>
  <si>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</si>
  <si>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</si>
  <si>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</si>
  <si>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</si>
  <si>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</si>
  <si>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</si>
  <si>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</si>
  <si>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</si>
  <si>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</si>
  <si>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</si>
  <si>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</si>
  <si>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</si>
  <si>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</si>
  <si>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</si>
  <si>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</si>
  <si>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</si>
  <si>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</si>
  <si>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</si>
  <si>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</si>
  <si>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</si>
  <si>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</si>
  <si>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</si>
  <si>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</si>
  <si>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</si>
  <si>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</si>
  <si>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</si>
  <si>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</si>
  <si>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</si>
  <si>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</si>
  <si>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</si>
  <si>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</si>
  <si>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</si>
  <si>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</si>
  <si>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</si>
  <si>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</si>
  <si>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</si>
  <si>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</si>
  <si>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</si>
  <si>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</si>
  <si>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</si>
  <si>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</si>
  <si>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</si>
  <si>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</si>
  <si>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</si>
  <si>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</si>
  <si>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</si>
  <si>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</si>
  <si>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</si>
  <si>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</si>
  <si>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</si>
  <si>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</si>
  <si>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</si>
  <si>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</si>
  <si>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</si>
  <si>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</si>
  <si>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</si>
  <si>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</si>
  <si>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</si>
  <si>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</si>
  <si>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</si>
  <si>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</si>
  <si>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</si>
  <si>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</si>
  <si>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</si>
  <si>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</si>
  <si>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 xml:space="preserve">North 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</si>
  <si>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</si>
  <si>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</si>
  <si>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</si>
  <si>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</si>
  <si>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</si>
  <si>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</si>
  <si>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</si>
  <si>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</si>
  <si>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</si>
  <si>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</si>
  <si>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</si>
  <si>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</si>
  <si>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</si>
  <si>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</si>
  <si>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</si>
  <si>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</si>
  <si>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</si>
  <si>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</si>
  <si>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</si>
  <si>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</si>
  <si>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</si>
  <si>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</si>
  <si>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</si>
  <si>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</si>
  <si>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</si>
  <si>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</si>
  <si>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</si>
  <si>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</si>
  <si>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</si>
  <si>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</si>
  <si>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</si>
  <si>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</si>
  <si>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</si>
  <si>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</si>
  <si>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</si>
  <si>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</si>
  <si>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</si>
  <si>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</si>
  <si>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</si>
  <si>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</si>
  <si>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</si>
  <si>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</si>
  <si>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</si>
  <si>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 xml:space="preserve">  East 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</si>
  <si>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</si>
  <si>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</si>
  <si>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</si>
  <si>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</si>
  <si>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</si>
  <si>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</si>
  <si>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</si>
  <si>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</si>
  <si>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</si>
  <si>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</si>
  <si>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</si>
  <si>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</si>
  <si>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</si>
  <si>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</si>
  <si>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</si>
  <si>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</si>
  <si>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</si>
  <si>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</si>
  <si>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</si>
  <si>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</si>
  <si>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</si>
  <si>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</si>
  <si>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</si>
  <si>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</si>
  <si>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</si>
  <si>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</si>
  <si>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</si>
  <si>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</si>
  <si>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</si>
  <si>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</si>
  <si>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</si>
  <si>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</si>
  <si>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</si>
  <si>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</si>
  <si>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</si>
  <si>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</si>
  <si>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</si>
  <si>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</si>
  <si>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</si>
  <si>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</si>
  <si>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</si>
  <si>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</si>
  <si>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</si>
  <si>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</si>
  <si>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</si>
  <si>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</si>
  <si>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</si>
  <si>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</si>
  <si>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</si>
  <si>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</si>
  <si>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</si>
  <si>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</si>
  <si>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</si>
  <si>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</si>
  <si>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</si>
  <si>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</si>
  <si>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</si>
  <si>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</si>
  <si>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</si>
  <si>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</si>
  <si>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</si>
  <si>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</si>
  <si>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</si>
  <si>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</si>
  <si>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</si>
  <si>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</si>
  <si>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</si>
  <si>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</si>
  <si>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</si>
  <si>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</si>
  <si>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</si>
  <si>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</si>
  <si>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</si>
  <si>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</si>
  <si>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</si>
  <si>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</si>
  <si>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</si>
  <si>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</si>
  <si>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</si>
  <si>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</si>
  <si>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</si>
  <si>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</si>
  <si>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</si>
  <si>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</si>
  <si>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</si>
  <si>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</si>
  <si>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</si>
  <si>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</si>
  <si>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</si>
  <si>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</si>
  <si>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</si>
  <si>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</si>
  <si>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</si>
  <si>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</si>
  <si>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</si>
  <si>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</si>
  <si>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</si>
  <si>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</si>
  <si>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</si>
  <si>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</si>
  <si>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</si>
  <si>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</si>
  <si>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</si>
  <si>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</si>
  <si>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</si>
  <si>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</si>
  <si>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</si>
  <si>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</si>
  <si>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</si>
  <si>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</si>
  <si>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</si>
  <si>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</si>
  <si>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</si>
  <si>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</si>
  <si>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</si>
  <si>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</si>
  <si>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</si>
  <si>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</si>
  <si>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</si>
  <si>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</si>
  <si>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</si>
  <si>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</si>
  <si>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</si>
  <si>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</si>
  <si>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</si>
  <si>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</si>
  <si>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</si>
  <si>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</si>
  <si>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</si>
  <si>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</si>
  <si>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</si>
  <si>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</si>
  <si>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</si>
  <si>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</si>
  <si>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</si>
  <si>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</si>
  <si>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</si>
  <si>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</si>
  <si>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</si>
  <si>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</si>
  <si>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</si>
  <si>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</si>
  <si>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</si>
  <si>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</si>
  <si>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</si>
  <si>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</si>
  <si>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</si>
  <si>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</si>
  <si>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</si>
  <si>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</si>
  <si>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</si>
  <si>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</si>
  <si>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</si>
  <si>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</si>
  <si>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</si>
  <si>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</si>
  <si>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</si>
  <si>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</si>
  <si>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</si>
  <si>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</si>
  <si>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</si>
  <si>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</si>
  <si>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</si>
  <si>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</si>
  <si>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</si>
  <si>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</si>
  <si>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</si>
  <si>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</si>
  <si>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</si>
  <si>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</si>
  <si>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</si>
  <si>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</si>
  <si>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</si>
  <si>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</si>
  <si>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</si>
  <si>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</si>
  <si>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</si>
  <si>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</si>
  <si>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</si>
  <si>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</si>
  <si>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</si>
  <si>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</si>
  <si>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</si>
  <si>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</si>
  <si>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</si>
  <si>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</si>
  <si>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</si>
  <si>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</si>
  <si>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</si>
  <si>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</si>
  <si>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</si>
  <si>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</si>
  <si>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</si>
  <si>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</si>
  <si>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</si>
  <si>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</si>
  <si>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</si>
  <si>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</si>
  <si>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</si>
  <si>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</si>
  <si>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</si>
  <si>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</si>
  <si>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</si>
  <si>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</si>
  <si>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</si>
  <si>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</si>
  <si>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</si>
  <si>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</si>
  <si>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</si>
  <si>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</si>
  <si>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</si>
  <si>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</si>
  <si>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 xml:space="preserve">  Diya Patel 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</si>
  <si>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</si>
  <si>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</si>
  <si>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</si>
  <si>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</si>
  <si>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</si>
  <si>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</si>
  <si>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</si>
  <si>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</si>
  <si>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</si>
  <si>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</si>
  <si>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</si>
  <si>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</si>
  <si>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</si>
  <si>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</si>
  <si>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</si>
  <si>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</si>
  <si>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</si>
  <si>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</si>
  <si>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</si>
  <si>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</si>
  <si>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</si>
  <si>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</si>
  <si>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</si>
  <si>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</si>
  <si>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</si>
  <si>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</si>
  <si>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</si>
  <si>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</si>
  <si>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</si>
  <si>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</si>
  <si>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</si>
  <si>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</si>
  <si>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</si>
  <si>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</si>
  <si>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</si>
  <si>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</si>
  <si>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</si>
  <si>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</si>
  <si>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</si>
  <si>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</si>
  <si>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</si>
  <si>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</si>
  <si>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</si>
  <si>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</si>
  <si>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</si>
  <si>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</si>
  <si>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</si>
  <si>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</si>
  <si>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</si>
  <si>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</si>
  <si>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</si>
  <si>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</si>
  <si>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</si>
  <si>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 xml:space="preserve">  Pending 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</si>
  <si>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</si>
  <si>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</si>
  <si>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</si>
  <si>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</si>
  <si>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</si>
  <si>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</si>
  <si>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</si>
  <si>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</si>
  <si>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</si>
  <si>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</si>
  <si>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</si>
  <si>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</si>
  <si>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</si>
  <si>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</si>
  <si>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</si>
  <si>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</si>
  <si>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</si>
  <si>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</si>
  <si>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</si>
  <si>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</si>
  <si>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</si>
  <si>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</si>
  <si>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</si>
  <si>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</si>
  <si>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</si>
  <si>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</si>
  <si>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</si>
  <si>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</si>
  <si>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</si>
  <si>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</si>
  <si>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</si>
  <si>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</si>
  <si>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</si>
  <si>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</si>
  <si>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</si>
  <si>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</si>
  <si>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</si>
  <si>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</si>
  <si>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</si>
  <si>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</si>
  <si>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</si>
  <si>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</si>
  <si>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</si>
  <si>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</si>
  <si>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</si>
  <si>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</si>
  <si>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</si>
  <si>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</si>
  <si>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</si>
  <si>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</si>
  <si>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</si>
  <si>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</si>
  <si>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</si>
  <si>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</si>
  <si>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</si>
  <si>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</si>
  <si>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</si>
  <si>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</si>
  <si>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</si>
  <si>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</si>
  <si>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</si>
  <si>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</si>
  <si>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</si>
  <si>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</si>
  <si>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</si>
  <si>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</si>
  <si>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</si>
  <si>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</si>
  <si>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</si>
  <si>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</si>
  <si>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</si>
  <si>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</si>
  <si>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</si>
  <si>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</si>
  <si>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</si>
  <si>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</si>
  <si>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</si>
  <si>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</si>
  <si>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</si>
  <si>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</si>
  <si>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</si>
  <si>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</si>
  <si>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</si>
  <si>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</si>
  <si>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</si>
  <si>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</si>
  <si>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</si>
  <si>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</si>
  <si>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</si>
  <si>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</si>
  <si>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</si>
  <si>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</si>
  <si>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</si>
  <si>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</si>
  <si>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</si>
  <si>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</si>
  <si>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</si>
  <si>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</si>
  <si>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</si>
  <si>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</si>
  <si>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</si>
  <si>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</si>
  <si>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</si>
  <si>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</si>
  <si>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</si>
  <si>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</si>
  <si>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</si>
  <si>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</si>
  <si>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</si>
  <si>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</si>
  <si>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</si>
  <si>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</si>
  <si>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</si>
  <si>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</si>
  <si>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</si>
  <si>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</si>
  <si>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</si>
  <si>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</si>
  <si>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</si>
  <si>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</si>
  <si>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</si>
  <si>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</si>
  <si>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</si>
  <si>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</si>
  <si>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</si>
  <si>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</si>
  <si>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</si>
  <si>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</si>
  <si>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</si>
  <si>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</si>
  <si>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</si>
  <si>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</si>
  <si>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</si>
  <si>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</si>
  <si>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</si>
  <si>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</si>
  <si>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</si>
  <si>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</si>
  <si>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</si>
  <si>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</si>
  <si>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</si>
  <si>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</si>
  <si>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</si>
  <si>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</si>
  <si>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</si>
  <si>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</si>
  <si>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</si>
  <si>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</si>
  <si>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</si>
  <si>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</si>
  <si>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</si>
  <si>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</si>
  <si>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</si>
  <si>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</si>
  <si>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</si>
  <si>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</si>
  <si>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</si>
  <si>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</si>
  <si>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</si>
  <si>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</si>
  <si>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</si>
  <si>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</si>
  <si>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</si>
  <si>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</si>
  <si>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</si>
  <si>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</si>
  <si>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</si>
  <si>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</si>
  <si>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</si>
  <si>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</si>
  <si>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</si>
  <si>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</si>
  <si>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</si>
  <si>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</si>
  <si>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</si>
  <si>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</si>
  <si>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</si>
  <si>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</si>
  <si>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</si>
  <si>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</si>
  <si>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</si>
  <si>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</si>
  <si>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</si>
  <si>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</si>
  <si>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</si>
  <si>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</si>
  <si>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</si>
  <si>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</si>
  <si>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</si>
  <si>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</si>
  <si>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</si>
  <si>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</si>
  <si>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</si>
  <si>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</si>
  <si>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</si>
  <si>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</si>
  <si>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</si>
  <si>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</si>
  <si>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</si>
  <si>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</si>
  <si>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</si>
  <si>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</si>
  <si>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</si>
  <si>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</si>
  <si>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</si>
  <si>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</si>
  <si>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</si>
  <si>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</si>
  <si>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</si>
  <si>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</si>
  <si>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</si>
  <si>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</si>
  <si>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</si>
  <si>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</si>
  <si>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</si>
  <si>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</si>
  <si>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</si>
  <si>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</si>
  <si>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</si>
  <si>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</si>
  <si>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</si>
  <si>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</si>
  <si>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</si>
  <si>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</si>
  <si>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</si>
  <si>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</si>
  <si>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</si>
  <si>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</si>
  <si>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</si>
  <si>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</si>
  <si>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</si>
  <si>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</si>
  <si>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</si>
  <si>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</si>
  <si>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</si>
  <si>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</si>
  <si>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</si>
  <si>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</si>
  <si>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</si>
  <si>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</si>
  <si>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</si>
  <si>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</si>
  <si>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</si>
  <si>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</si>
  <si>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</si>
  <si>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</si>
  <si>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</si>
  <si>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</si>
  <si>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</si>
  <si>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</si>
  <si>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</si>
  <si>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</si>
  <si>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</si>
  <si>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</si>
  <si>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</si>
  <si>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</si>
  <si>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</si>
  <si>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</si>
  <si>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</si>
  <si>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</si>
  <si>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</si>
  <si>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</si>
  <si>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</si>
  <si>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</si>
  <si>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</si>
  <si>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</si>
  <si>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</si>
  <si>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</si>
  <si>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</si>
  <si>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</si>
  <si>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</si>
  <si>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</si>
  <si>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</si>
  <si>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</si>
  <si>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</si>
  <si>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</si>
  <si>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</si>
  <si>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</si>
  <si>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</si>
  <si>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</si>
  <si>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</si>
  <si>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</si>
  <si>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</si>
  <si>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</si>
  <si>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</si>
  <si>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</si>
  <si>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</si>
  <si>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</si>
  <si>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</si>
  <si>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</si>
  <si>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</si>
  <si>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</si>
  <si>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</si>
  <si>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</si>
  <si>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</si>
  <si>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</si>
  <si>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</si>
  <si>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</si>
  <si>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</si>
  <si>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</si>
  <si>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</si>
  <si>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</si>
  <si>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</si>
  <si>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</si>
  <si>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</si>
  <si>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</si>
  <si>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</si>
  <si>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 xml:space="preserve">Machines 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</si>
  <si>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</si>
  <si>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</si>
  <si>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</si>
  <si>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</si>
  <si>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</si>
  <si>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</si>
  <si>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</si>
  <si>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</si>
  <si>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</si>
  <si>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</si>
  <si>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</si>
  <si>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</si>
  <si>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</si>
  <si>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</si>
  <si>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</si>
  <si>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</si>
  <si>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</si>
  <si>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</si>
  <si>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</si>
  <si>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</si>
  <si>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</si>
  <si>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</si>
  <si>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</si>
  <si>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</si>
  <si>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</si>
  <si>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</si>
  <si>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</si>
  <si>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</si>
  <si>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</si>
  <si>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</si>
  <si>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</si>
  <si>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</si>
  <si>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</si>
  <si>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</si>
  <si>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</si>
  <si>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</si>
  <si>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</si>
  <si>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</si>
  <si>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</si>
  <si>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</si>
  <si>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</si>
  <si>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</si>
  <si>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</si>
  <si>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</si>
  <si>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</si>
  <si>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</si>
  <si>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</si>
  <si>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</si>
  <si>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</si>
  <si>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</si>
  <si>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</si>
  <si>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</si>
  <si>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</si>
  <si>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</si>
  <si>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</si>
  <si>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</si>
  <si>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</si>
  <si>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</si>
  <si>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</si>
  <si>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</si>
  <si>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</si>
  <si>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</si>
  <si>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</si>
  <si>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</si>
  <si>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</si>
  <si>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</si>
  <si>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</si>
  <si>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</si>
  <si>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</si>
  <si>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</si>
  <si>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</si>
  <si>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</si>
  <si>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</si>
  <si>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</si>
  <si>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</si>
  <si>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</si>
  <si>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</si>
  <si>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</si>
  <si>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</si>
  <si>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</si>
  <si>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</si>
  <si>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</si>
  <si>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</si>
  <si>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</si>
  <si>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</si>
  <si>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</si>
  <si>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</si>
  <si>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</si>
  <si>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</si>
  <si>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</si>
  <si>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</si>
  <si>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</si>
  <si>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</si>
  <si>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</si>
  <si>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</si>
  <si>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</si>
  <si>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</si>
  <si>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</si>
  <si>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</si>
  <si>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</si>
  <si>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</si>
  <si>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</si>
  <si>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</si>
  <si>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</si>
  <si>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</si>
  <si>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</si>
  <si>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</si>
  <si>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</si>
  <si>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</si>
  <si>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</si>
  <si>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</si>
  <si>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</si>
  <si>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</si>
  <si>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</si>
  <si>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</si>
  <si>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</si>
  <si>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</si>
  <si>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</si>
  <si>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</si>
  <si>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</si>
  <si>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</si>
  <si>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</si>
  <si>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</si>
  <si>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</si>
  <si>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</si>
  <si>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</si>
  <si>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</si>
  <si>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</si>
  <si>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</si>
  <si>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</si>
  <si>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</si>
  <si>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</si>
  <si>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</si>
  <si>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</si>
  <si>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</si>
  <si>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</si>
  <si>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</si>
  <si>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</si>
  <si>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</si>
  <si>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</si>
  <si>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</si>
  <si>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</si>
  <si>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</si>
  <si>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</si>
  <si>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</si>
  <si>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</si>
  <si>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</si>
  <si>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</si>
  <si>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</si>
  <si>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</si>
  <si>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</si>
  <si>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</si>
  <si>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</si>
  <si>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</si>
  <si>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</si>
  <si>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</si>
  <si>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</si>
  <si>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</si>
  <si>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</si>
  <si>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</si>
  <si>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</si>
  <si>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</si>
  <si>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</si>
  <si>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</si>
  <si>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</si>
  <si>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</si>
  <si>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</si>
  <si>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</si>
  <si>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</si>
  <si>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</si>
  <si>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</si>
  <si>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</si>
  <si>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</si>
  <si>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</si>
  <si>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</si>
  <si>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</si>
  <si>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</si>
  <si>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</si>
  <si>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</si>
  <si>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</si>
  <si>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</si>
  <si>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</si>
  <si>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</si>
  <si>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</si>
  <si>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</si>
  <si>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</si>
  <si>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</si>
  <si>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</si>
  <si>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</si>
  <si>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</si>
  <si>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 xml:space="preserve">  South 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</si>
  <si>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</si>
  <si>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</si>
  <si>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</si>
  <si>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</si>
  <si>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</si>
  <si>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</si>
  <si>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</si>
  <si>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</si>
  <si>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</si>
  <si>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</si>
  <si>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</si>
  <si>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</si>
  <si>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</si>
  <si>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</si>
  <si>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</si>
  <si>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</si>
  <si>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</si>
  <si>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</si>
  <si>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</si>
  <si>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</si>
  <si>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</si>
  <si>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</si>
  <si>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</si>
  <si>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</si>
  <si>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</si>
  <si>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</si>
  <si>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</si>
  <si>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</si>
  <si>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</si>
  <si>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</si>
  <si>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</si>
  <si>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</si>
  <si>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</si>
  <si>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</si>
  <si>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</si>
  <si>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</si>
  <si>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</si>
  <si>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</si>
  <si>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</si>
  <si>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</si>
  <si>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</si>
  <si>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</si>
  <si>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</si>
  <si>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</si>
  <si>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</si>
  <si>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</si>
  <si>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</si>
  <si>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</si>
  <si>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</si>
  <si>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</si>
  <si>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</si>
  <si>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</si>
  <si>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</si>
  <si>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</si>
  <si>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</si>
  <si>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</si>
  <si>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</si>
  <si>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</si>
  <si>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</si>
  <si>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</si>
  <si>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</si>
  <si>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</si>
  <si>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</si>
  <si>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</si>
  <si>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</si>
  <si>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</si>
  <si>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</si>
  <si>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</si>
  <si>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</si>
  <si>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</si>
  <si>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</si>
  <si>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</si>
  <si>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</si>
  <si>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</si>
  <si>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</si>
  <si>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</si>
  <si>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</si>
  <si>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</si>
  <si>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</si>
  <si>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</si>
  <si>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</si>
  <si>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</si>
  <si>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</si>
  <si>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</si>
  <si>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</si>
  <si>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</si>
  <si>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</si>
  <si>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</si>
  <si>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</si>
  <si>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</si>
  <si>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</si>
  <si>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</si>
  <si>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</si>
  <si>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</si>
  <si>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</si>
  <si>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</si>
  <si>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</si>
  <si>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</si>
  <si>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</si>
  <si>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</si>
  <si>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</si>
  <si>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</si>
  <si>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</si>
  <si>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</si>
  <si>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</si>
  <si>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</si>
  <si>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</si>
  <si>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</si>
  <si>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</si>
  <si>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</si>
  <si>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</si>
  <si>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</si>
  <si>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</si>
  <si>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</si>
  <si>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</si>
  <si>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</si>
  <si>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</si>
  <si>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</si>
  <si>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</si>
  <si>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</si>
  <si>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</si>
  <si>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</si>
  <si>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</si>
  <si>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</si>
  <si>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</si>
  <si>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</si>
  <si>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</si>
  <si>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</si>
  <si>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</si>
  <si>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</si>
  <si>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</si>
  <si>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</si>
  <si>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</si>
  <si>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</si>
  <si>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</si>
  <si>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</si>
  <si>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</si>
  <si>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</si>
  <si>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</si>
  <si>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</si>
  <si>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</si>
  <si>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</si>
  <si>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</si>
  <si>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</si>
  <si>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</si>
  <si>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</si>
  <si>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</si>
  <si>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</si>
  <si>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</si>
  <si>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</si>
  <si>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</si>
  <si>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</si>
  <si>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</si>
  <si>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</si>
  <si>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</si>
  <si>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</si>
  <si>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</si>
  <si>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</si>
  <si>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</si>
  <si>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</si>
  <si>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</si>
  <si>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</si>
  <si>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</si>
  <si>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</si>
  <si>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</si>
  <si>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</si>
  <si>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</si>
  <si>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</si>
  <si>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</si>
  <si>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</si>
  <si>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</si>
  <si>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</si>
  <si>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</si>
  <si>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</si>
  <si>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</si>
  <si>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</si>
  <si>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</si>
  <si>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</si>
  <si>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</si>
  <si>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</si>
  <si>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</si>
  <si>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</si>
  <si>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</si>
  <si>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</si>
  <si>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</si>
  <si>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</si>
  <si>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</si>
  <si>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</si>
  <si>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</si>
  <si>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</si>
  <si>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</si>
  <si>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</si>
  <si>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</si>
  <si>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</si>
  <si>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</si>
  <si>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</si>
  <si>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</si>
  <si>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</si>
  <si>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</si>
  <si>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</si>
  <si>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</si>
  <si>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</si>
  <si>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</si>
  <si>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</si>
  <si>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</si>
  <si>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 xml:space="preserve">Karan Malhotra 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</si>
  <si>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</si>
  <si>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</si>
  <si>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</si>
  <si>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</si>
  <si>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</si>
  <si>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</si>
  <si>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</si>
  <si>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</si>
  <si>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</si>
  <si>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</si>
  <si>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</si>
  <si>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</si>
  <si>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</si>
  <si>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</si>
  <si>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</si>
  <si>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</si>
  <si>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</si>
  <si>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</si>
  <si>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</si>
  <si>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</si>
  <si>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</si>
  <si>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</si>
  <si>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</si>
  <si>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</si>
  <si>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</si>
  <si>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</si>
  <si>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</si>
  <si>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</si>
  <si>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</si>
  <si>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</si>
  <si>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</si>
  <si>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</si>
  <si>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</si>
  <si>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</si>
  <si>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</si>
  <si>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</si>
  <si>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</si>
  <si>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</si>
  <si>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</si>
  <si>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</si>
  <si>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</si>
  <si>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</si>
  <si>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</si>
  <si>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</si>
  <si>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</si>
  <si>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</si>
  <si>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</si>
  <si>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</si>
  <si>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</si>
  <si>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</si>
  <si>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</si>
  <si>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</si>
  <si>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</si>
  <si>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</si>
  <si>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</si>
  <si>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</si>
  <si>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</si>
  <si>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</si>
  <si>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</si>
  <si>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</si>
  <si>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</si>
  <si>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</si>
  <si>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</si>
  <si>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</si>
  <si>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</si>
  <si>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</si>
  <si>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</si>
  <si>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</si>
  <si>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</si>
  <si>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</si>
  <si>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</si>
  <si>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</si>
  <si>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</si>
  <si>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</si>
  <si>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</si>
  <si>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</si>
  <si>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</si>
  <si>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</si>
  <si>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</si>
  <si>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</si>
  <si>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</si>
  <si>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</si>
  <si>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</si>
  <si>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</si>
  <si>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</si>
  <si>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</si>
  <si>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</si>
  <si>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</si>
  <si>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</si>
  <si>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</si>
  <si>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</si>
  <si>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</si>
  <si>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</si>
  <si>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</si>
  <si>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</si>
  <si>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</si>
  <si>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</si>
  <si>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</si>
  <si>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</si>
  <si>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</si>
  <si>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</si>
  <si>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</si>
  <si>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</si>
  <si>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</si>
  <si>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</si>
  <si>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</si>
  <si>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</si>
  <si>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</si>
  <si>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</si>
  <si>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</si>
  <si>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</si>
  <si>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</si>
  <si>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</si>
  <si>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</si>
  <si>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</si>
  <si>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</si>
  <si>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</si>
  <si>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</si>
  <si>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</si>
  <si>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</si>
  <si>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</si>
  <si>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</si>
  <si>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</si>
  <si>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</si>
  <si>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</si>
  <si>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</si>
  <si>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</si>
  <si>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</si>
  <si>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</si>
  <si>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</si>
  <si>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</si>
  <si>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</si>
  <si>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</si>
  <si>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</si>
  <si>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</si>
  <si>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</si>
  <si>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</si>
  <si>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</si>
  <si>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</si>
  <si>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</si>
  <si>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</si>
  <si>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</si>
  <si>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</si>
  <si>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</si>
  <si>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</si>
  <si>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</si>
  <si>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</si>
  <si>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</si>
  <si>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</si>
  <si>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</si>
  <si>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</si>
  <si>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</si>
  <si>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</si>
  <si>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</si>
  <si>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</si>
  <si>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</si>
  <si>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</si>
  <si>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</si>
  <si>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</si>
  <si>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</si>
  <si>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</si>
  <si>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</si>
  <si>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</si>
  <si>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</si>
  <si>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</si>
  <si>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</si>
  <si>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</si>
  <si>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</si>
  <si>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</si>
  <si>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</si>
  <si>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</si>
  <si>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</si>
  <si>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</si>
  <si>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</si>
  <si>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</si>
  <si>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</si>
  <si>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</si>
  <si>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</si>
  <si>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</si>
  <si>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</si>
  <si>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</si>
  <si>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</si>
  <si>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</si>
  <si>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</si>
  <si>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</si>
  <si>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</si>
  <si>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</si>
  <si>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</si>
  <si>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</si>
  <si>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</si>
  <si>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</si>
  <si>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</si>
  <si>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</si>
  <si>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</si>
  <si>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</si>
  <si>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</si>
  <si>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</si>
  <si>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</si>
  <si>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</si>
  <si>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</si>
  <si>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</si>
  <si>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</si>
  <si>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</si>
  <si>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</si>
  <si>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</si>
  <si>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</si>
  <si>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cleaned_payment_status</t>
  </si>
  <si>
    <t>cleaned_order_status</t>
  </si>
  <si>
    <t>raw_discount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</si>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</sst>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Accent1" xfId="1" builtinId="29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thamvir%20Singh\Downloads\raw_orders.xlsx" TargetMode="External"/><Relationship Id="rId1" Type="http://schemas.openxmlformats.org/officeDocument/2006/relationships/externalLinkPath" Target="file:///C:\Users\Prathamvir%20Singh\Downloads\raw_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orders"/>
      <sheetName val="business_rules"/>
    </sheetNames>
    <sheetDataSet>
      <sheetData sheetId="0">
        <row r="2">
          <cell r="A2" t="str">
            <v>ORD-2024-10001</v>
          </cell>
          <cell r="B2" t="str">
            <v>21 Jul 2024</v>
          </cell>
          <cell r="C2" t="str">
            <v>07/27/2024</v>
          </cell>
          <cell r="D2" t="str">
            <v>CUST-4655</v>
          </cell>
          <cell r="E2" t="str">
            <v>Karan Malhotra</v>
          </cell>
          <cell r="F2" t="str">
            <v>Consumer</v>
          </cell>
          <cell r="G2" t="str">
            <v>North</v>
          </cell>
          <cell r="H2" t="str">
            <v>Rajasthan</v>
          </cell>
          <cell r="I2" t="str">
            <v>Jaipur</v>
          </cell>
          <cell r="J2" t="str">
            <v>Office Supplies</v>
          </cell>
          <cell r="K2" t="str">
            <v>Paper</v>
          </cell>
          <cell r="L2" t="str">
            <v>Pro Paper 122</v>
          </cell>
          <cell r="M2" t="str">
            <v>Second Class</v>
          </cell>
          <cell r="N2">
            <v>8</v>
          </cell>
          <cell r="O2">
            <v>2976.45</v>
          </cell>
          <cell r="P2">
            <v>0.2</v>
          </cell>
          <cell r="S2">
            <v>3207.39</v>
          </cell>
          <cell r="T2" t="str">
            <v>Paid</v>
          </cell>
          <cell r="U2" t="str">
            <v>Completed</v>
          </cell>
        </row>
        <row r="3">
          <cell r="A3" t="str">
            <v>ORD-2024-10002</v>
          </cell>
          <cell r="B3" t="str">
            <v>08/31/2024</v>
          </cell>
          <cell r="C3" t="str">
            <v>05 Sep 2024</v>
          </cell>
          <cell r="D3" t="str">
            <v>CUST-2054</v>
          </cell>
          <cell r="E3" t="str">
            <v>Mira Das</v>
          </cell>
          <cell r="F3" t="str">
            <v>Small Business</v>
          </cell>
          <cell r="G3" t="str">
            <v>East</v>
          </cell>
          <cell r="H3" t="str">
            <v>Odisha</v>
          </cell>
          <cell r="I3" t="str">
            <v>Bhubaneswar</v>
          </cell>
          <cell r="J3" t="str">
            <v>Furniture</v>
          </cell>
          <cell r="K3" t="str">
            <v>Tables</v>
          </cell>
          <cell r="L3" t="str">
            <v>Pro Tables 258</v>
          </cell>
          <cell r="M3" t="str">
            <v>Same Day</v>
          </cell>
          <cell r="N3">
            <v>3</v>
          </cell>
          <cell r="O3">
            <v>2437.5</v>
          </cell>
          <cell r="P3">
            <v>0</v>
          </cell>
          <cell r="S3">
            <v>2407.77</v>
          </cell>
          <cell r="T3" t="str">
            <v>Paid</v>
          </cell>
          <cell r="U3" t="str">
            <v>Completed</v>
          </cell>
        </row>
        <row r="4">
          <cell r="A4" t="str">
            <v>ORD-2024-10003</v>
          </cell>
          <cell r="B4" t="str">
            <v>06/08/2024</v>
          </cell>
          <cell r="C4" t="str">
            <v>15 Jun 2024</v>
          </cell>
          <cell r="D4" t="str">
            <v>CUST-6843</v>
          </cell>
          <cell r="E4" t="str">
            <v>Isha Nair</v>
          </cell>
          <cell r="F4" t="str">
            <v>Consumer</v>
          </cell>
          <cell r="G4" t="str">
            <v>East</v>
          </cell>
          <cell r="H4" t="str">
            <v>Odisha</v>
          </cell>
          <cell r="I4" t="str">
            <v>Bhubaneswar</v>
          </cell>
          <cell r="J4" t="str">
            <v>Office Supplies</v>
          </cell>
          <cell r="K4" t="str">
            <v>Art</v>
          </cell>
          <cell r="L4" t="str">
            <v>Elite Art 525</v>
          </cell>
          <cell r="M4" t="str">
            <v>First Class</v>
          </cell>
          <cell r="N4">
            <v>4</v>
          </cell>
          <cell r="O4">
            <v>1065.43</v>
          </cell>
          <cell r="P4">
            <v>0.55000000000000004</v>
          </cell>
          <cell r="S4">
            <v>1796.03</v>
          </cell>
          <cell r="T4" t="str">
            <v>Paid</v>
          </cell>
          <cell r="U4" t="str">
            <v>Completed</v>
          </cell>
        </row>
        <row r="5">
          <cell r="A5" t="str">
            <v>ORD-2024-10004</v>
          </cell>
          <cell r="B5" t="str">
            <v>28-11-2024</v>
          </cell>
          <cell r="C5" t="str">
            <v>11/29/2024</v>
          </cell>
          <cell r="D5" t="str">
            <v>CUST-3722</v>
          </cell>
          <cell r="E5" t="str">
            <v>Arjun Bose</v>
          </cell>
          <cell r="F5" t="str">
            <v>Small Business</v>
          </cell>
          <cell r="G5" t="str">
            <v>South</v>
          </cell>
          <cell r="H5" t="str">
            <v>Telangana</v>
          </cell>
          <cell r="I5" t="str">
            <v>Hyderabad</v>
          </cell>
          <cell r="J5" t="str">
            <v>Furniture</v>
          </cell>
          <cell r="K5" t="str">
            <v>Furnishings</v>
          </cell>
          <cell r="L5" t="str">
            <v>Smart Furnishings 294</v>
          </cell>
          <cell r="M5" t="str">
            <v>Standard Class</v>
          </cell>
          <cell r="N5">
            <v>6</v>
          </cell>
          <cell r="O5">
            <v>1848.43</v>
          </cell>
          <cell r="P5">
            <v>0.25</v>
          </cell>
          <cell r="S5">
            <v>1521.16</v>
          </cell>
          <cell r="T5" t="str">
            <v>Paid</v>
          </cell>
          <cell r="U5" t="str">
            <v>Completed</v>
          </cell>
        </row>
        <row r="6">
          <cell r="A6" t="str">
            <v>ORD-2025-10005</v>
          </cell>
          <cell r="B6" t="str">
            <v>29 Aug 2025</v>
          </cell>
          <cell r="C6" t="str">
            <v>2025-09-01</v>
          </cell>
          <cell r="D6" t="str">
            <v>CUST-8130</v>
          </cell>
          <cell r="E6" t="str">
            <v>Ananya Rao</v>
          </cell>
          <cell r="F6" t="str">
            <v>Small Business</v>
          </cell>
          <cell r="G6" t="str">
            <v>West</v>
          </cell>
          <cell r="H6" t="str">
            <v>Maharashtra</v>
          </cell>
          <cell r="I6" t="str">
            <v>Mumbai</v>
          </cell>
          <cell r="J6" t="str">
            <v>Furniture</v>
          </cell>
          <cell r="K6" t="str">
            <v>Chairs</v>
          </cell>
          <cell r="L6" t="str">
            <v>Elite Chairs 543</v>
          </cell>
          <cell r="M6" t="str">
            <v>First Class</v>
          </cell>
          <cell r="N6">
            <v>7</v>
          </cell>
          <cell r="O6">
            <v>2973.76</v>
          </cell>
          <cell r="P6">
            <v>0</v>
          </cell>
          <cell r="S6">
            <v>3110.95</v>
          </cell>
          <cell r="T6" t="str">
            <v>Paid</v>
          </cell>
          <cell r="U6" t="str">
            <v>Cancelled</v>
          </cell>
        </row>
        <row r="7">
          <cell r="A7" t="str">
            <v>ORD-2024-10006</v>
          </cell>
          <cell r="B7" t="str">
            <v>2024-05-24</v>
          </cell>
          <cell r="C7" t="str">
            <v>28-05-2024</v>
          </cell>
          <cell r="D7" t="str">
            <v>CUST-6056</v>
          </cell>
          <cell r="E7" t="str">
            <v>Vikram Iyer</v>
          </cell>
          <cell r="F7" t="str">
            <v>Small Business</v>
          </cell>
          <cell r="G7" t="str">
            <v>West</v>
          </cell>
          <cell r="H7" t="str">
            <v>Madhya Pradesh</v>
          </cell>
          <cell r="I7" t="str">
            <v>Indore</v>
          </cell>
          <cell r="J7" t="str">
            <v>Technology</v>
          </cell>
          <cell r="K7" t="str">
            <v>Accessories</v>
          </cell>
          <cell r="L7" t="str">
            <v>Pro Accessories 821</v>
          </cell>
          <cell r="M7" t="str">
            <v>Same Day</v>
          </cell>
          <cell r="N7">
            <v>3</v>
          </cell>
          <cell r="O7">
            <v>1053.1099999999999</v>
          </cell>
          <cell r="P7">
            <v>0.2</v>
          </cell>
          <cell r="S7">
            <v>993.88</v>
          </cell>
          <cell r="T7" t="str">
            <v>Paid</v>
          </cell>
          <cell r="U7" t="str">
            <v>Completed</v>
          </cell>
        </row>
        <row r="8">
          <cell r="A8" t="str">
            <v>ORD-2025-10007</v>
          </cell>
          <cell r="B8" t="str">
            <v>04/10/2025</v>
          </cell>
          <cell r="C8" t="str">
            <v>04/16/2025</v>
          </cell>
          <cell r="D8" t="str">
            <v>CUST-3656</v>
          </cell>
          <cell r="E8" t="str">
            <v>Neha Gupta</v>
          </cell>
          <cell r="F8" t="str">
            <v>Consumer</v>
          </cell>
          <cell r="G8" t="str">
            <v>East</v>
          </cell>
          <cell r="H8" t="str">
            <v>Odisha</v>
          </cell>
          <cell r="I8" t="str">
            <v>Bhubaneswar</v>
          </cell>
          <cell r="J8" t="str">
            <v>Technology</v>
          </cell>
          <cell r="K8" t="str">
            <v>Copiers</v>
          </cell>
          <cell r="L8" t="str">
            <v>Eco Copiers 790</v>
          </cell>
          <cell r="M8" t="str">
            <v>Standard Class</v>
          </cell>
          <cell r="N8">
            <v>4</v>
          </cell>
          <cell r="O8">
            <v>1719.87</v>
          </cell>
          <cell r="P8">
            <v>0.15</v>
          </cell>
          <cell r="S8">
            <v>1120.31</v>
          </cell>
          <cell r="T8" t="str">
            <v>Paid</v>
          </cell>
          <cell r="U8" t="str">
            <v>Completed</v>
          </cell>
        </row>
        <row r="9">
          <cell r="A9" t="str">
            <v>ORD-2025-10008</v>
          </cell>
          <cell r="B9" t="str">
            <v>2025-02-23</v>
          </cell>
          <cell r="C9" t="str">
            <v>26-02-2025</v>
          </cell>
          <cell r="D9" t="str">
            <v>CUST-4683</v>
          </cell>
          <cell r="E9" t="str">
            <v>Isha Nair</v>
          </cell>
          <cell r="F9" t="str">
            <v>Small Business</v>
          </cell>
          <cell r="G9" t="str">
            <v>South</v>
          </cell>
          <cell r="H9" t="str">
            <v>Andhra Pradesh</v>
          </cell>
          <cell r="I9" t="str">
            <v>Vijayawada</v>
          </cell>
          <cell r="J9" t="str">
            <v>Office Supplies</v>
          </cell>
          <cell r="K9" t="str">
            <v>Art</v>
          </cell>
          <cell r="L9" t="str">
            <v>Eco Art 848</v>
          </cell>
          <cell r="M9" t="str">
            <v>First Class</v>
          </cell>
          <cell r="N9">
            <v>1</v>
          </cell>
          <cell r="O9">
            <v>2980.71</v>
          </cell>
          <cell r="P9">
            <v>0</v>
          </cell>
          <cell r="S9">
            <v>623.49</v>
          </cell>
          <cell r="T9" t="str">
            <v>Paid</v>
          </cell>
          <cell r="U9" t="str">
            <v>Completed</v>
          </cell>
        </row>
        <row r="10">
          <cell r="A10" t="str">
            <v>ORD-2024-10009</v>
          </cell>
          <cell r="B10" t="str">
            <v>11/05/2024</v>
          </cell>
          <cell r="C10" t="str">
            <v>11/10/2024</v>
          </cell>
          <cell r="D10" t="str">
            <v>CUST-2598</v>
          </cell>
          <cell r="E10" t="str">
            <v>Aditi Sen</v>
          </cell>
          <cell r="F10" t="str">
            <v>Corporate</v>
          </cell>
          <cell r="G10" t="str">
            <v>South</v>
          </cell>
          <cell r="H10" t="str">
            <v>Telangana</v>
          </cell>
          <cell r="I10" t="str">
            <v>Hyderabad</v>
          </cell>
          <cell r="J10" t="str">
            <v>Office Supplies</v>
          </cell>
          <cell r="K10" t="str">
            <v>Labels</v>
          </cell>
          <cell r="L10" t="str">
            <v>Classic Labels 815</v>
          </cell>
          <cell r="M10" t="str">
            <v>First Class</v>
          </cell>
          <cell r="N10">
            <v>8</v>
          </cell>
          <cell r="O10">
            <v>3134.2</v>
          </cell>
          <cell r="P10">
            <v>0</v>
          </cell>
          <cell r="S10">
            <v>7726.37</v>
          </cell>
          <cell r="T10" t="str">
            <v>Paid</v>
          </cell>
          <cell r="U10" t="str">
            <v>Completed</v>
          </cell>
        </row>
        <row r="11">
          <cell r="A11" t="str">
            <v>ORD-2025-10010</v>
          </cell>
          <cell r="B11" t="str">
            <v>07-09-2025</v>
          </cell>
          <cell r="C11" t="str">
            <v>09/12/2025</v>
          </cell>
          <cell r="D11" t="str">
            <v>CUST-2483</v>
          </cell>
          <cell r="E11" t="str">
            <v>Mira Das</v>
          </cell>
          <cell r="F11" t="str">
            <v>Home Office</v>
          </cell>
          <cell r="G11" t="str">
            <v>South</v>
          </cell>
          <cell r="H11" t="str">
            <v>Telangana</v>
          </cell>
          <cell r="I11" t="str">
            <v>Hyderabad</v>
          </cell>
          <cell r="J11" t="str">
            <v>Office Supplies</v>
          </cell>
          <cell r="K11" t="str">
            <v>Paper</v>
          </cell>
          <cell r="L11" t="str">
            <v>Pro Paper 622</v>
          </cell>
          <cell r="M11" t="str">
            <v>Second Class</v>
          </cell>
          <cell r="N11">
            <v>9</v>
          </cell>
          <cell r="O11">
            <v>852.04</v>
          </cell>
          <cell r="P11">
            <v>0.2</v>
          </cell>
          <cell r="S11">
            <v>2334.5</v>
          </cell>
          <cell r="T11" t="str">
            <v>Paid</v>
          </cell>
          <cell r="U11" t="str">
            <v>Completed</v>
          </cell>
        </row>
        <row r="12">
          <cell r="A12" t="str">
            <v>ORD-2025-10011</v>
          </cell>
          <cell r="B12" t="str">
            <v>20 May 2025</v>
          </cell>
          <cell r="C12" t="str">
            <v>05/20/2025</v>
          </cell>
          <cell r="D12" t="str">
            <v>CUST-8092</v>
          </cell>
          <cell r="E12" t="str">
            <v>Ananya Rao</v>
          </cell>
          <cell r="F12" t="str">
            <v>Corporate</v>
          </cell>
          <cell r="G12" t="str">
            <v>East</v>
          </cell>
          <cell r="H12" t="str">
            <v>West Bengal</v>
          </cell>
          <cell r="I12" t="str">
            <v>Kolkata</v>
          </cell>
          <cell r="J12" t="str">
            <v>Office Supplies</v>
          </cell>
          <cell r="K12" t="str">
            <v>Labels</v>
          </cell>
          <cell r="L12" t="str">
            <v>Prime Labels 644</v>
          </cell>
          <cell r="M12" t="str">
            <v>Second Class</v>
          </cell>
          <cell r="N12">
            <v>3</v>
          </cell>
          <cell r="O12">
            <v>3534.83</v>
          </cell>
          <cell r="P12">
            <v>0.05</v>
          </cell>
          <cell r="S12">
            <v>4026</v>
          </cell>
          <cell r="T12" t="str">
            <v>Refunded</v>
          </cell>
          <cell r="U12" t="str">
            <v>Returned</v>
          </cell>
        </row>
        <row r="13">
          <cell r="A13" t="str">
            <v>ORD-2024-10012</v>
          </cell>
          <cell r="B13" t="str">
            <v>2024-07-22</v>
          </cell>
          <cell r="C13" t="str">
            <v>23-07-2024</v>
          </cell>
          <cell r="D13" t="str">
            <v>CUST-6528</v>
          </cell>
          <cell r="E13" t="str">
            <v>Vikram Iyer</v>
          </cell>
          <cell r="F13" t="str">
            <v>Small Business</v>
          </cell>
          <cell r="G13" t="str">
            <v>East</v>
          </cell>
          <cell r="H13" t="str">
            <v>Odisha</v>
          </cell>
          <cell r="I13" t="str">
            <v>Bhubaneswar</v>
          </cell>
          <cell r="J13" t="str">
            <v>Technology</v>
          </cell>
          <cell r="K13" t="str">
            <v>Accessories</v>
          </cell>
          <cell r="L13" t="str">
            <v>Smart Accessories 603</v>
          </cell>
          <cell r="M13" t="str">
            <v>Same Day</v>
          </cell>
          <cell r="N13">
            <v>6</v>
          </cell>
          <cell r="O13">
            <v>2005.95</v>
          </cell>
          <cell r="P13">
            <v>0.2</v>
          </cell>
          <cell r="S13">
            <v>1589.97</v>
          </cell>
          <cell r="T13" t="str">
            <v>Paid</v>
          </cell>
          <cell r="U13" t="str">
            <v>Completed</v>
          </cell>
        </row>
        <row r="14">
          <cell r="A14" t="str">
            <v>ORD-2024-10013</v>
          </cell>
          <cell r="B14" t="str">
            <v>20 Dec 2024</v>
          </cell>
          <cell r="C14" t="str">
            <v>12/21/2024</v>
          </cell>
          <cell r="D14" t="str">
            <v>CUST-2648</v>
          </cell>
          <cell r="E14" t="str">
            <v>Ananya Rao</v>
          </cell>
          <cell r="F14" t="str">
            <v>Corporate</v>
          </cell>
          <cell r="G14" t="str">
            <v>West</v>
          </cell>
          <cell r="H14" t="str">
            <v>Rajasthan</v>
          </cell>
          <cell r="I14" t="str">
            <v>Udaipur</v>
          </cell>
          <cell r="J14" t="str">
            <v>Office Supplies</v>
          </cell>
          <cell r="K14" t="str">
            <v>Paper</v>
          </cell>
          <cell r="L14" t="str">
            <v>Pro Paper 481</v>
          </cell>
          <cell r="M14" t="str">
            <v>First Class</v>
          </cell>
          <cell r="N14">
            <v>1</v>
          </cell>
          <cell r="O14">
            <v>702.14</v>
          </cell>
          <cell r="P14">
            <v>0.15</v>
          </cell>
          <cell r="S14">
            <v>216.57</v>
          </cell>
          <cell r="T14" t="str">
            <v>Pending</v>
          </cell>
          <cell r="U14" t="str">
            <v>Returned</v>
          </cell>
        </row>
        <row r="15">
          <cell r="A15" t="str">
            <v>ORD-2025-10014</v>
          </cell>
          <cell r="B15" t="str">
            <v>2025-10-12</v>
          </cell>
          <cell r="C15" t="str">
            <v>16-10-2025</v>
          </cell>
          <cell r="D15" t="str">
            <v>CUST-7482</v>
          </cell>
          <cell r="E15" t="str">
            <v>Priya Menon</v>
          </cell>
          <cell r="F15" t="str">
            <v>Small Business</v>
          </cell>
          <cell r="G15" t="str">
            <v>West</v>
          </cell>
          <cell r="H15" t="str">
            <v>Maharashtra</v>
          </cell>
          <cell r="I15" t="str">
            <v>Mumbai</v>
          </cell>
          <cell r="J15" t="str">
            <v>Office Supplies</v>
          </cell>
          <cell r="K15" t="str">
            <v>Art</v>
          </cell>
          <cell r="L15" t="str">
            <v>Smart Art 795</v>
          </cell>
          <cell r="M15" t="str">
            <v>Second Class</v>
          </cell>
          <cell r="N15">
            <v>7</v>
          </cell>
          <cell r="O15">
            <v>3964.72</v>
          </cell>
          <cell r="P15">
            <v>0.05</v>
          </cell>
          <cell r="S15">
            <v>4059.15</v>
          </cell>
          <cell r="T15" t="str">
            <v>Paid</v>
          </cell>
          <cell r="U15" t="str">
            <v>Completed</v>
          </cell>
        </row>
        <row r="16">
          <cell r="A16" t="str">
            <v>ORD-2024-10015</v>
          </cell>
          <cell r="B16" t="str">
            <v>27 Dec 2024</v>
          </cell>
          <cell r="C16" t="str">
            <v>12/28/2024</v>
          </cell>
          <cell r="D16" t="str">
            <v>CUST-4912</v>
          </cell>
          <cell r="E16" t="str">
            <v>Rahul Verma</v>
          </cell>
          <cell r="F16" t="str">
            <v>Consumer</v>
          </cell>
          <cell r="G16" t="str">
            <v>West</v>
          </cell>
          <cell r="H16" t="str">
            <v>Rajasthan</v>
          </cell>
          <cell r="I16" t="str">
            <v>Udaipur</v>
          </cell>
          <cell r="J16" t="str">
            <v>Technology</v>
          </cell>
          <cell r="K16" t="str">
            <v>Copiers</v>
          </cell>
          <cell r="L16" t="str">
            <v>Max Copiers 983</v>
          </cell>
          <cell r="M16" t="str">
            <v>Standard Class</v>
          </cell>
          <cell r="N16">
            <v>2</v>
          </cell>
          <cell r="O16">
            <v>2737.83</v>
          </cell>
          <cell r="P16">
            <v>0.25</v>
          </cell>
          <cell r="S16">
            <v>1440.44</v>
          </cell>
          <cell r="T16" t="str">
            <v>Paid</v>
          </cell>
          <cell r="U16" t="str">
            <v>Completed</v>
          </cell>
        </row>
        <row r="17">
          <cell r="A17" t="str">
            <v>ORD-2024-10016</v>
          </cell>
          <cell r="B17" t="str">
            <v>07/09/2024</v>
          </cell>
          <cell r="C17" t="str">
            <v>09 Jul 2024</v>
          </cell>
          <cell r="D17" t="str">
            <v>CUST-7656</v>
          </cell>
          <cell r="E17" t="str">
            <v>Karan Malhotra</v>
          </cell>
          <cell r="F17" t="str">
            <v>Small Business</v>
          </cell>
          <cell r="G17" t="str">
            <v>North</v>
          </cell>
          <cell r="H17" t="str">
            <v>Punjab</v>
          </cell>
          <cell r="I17" t="str">
            <v>Ludhiana</v>
          </cell>
          <cell r="J17" t="str">
            <v>Office Supplies</v>
          </cell>
          <cell r="K17" t="str">
            <v>Storage</v>
          </cell>
          <cell r="L17" t="str">
            <v>Classic Storage 198</v>
          </cell>
          <cell r="M17" t="str">
            <v>Second Class</v>
          </cell>
          <cell r="N17">
            <v>6</v>
          </cell>
          <cell r="O17">
            <v>3965.76</v>
          </cell>
          <cell r="P17">
            <v>0</v>
          </cell>
          <cell r="S17">
            <v>8096.09</v>
          </cell>
          <cell r="T17" t="str">
            <v>Paid</v>
          </cell>
          <cell r="U17" t="str">
            <v>Completed</v>
          </cell>
        </row>
        <row r="18">
          <cell r="A18" t="str">
            <v>ORD-2024-10017</v>
          </cell>
          <cell r="B18" t="str">
            <v>05/08/2024</v>
          </cell>
          <cell r="C18" t="str">
            <v>15-05-2024</v>
          </cell>
          <cell r="D18" t="str">
            <v>CUST-6214</v>
          </cell>
          <cell r="E18" t="str">
            <v>Aarav Sharma</v>
          </cell>
          <cell r="F18" t="str">
            <v>Consumer</v>
          </cell>
          <cell r="G18" t="str">
            <v>South</v>
          </cell>
          <cell r="H18" t="str">
            <v>Telangana</v>
          </cell>
          <cell r="I18" t="str">
            <v>Hyderabad</v>
          </cell>
          <cell r="J18" t="str">
            <v>Office Supplies</v>
          </cell>
          <cell r="K18" t="str">
            <v>Art</v>
          </cell>
          <cell r="L18" t="str">
            <v>Basic Art 204</v>
          </cell>
          <cell r="M18" t="str">
            <v>First Class</v>
          </cell>
          <cell r="N18">
            <v>4</v>
          </cell>
          <cell r="O18">
            <v>3323.51</v>
          </cell>
          <cell r="P18">
            <v>0.25</v>
          </cell>
          <cell r="S18">
            <v>4302.3599999999997</v>
          </cell>
          <cell r="T18" t="str">
            <v>Paid</v>
          </cell>
          <cell r="U18" t="str">
            <v>Completed</v>
          </cell>
        </row>
        <row r="19">
          <cell r="A19" t="str">
            <v>ORD-2024-10018</v>
          </cell>
          <cell r="B19" t="str">
            <v>01/07/2024</v>
          </cell>
          <cell r="C19" t="str">
            <v>2024-01-08</v>
          </cell>
          <cell r="D19" t="str">
            <v>CUST-1626</v>
          </cell>
          <cell r="E19" t="str">
            <v>Sneha Kapoor</v>
          </cell>
          <cell r="F19" t="str">
            <v>Small Business</v>
          </cell>
          <cell r="G19" t="str">
            <v>North</v>
          </cell>
          <cell r="H19" t="str">
            <v>Rajasthan</v>
          </cell>
          <cell r="I19" t="str">
            <v>Jaipur</v>
          </cell>
          <cell r="J19" t="str">
            <v>Furniture</v>
          </cell>
          <cell r="K19" t="str">
            <v>Furnishings</v>
          </cell>
          <cell r="L19" t="str">
            <v>Basic Furnishings 434</v>
          </cell>
          <cell r="M19" t="str">
            <v>Same Day</v>
          </cell>
          <cell r="N19">
            <v>5</v>
          </cell>
          <cell r="O19">
            <v>1526.78</v>
          </cell>
          <cell r="P19">
            <v>0</v>
          </cell>
          <cell r="S19">
            <v>2926.99</v>
          </cell>
          <cell r="T19" t="str">
            <v>Paid</v>
          </cell>
          <cell r="U19" t="str">
            <v>Completed</v>
          </cell>
        </row>
        <row r="20">
          <cell r="A20" t="str">
            <v>ORD-2025-10019</v>
          </cell>
          <cell r="B20" t="str">
            <v>07/15/2025</v>
          </cell>
          <cell r="C20" t="str">
            <v>17-07-2025</v>
          </cell>
          <cell r="D20" t="str">
            <v>CUST-2110</v>
          </cell>
          <cell r="E20" t="str">
            <v>Aarav Sharma</v>
          </cell>
          <cell r="F20" t="str">
            <v>Home Office</v>
          </cell>
          <cell r="G20" t="str">
            <v>North</v>
          </cell>
          <cell r="H20" t="str">
            <v>Uttar Pradesh</v>
          </cell>
          <cell r="I20" t="str">
            <v>Noida</v>
          </cell>
          <cell r="J20" t="str">
            <v>Technology</v>
          </cell>
          <cell r="K20" t="str">
            <v>Copiers</v>
          </cell>
          <cell r="L20" t="str">
            <v>Eco Copiers 755</v>
          </cell>
          <cell r="M20" t="str">
            <v>First Class</v>
          </cell>
          <cell r="N20">
            <v>2</v>
          </cell>
          <cell r="O20">
            <v>1997.99</v>
          </cell>
          <cell r="P20">
            <v>0</v>
          </cell>
          <cell r="S20">
            <v>1362.78</v>
          </cell>
          <cell r="T20" t="str">
            <v>Refunded</v>
          </cell>
          <cell r="U20" t="str">
            <v>Cancelled</v>
          </cell>
        </row>
        <row r="21">
          <cell r="A21" t="str">
            <v>ORD-2024-10020</v>
          </cell>
          <cell r="B21" t="str">
            <v>07/27/2024</v>
          </cell>
          <cell r="C21" t="str">
            <v>31 Jul 2024</v>
          </cell>
          <cell r="D21" t="str">
            <v>CUST-3186</v>
          </cell>
          <cell r="E21" t="str">
            <v>Rohan Mehta</v>
          </cell>
          <cell r="F21" t="str">
            <v>Home Office</v>
          </cell>
          <cell r="G21" t="str">
            <v>West</v>
          </cell>
          <cell r="H21" t="str">
            <v>Madhya Pradesh</v>
          </cell>
          <cell r="I21" t="str">
            <v>Indore</v>
          </cell>
          <cell r="J21" t="str">
            <v>Office Supplies</v>
          </cell>
          <cell r="K21" t="str">
            <v>Storage</v>
          </cell>
          <cell r="L21" t="str">
            <v>Prime Storage 121</v>
          </cell>
          <cell r="M21" t="str">
            <v>Second Class</v>
          </cell>
          <cell r="N21">
            <v>3</v>
          </cell>
          <cell r="O21">
            <v>3887.94</v>
          </cell>
          <cell r="P21">
            <v>-0.19</v>
          </cell>
          <cell r="S21">
            <v>1801.75</v>
          </cell>
          <cell r="T21" t="str">
            <v>Paid</v>
          </cell>
          <cell r="U21" t="str">
            <v>Completed</v>
          </cell>
        </row>
        <row r="22">
          <cell r="A22" t="str">
            <v>ORD-2025-10021</v>
          </cell>
          <cell r="B22" t="str">
            <v>21-01-2025</v>
          </cell>
          <cell r="C22" t="str">
            <v>23 Jan 2025</v>
          </cell>
          <cell r="D22" t="str">
            <v>CUST-3190</v>
          </cell>
          <cell r="E22" t="str">
            <v>Aditi Sen</v>
          </cell>
          <cell r="F22" t="str">
            <v>Home Office</v>
          </cell>
          <cell r="G22" t="str">
            <v>East</v>
          </cell>
          <cell r="H22" t="str">
            <v>Bihar</v>
          </cell>
          <cell r="I22" t="str">
            <v>Patna</v>
          </cell>
          <cell r="J22" t="str">
            <v>Technology</v>
          </cell>
          <cell r="K22" t="str">
            <v>Copiers</v>
          </cell>
          <cell r="L22" t="str">
            <v>Elite Copiers 233</v>
          </cell>
          <cell r="M22" t="str">
            <v>First Class</v>
          </cell>
          <cell r="N22">
            <v>5</v>
          </cell>
          <cell r="O22">
            <v>4373.0600000000004</v>
          </cell>
          <cell r="P22">
            <v>0.25</v>
          </cell>
          <cell r="S22">
            <v>6842.46</v>
          </cell>
          <cell r="T22" t="str">
            <v>Paid</v>
          </cell>
          <cell r="U22" t="str">
            <v>Completed</v>
          </cell>
        </row>
        <row r="23">
          <cell r="A23" t="str">
            <v>ORD-2025-10022</v>
          </cell>
          <cell r="B23" t="str">
            <v>24-01-2025</v>
          </cell>
          <cell r="C23" t="str">
            <v>01/30/2025</v>
          </cell>
          <cell r="D23" t="str">
            <v>CUST-3036</v>
          </cell>
          <cell r="E23" t="str">
            <v>Sneha Kapoor</v>
          </cell>
          <cell r="F23" t="str">
            <v>Consumer</v>
          </cell>
          <cell r="G23" t="str">
            <v>West</v>
          </cell>
          <cell r="H23" t="str">
            <v>Madhya Pradesh</v>
          </cell>
          <cell r="I23" t="str">
            <v>Indore</v>
          </cell>
          <cell r="J23" t="str">
            <v>Furniture</v>
          </cell>
          <cell r="K23" t="str">
            <v>Furnishings</v>
          </cell>
          <cell r="L23" t="str">
            <v>Eco Furnishings 897</v>
          </cell>
          <cell r="M23" t="str">
            <v>Second Class</v>
          </cell>
          <cell r="N23">
            <v>4</v>
          </cell>
          <cell r="O23">
            <v>697.69</v>
          </cell>
          <cell r="P23">
            <v>-0.23</v>
          </cell>
          <cell r="S23">
            <v>753.05</v>
          </cell>
          <cell r="T23" t="str">
            <v>Paid</v>
          </cell>
          <cell r="U23" t="str">
            <v>Completed</v>
          </cell>
        </row>
        <row r="24">
          <cell r="A24" t="str">
            <v>ORD-2025-10023</v>
          </cell>
          <cell r="B24" t="str">
            <v>19 Jan 2025</v>
          </cell>
          <cell r="C24" t="str">
            <v>2025-01-21</v>
          </cell>
          <cell r="D24" t="str">
            <v>CUST-3588</v>
          </cell>
          <cell r="E24" t="str">
            <v>Mira Das</v>
          </cell>
          <cell r="F24" t="str">
            <v>Consumer</v>
          </cell>
          <cell r="G24" t="str">
            <v>South</v>
          </cell>
          <cell r="H24" t="str">
            <v>Telangana</v>
          </cell>
          <cell r="I24" t="str">
            <v>Hyderabad</v>
          </cell>
          <cell r="J24" t="str">
            <v>Office Supplies</v>
          </cell>
          <cell r="K24" t="str">
            <v>Binders</v>
          </cell>
          <cell r="L24" t="str">
            <v>Max Binders 355</v>
          </cell>
          <cell r="M24" t="str">
            <v>Standard Class</v>
          </cell>
          <cell r="N24">
            <v>8</v>
          </cell>
          <cell r="O24">
            <v>1219.3399999999999</v>
          </cell>
          <cell r="P24">
            <v>0.15</v>
          </cell>
          <cell r="S24">
            <v>1606.48</v>
          </cell>
          <cell r="T24" t="str">
            <v>Failed</v>
          </cell>
          <cell r="U24" t="str">
            <v>Returned</v>
          </cell>
        </row>
        <row r="25">
          <cell r="A25" t="str">
            <v>ORD-2025-10024</v>
          </cell>
          <cell r="B25" t="str">
            <v>29 Aug 2025</v>
          </cell>
          <cell r="C25" t="str">
            <v>31-08-2025</v>
          </cell>
          <cell r="D25" t="str">
            <v>CUST-7098</v>
          </cell>
          <cell r="E25" t="str">
            <v>Rahul Verma</v>
          </cell>
          <cell r="F25" t="str">
            <v>Home Office</v>
          </cell>
          <cell r="G25" t="str">
            <v>East</v>
          </cell>
          <cell r="H25" t="str">
            <v>Bihar</v>
          </cell>
          <cell r="I25" t="str">
            <v>Patna</v>
          </cell>
          <cell r="J25" t="str">
            <v>Furniture</v>
          </cell>
          <cell r="K25" t="str">
            <v>Bookcases</v>
          </cell>
          <cell r="L25" t="str">
            <v>Pro Bookcases 394</v>
          </cell>
          <cell r="M25" t="str">
            <v>First Class</v>
          </cell>
          <cell r="N25">
            <v>4</v>
          </cell>
          <cell r="O25">
            <v>1958.01</v>
          </cell>
          <cell r="P25">
            <v>0.2</v>
          </cell>
          <cell r="S25">
            <v>1943.77</v>
          </cell>
          <cell r="T25" t="str">
            <v>Paid</v>
          </cell>
          <cell r="U25" t="str">
            <v>Completed</v>
          </cell>
        </row>
        <row r="26">
          <cell r="A26" t="str">
            <v>ORD-2024-10025</v>
          </cell>
          <cell r="B26" t="str">
            <v>2024-03-04</v>
          </cell>
          <cell r="C26" t="str">
            <v>03/01/2024</v>
          </cell>
          <cell r="D26" t="str">
            <v>CUST-1747</v>
          </cell>
          <cell r="E26" t="str">
            <v>Diya Patel</v>
          </cell>
          <cell r="F26" t="str">
            <v>Consumer</v>
          </cell>
          <cell r="G26" t="str">
            <v>North</v>
          </cell>
          <cell r="H26" t="str">
            <v>Punjab</v>
          </cell>
          <cell r="I26" t="str">
            <v>Ludhiana</v>
          </cell>
          <cell r="J26" t="str">
            <v>Office Supplies</v>
          </cell>
          <cell r="K26" t="str">
            <v>Art</v>
          </cell>
          <cell r="L26" t="str">
            <v>Max Art 215</v>
          </cell>
          <cell r="M26" t="str">
            <v>Standard Class</v>
          </cell>
          <cell r="N26">
            <v>4</v>
          </cell>
          <cell r="O26">
            <v>4492.9399999999996</v>
          </cell>
          <cell r="P26">
            <v>0.25</v>
          </cell>
          <cell r="S26">
            <v>2541.4699999999998</v>
          </cell>
          <cell r="T26" t="str">
            <v>Pending</v>
          </cell>
          <cell r="U26" t="str">
            <v>Cancelled</v>
          </cell>
        </row>
        <row r="27">
          <cell r="A27" t="str">
            <v>ORD-2024-10026</v>
          </cell>
          <cell r="B27" t="str">
            <v>11-10-2024</v>
          </cell>
          <cell r="C27" t="str">
            <v>2024-10-19</v>
          </cell>
          <cell r="D27" t="str">
            <v>CUST-1731</v>
          </cell>
          <cell r="E27" t="str">
            <v>Arjun Bose</v>
          </cell>
          <cell r="F27" t="str">
            <v>Corporate</v>
          </cell>
          <cell r="G27" t="str">
            <v>East</v>
          </cell>
          <cell r="H27" t="str">
            <v>Assam</v>
          </cell>
          <cell r="I27" t="str">
            <v>Guwahati</v>
          </cell>
          <cell r="J27" t="str">
            <v>Technology</v>
          </cell>
          <cell r="K27" t="str">
            <v>Accessories</v>
          </cell>
          <cell r="L27" t="str">
            <v>Classic Accessories 478</v>
          </cell>
          <cell r="M27" t="str">
            <v>First Class</v>
          </cell>
          <cell r="N27">
            <v>2</v>
          </cell>
          <cell r="O27">
            <v>4315.2</v>
          </cell>
          <cell r="P27">
            <v>0.15</v>
          </cell>
          <cell r="S27">
            <v>2367.4299999999998</v>
          </cell>
          <cell r="T27" t="str">
            <v>Paid</v>
          </cell>
          <cell r="U27" t="str">
            <v>Completed</v>
          </cell>
        </row>
        <row r="28">
          <cell r="A28" t="str">
            <v>ORD-2024-10027</v>
          </cell>
          <cell r="B28" t="str">
            <v>23-11-2024</v>
          </cell>
          <cell r="C28" t="str">
            <v>23 Nov 2024</v>
          </cell>
          <cell r="D28" t="str">
            <v>CUST-4401</v>
          </cell>
          <cell r="E28" t="str">
            <v>Diya Patel</v>
          </cell>
          <cell r="F28" t="str">
            <v>Corporate</v>
          </cell>
          <cell r="G28" t="str">
            <v>North</v>
          </cell>
          <cell r="H28" t="str">
            <v>Uttar Pradesh</v>
          </cell>
          <cell r="I28" t="str">
            <v>Noida</v>
          </cell>
          <cell r="J28" t="str">
            <v>Technology</v>
          </cell>
          <cell r="K28" t="str">
            <v>Phones</v>
          </cell>
          <cell r="L28" t="str">
            <v>Pro Phones 243</v>
          </cell>
          <cell r="M28" t="str">
            <v>Standard Class</v>
          </cell>
          <cell r="N28">
            <v>4</v>
          </cell>
          <cell r="O28">
            <v>716.13</v>
          </cell>
          <cell r="P28">
            <v>0.1</v>
          </cell>
          <cell r="S28">
            <v>1050.52</v>
          </cell>
          <cell r="T28" t="str">
            <v>Paid</v>
          </cell>
          <cell r="U28" t="str">
            <v>Returned</v>
          </cell>
        </row>
        <row r="29">
          <cell r="A29" t="str">
            <v>ORD-2025-10028</v>
          </cell>
          <cell r="B29" t="str">
            <v>29 Sep 2025</v>
          </cell>
          <cell r="C29" t="str">
            <v>05-10-2025</v>
          </cell>
          <cell r="D29" t="str">
            <v>CUST-9875</v>
          </cell>
          <cell r="E29" t="str">
            <v>Arjun Bose</v>
          </cell>
          <cell r="F29" t="str">
            <v>Small Business</v>
          </cell>
          <cell r="G29" t="str">
            <v>South</v>
          </cell>
          <cell r="H29" t="str">
            <v>Karnataka</v>
          </cell>
          <cell r="I29" t="str">
            <v>Bengaluru</v>
          </cell>
          <cell r="J29" t="str">
            <v>Office Supplies</v>
          </cell>
          <cell r="K29" t="str">
            <v>Paper</v>
          </cell>
          <cell r="L29" t="str">
            <v>Basic Paper 613</v>
          </cell>
          <cell r="M29" t="str">
            <v>Second Class</v>
          </cell>
          <cell r="N29">
            <v>5</v>
          </cell>
          <cell r="O29">
            <v>1806.51</v>
          </cell>
          <cell r="P29">
            <v>0.25</v>
          </cell>
          <cell r="S29">
            <v>2064.0500000000002</v>
          </cell>
          <cell r="T29" t="str">
            <v>Failed</v>
          </cell>
          <cell r="U29" t="str">
            <v>Returned</v>
          </cell>
        </row>
        <row r="30">
          <cell r="A30" t="str">
            <v>ORD-2024-10029</v>
          </cell>
          <cell r="B30" t="str">
            <v>11-10-2024</v>
          </cell>
          <cell r="C30" t="str">
            <v>18-10-2024</v>
          </cell>
          <cell r="D30" t="str">
            <v>CUST-1569</v>
          </cell>
          <cell r="E30" t="str">
            <v>Ananya Rao</v>
          </cell>
          <cell r="F30" t="str">
            <v>Home Office</v>
          </cell>
          <cell r="G30" t="str">
            <v>West</v>
          </cell>
          <cell r="H30" t="str">
            <v>Gujarat</v>
          </cell>
          <cell r="I30" t="str">
            <v>Ahmedabad</v>
          </cell>
          <cell r="J30" t="str">
            <v>Technology</v>
          </cell>
          <cell r="K30" t="str">
            <v>Phones</v>
          </cell>
          <cell r="L30" t="str">
            <v>Prime Phones 698</v>
          </cell>
          <cell r="M30" t="str">
            <v>Second Class</v>
          </cell>
          <cell r="N30">
            <v>2</v>
          </cell>
          <cell r="O30">
            <v>1942.22</v>
          </cell>
          <cell r="P30">
            <v>0.25</v>
          </cell>
          <cell r="S30">
            <v>791</v>
          </cell>
          <cell r="T30" t="str">
            <v>Refunded</v>
          </cell>
          <cell r="U30" t="str">
            <v>Cancelled</v>
          </cell>
        </row>
        <row r="31">
          <cell r="A31" t="str">
            <v>ORD-2025-10030</v>
          </cell>
          <cell r="B31" t="str">
            <v>13 Aug 2025</v>
          </cell>
          <cell r="C31" t="str">
            <v>13-08-2025</v>
          </cell>
          <cell r="D31" t="str">
            <v>CUST-5936</v>
          </cell>
          <cell r="E31" t="str">
            <v>Rohan Mehta</v>
          </cell>
          <cell r="F31" t="str">
            <v>Home Office</v>
          </cell>
          <cell r="G31" t="str">
            <v>South</v>
          </cell>
          <cell r="H31" t="str">
            <v>Kerala</v>
          </cell>
          <cell r="I31" t="str">
            <v>Kochi</v>
          </cell>
          <cell r="J31" t="str">
            <v>Technology</v>
          </cell>
          <cell r="K31" t="str">
            <v>Phones</v>
          </cell>
          <cell r="L31" t="str">
            <v>Pro Phones 442</v>
          </cell>
          <cell r="M31" t="str">
            <v>Standard Class</v>
          </cell>
          <cell r="N31">
            <v>1</v>
          </cell>
          <cell r="O31">
            <v>256.01</v>
          </cell>
          <cell r="P31">
            <v>0.15</v>
          </cell>
          <cell r="S31">
            <v>97.84</v>
          </cell>
          <cell r="T31" t="str">
            <v>Paid</v>
          </cell>
          <cell r="U31" t="str">
            <v>Completed</v>
          </cell>
        </row>
        <row r="32">
          <cell r="A32" t="str">
            <v>ORD-2024-10031</v>
          </cell>
          <cell r="B32" t="str">
            <v>09 Feb 2024</v>
          </cell>
          <cell r="C32" t="str">
            <v>02/12/2024</v>
          </cell>
          <cell r="D32" t="str">
            <v>CUST-8759</v>
          </cell>
          <cell r="E32" t="str">
            <v>Ananya Rao</v>
          </cell>
          <cell r="F32" t="str">
            <v>Corporate</v>
          </cell>
          <cell r="G32" t="str">
            <v>West</v>
          </cell>
          <cell r="H32" t="str">
            <v>Goa</v>
          </cell>
          <cell r="I32" t="str">
            <v>Panaji</v>
          </cell>
          <cell r="J32" t="str">
            <v>Office Supplies</v>
          </cell>
          <cell r="K32" t="str">
            <v>Labels</v>
          </cell>
          <cell r="L32" t="str">
            <v>Pro Labels 355</v>
          </cell>
          <cell r="M32" t="str">
            <v>First Class</v>
          </cell>
          <cell r="N32">
            <v>1</v>
          </cell>
          <cell r="O32">
            <v>3421.77</v>
          </cell>
          <cell r="P32">
            <v>0.1</v>
          </cell>
          <cell r="S32">
            <v>1077.7</v>
          </cell>
          <cell r="T32" t="str">
            <v>Paid</v>
          </cell>
          <cell r="U32" t="str">
            <v>Completed</v>
          </cell>
        </row>
        <row r="33">
          <cell r="A33" t="str">
            <v>ORD-2025-10032</v>
          </cell>
          <cell r="B33" t="str">
            <v>15-06-2025</v>
          </cell>
          <cell r="C33" t="str">
            <v>19-06-2025</v>
          </cell>
          <cell r="D33" t="str">
            <v>CUST-7867</v>
          </cell>
          <cell r="E33" t="str">
            <v>Karan Malhotra</v>
          </cell>
          <cell r="F33" t="str">
            <v>Small Business</v>
          </cell>
          <cell r="G33" t="str">
            <v>West</v>
          </cell>
          <cell r="H33" t="str">
            <v>Madhya Pradesh</v>
          </cell>
          <cell r="I33" t="str">
            <v>Indore</v>
          </cell>
          <cell r="J33" t="str">
            <v>Office Supplies</v>
          </cell>
          <cell r="K33" t="str">
            <v>Paper</v>
          </cell>
          <cell r="L33" t="str">
            <v>Pro Paper 959</v>
          </cell>
          <cell r="M33" t="str">
            <v>Second Class</v>
          </cell>
          <cell r="N33">
            <v>9</v>
          </cell>
          <cell r="O33">
            <v>3092.55</v>
          </cell>
          <cell r="P33">
            <v>0</v>
          </cell>
          <cell r="S33">
            <v>10063.200000000001</v>
          </cell>
          <cell r="T33" t="str">
            <v>Failed</v>
          </cell>
          <cell r="U33" t="str">
            <v>Returned</v>
          </cell>
        </row>
        <row r="34">
          <cell r="A34" t="str">
            <v>ORD-2024-10033</v>
          </cell>
          <cell r="B34" t="str">
            <v>22-11-2024</v>
          </cell>
          <cell r="C34" t="str">
            <v>2024-11-26</v>
          </cell>
          <cell r="D34" t="str">
            <v>CUST-6509</v>
          </cell>
          <cell r="E34" t="str">
            <v>Aarav Sharma</v>
          </cell>
          <cell r="F34" t="str">
            <v>Corporate</v>
          </cell>
          <cell r="G34" t="str">
            <v>South</v>
          </cell>
          <cell r="H34" t="str">
            <v>Andhra Pradesh</v>
          </cell>
          <cell r="I34" t="str">
            <v>Vijayawada</v>
          </cell>
          <cell r="J34" t="str">
            <v>Technology</v>
          </cell>
          <cell r="K34" t="str">
            <v>Phones</v>
          </cell>
          <cell r="L34" t="str">
            <v>Basic Phones 242</v>
          </cell>
          <cell r="M34" t="str">
            <v>Second Class</v>
          </cell>
          <cell r="N34">
            <v>3</v>
          </cell>
          <cell r="O34">
            <v>4001.25</v>
          </cell>
          <cell r="S34">
            <v>1472.89</v>
          </cell>
          <cell r="T34" t="str">
            <v>Paid</v>
          </cell>
          <cell r="U34" t="str">
            <v>Completed</v>
          </cell>
        </row>
        <row r="35">
          <cell r="A35" t="str">
            <v>ORD-2024-10034</v>
          </cell>
          <cell r="B35" t="str">
            <v>07/22/2024</v>
          </cell>
          <cell r="C35" t="str">
            <v>27-07-2024</v>
          </cell>
          <cell r="D35" t="str">
            <v>CUST-6660</v>
          </cell>
          <cell r="E35" t="str">
            <v>Priya Menon</v>
          </cell>
          <cell r="F35" t="str">
            <v>Home Office</v>
          </cell>
          <cell r="G35" t="str">
            <v>West</v>
          </cell>
          <cell r="H35" t="str">
            <v>Goa</v>
          </cell>
          <cell r="I35" t="str">
            <v>Panaji</v>
          </cell>
          <cell r="J35" t="str">
            <v>Furniture</v>
          </cell>
          <cell r="K35" t="str">
            <v>Tables</v>
          </cell>
          <cell r="L35" t="str">
            <v>Max Tables 836</v>
          </cell>
          <cell r="M35" t="str">
            <v>Same Day</v>
          </cell>
          <cell r="N35">
            <v>7</v>
          </cell>
          <cell r="O35">
            <v>492.41</v>
          </cell>
          <cell r="P35">
            <v>0.25</v>
          </cell>
          <cell r="S35">
            <v>514.41999999999996</v>
          </cell>
          <cell r="T35" t="str">
            <v>Paid</v>
          </cell>
          <cell r="U35" t="str">
            <v>Completed</v>
          </cell>
        </row>
        <row r="36">
          <cell r="A36" t="str">
            <v>ORD-2025-10035</v>
          </cell>
          <cell r="B36" t="str">
            <v>2025-01-31</v>
          </cell>
          <cell r="C36" t="str">
            <v>2025-02-05</v>
          </cell>
          <cell r="D36" t="str">
            <v>CUST-2392</v>
          </cell>
          <cell r="E36" t="str">
            <v>Priya Menon</v>
          </cell>
          <cell r="F36" t="str">
            <v>Home Office</v>
          </cell>
          <cell r="G36" t="str">
            <v>East</v>
          </cell>
          <cell r="H36" t="str">
            <v>West Bengal</v>
          </cell>
          <cell r="I36" t="str">
            <v>Kolkata</v>
          </cell>
          <cell r="J36" t="str">
            <v>Furniture</v>
          </cell>
          <cell r="K36" t="str">
            <v>Chairs</v>
          </cell>
          <cell r="L36" t="str">
            <v>Elite Chairs 862</v>
          </cell>
          <cell r="N36">
            <v>2</v>
          </cell>
          <cell r="O36">
            <v>4159.6899999999996</v>
          </cell>
          <cell r="P36">
            <v>0.2</v>
          </cell>
          <cell r="S36">
            <v>2607.3200000000002</v>
          </cell>
          <cell r="T36" t="str">
            <v>Paid</v>
          </cell>
          <cell r="U36" t="str">
            <v>Completed</v>
          </cell>
        </row>
        <row r="37">
          <cell r="A37" t="str">
            <v>ORD-2024-10036</v>
          </cell>
          <cell r="B37" t="str">
            <v>29-05-2024</v>
          </cell>
          <cell r="C37" t="str">
            <v>29 May 2024</v>
          </cell>
          <cell r="D37" t="str">
            <v>CUST-1611</v>
          </cell>
          <cell r="E37" t="str">
            <v>Sneha Kapoor</v>
          </cell>
          <cell r="F37" t="str">
            <v>Small Business</v>
          </cell>
          <cell r="G37" t="str">
            <v>West</v>
          </cell>
          <cell r="H37" t="str">
            <v>Gujarat</v>
          </cell>
          <cell r="I37" t="str">
            <v>Ahmedabad</v>
          </cell>
          <cell r="J37" t="str">
            <v>Furniture</v>
          </cell>
          <cell r="K37" t="str">
            <v>Bookcases</v>
          </cell>
          <cell r="L37" t="str">
            <v>Prime Bookcases 414</v>
          </cell>
          <cell r="M37" t="str">
            <v>Second Class</v>
          </cell>
          <cell r="N37">
            <v>8</v>
          </cell>
          <cell r="O37">
            <v>2507.12</v>
          </cell>
          <cell r="P37">
            <v>0.05</v>
          </cell>
          <cell r="S37">
            <v>3740.28</v>
          </cell>
          <cell r="T37" t="str">
            <v>Pending</v>
          </cell>
          <cell r="U37" t="str">
            <v>Returned</v>
          </cell>
        </row>
        <row r="38">
          <cell r="A38" t="str">
            <v>ORD-2024-10037</v>
          </cell>
          <cell r="B38" t="str">
            <v>2024-10-25</v>
          </cell>
          <cell r="C38" t="str">
            <v>28 Oct 2024</v>
          </cell>
          <cell r="D38" t="str">
            <v>CUST-8296</v>
          </cell>
          <cell r="E38" t="str">
            <v>Rohan Mehta</v>
          </cell>
          <cell r="F38" t="str">
            <v>Corporate</v>
          </cell>
          <cell r="G38" t="str">
            <v>West</v>
          </cell>
          <cell r="H38" t="str">
            <v>Maharashtra</v>
          </cell>
          <cell r="I38" t="str">
            <v>Mumbai</v>
          </cell>
          <cell r="J38" t="str">
            <v>Furniture</v>
          </cell>
          <cell r="K38" t="str">
            <v>Bookcases</v>
          </cell>
          <cell r="L38" t="str">
            <v>Eco Bookcases 220</v>
          </cell>
          <cell r="M38" t="str">
            <v>Second Class</v>
          </cell>
          <cell r="N38">
            <v>3</v>
          </cell>
          <cell r="O38">
            <v>3126.47</v>
          </cell>
          <cell r="P38">
            <v>0</v>
          </cell>
          <cell r="S38">
            <v>2708.56</v>
          </cell>
          <cell r="T38" t="str">
            <v>Paid</v>
          </cell>
          <cell r="U38" t="str">
            <v>Returned</v>
          </cell>
        </row>
        <row r="39">
          <cell r="A39" t="str">
            <v>ORD-2025-10038</v>
          </cell>
          <cell r="B39" t="str">
            <v>29-07-2025</v>
          </cell>
          <cell r="C39" t="str">
            <v>29-07-2025</v>
          </cell>
          <cell r="D39" t="str">
            <v>CUST-4646</v>
          </cell>
          <cell r="E39" t="str">
            <v>Diya Patel</v>
          </cell>
          <cell r="F39" t="str">
            <v>Consumer</v>
          </cell>
          <cell r="G39" t="str">
            <v>West</v>
          </cell>
          <cell r="H39" t="str">
            <v>Maharashtra</v>
          </cell>
          <cell r="I39" t="str">
            <v>Mumbai</v>
          </cell>
          <cell r="J39" t="str">
            <v>Technology</v>
          </cell>
          <cell r="K39" t="str">
            <v>Copiers</v>
          </cell>
          <cell r="L39" t="str">
            <v>Pro Copiers 830</v>
          </cell>
          <cell r="M39" t="str">
            <v>STANDARD CLASS</v>
          </cell>
          <cell r="N39">
            <v>4</v>
          </cell>
          <cell r="O39">
            <v>1327.54</v>
          </cell>
          <cell r="P39">
            <v>0.2</v>
          </cell>
          <cell r="S39">
            <v>927.04</v>
          </cell>
          <cell r="T39" t="str">
            <v>Paid</v>
          </cell>
          <cell r="U39" t="str">
            <v>Completed</v>
          </cell>
        </row>
        <row r="40">
          <cell r="A40" t="str">
            <v>ORD-2024-10039</v>
          </cell>
          <cell r="B40" t="str">
            <v>2024-06-17</v>
          </cell>
          <cell r="C40" t="str">
            <v>22-06-2024</v>
          </cell>
          <cell r="D40" t="str">
            <v>CUST-8235</v>
          </cell>
          <cell r="E40" t="str">
            <v>Aarav Sharma</v>
          </cell>
          <cell r="F40" t="str">
            <v>Corporate</v>
          </cell>
          <cell r="G40" t="str">
            <v>West</v>
          </cell>
          <cell r="H40" t="str">
            <v>Gujarat</v>
          </cell>
          <cell r="I40" t="str">
            <v>Ahmedabad</v>
          </cell>
          <cell r="J40" t="str">
            <v>Technology</v>
          </cell>
          <cell r="K40" t="str">
            <v>Phones</v>
          </cell>
          <cell r="L40" t="str">
            <v>Prime Phones 507</v>
          </cell>
          <cell r="M40" t="str">
            <v>First Class</v>
          </cell>
          <cell r="N40">
            <v>7</v>
          </cell>
          <cell r="O40">
            <v>2210.6799999999998</v>
          </cell>
          <cell r="P40">
            <v>0.1</v>
          </cell>
          <cell r="S40">
            <v>3422.41</v>
          </cell>
          <cell r="T40" t="str">
            <v>Paid</v>
          </cell>
          <cell r="U40" t="str">
            <v>Completed</v>
          </cell>
        </row>
        <row r="41">
          <cell r="A41" t="str">
            <v>ORD-2024-10040</v>
          </cell>
          <cell r="B41" t="str">
            <v>12/11/2024</v>
          </cell>
          <cell r="C41" t="str">
            <v>2024-12-11</v>
          </cell>
          <cell r="D41" t="str">
            <v>CUST-5830</v>
          </cell>
          <cell r="E41" t="str">
            <v>Mira Das</v>
          </cell>
          <cell r="F41" t="str">
            <v>Small Business</v>
          </cell>
          <cell r="G41" t="str">
            <v>West</v>
          </cell>
          <cell r="H41" t="str">
            <v>Madhya Pradesh</v>
          </cell>
          <cell r="I41" t="str">
            <v>Indore</v>
          </cell>
          <cell r="J41" t="str">
            <v>Technology</v>
          </cell>
          <cell r="K41" t="str">
            <v>Copiers</v>
          </cell>
          <cell r="L41" t="str">
            <v>Classic Copiers 590</v>
          </cell>
          <cell r="M41" t="str">
            <v>First Class</v>
          </cell>
          <cell r="N41">
            <v>4</v>
          </cell>
          <cell r="O41">
            <v>1370.92</v>
          </cell>
          <cell r="P41">
            <v>0.1</v>
          </cell>
          <cell r="S41">
            <v>1560.54</v>
          </cell>
          <cell r="T41" t="str">
            <v>Pending</v>
          </cell>
          <cell r="U41" t="str">
            <v>Returned</v>
          </cell>
        </row>
        <row r="42">
          <cell r="A42" t="str">
            <v>ORD-2024-10041</v>
          </cell>
          <cell r="B42" t="str">
            <v>10-10-2024</v>
          </cell>
          <cell r="C42" t="str">
            <v>16 Oct 2024</v>
          </cell>
          <cell r="D42" t="str">
            <v>CUST-7178</v>
          </cell>
          <cell r="E42" t="str">
            <v>Isha Nair</v>
          </cell>
          <cell r="F42" t="str">
            <v>Home Office</v>
          </cell>
          <cell r="G42" t="str">
            <v>West</v>
          </cell>
          <cell r="H42" t="str">
            <v>Rajasthan</v>
          </cell>
          <cell r="I42" t="str">
            <v>Udaipur</v>
          </cell>
          <cell r="J42" t="str">
            <v>Technology</v>
          </cell>
          <cell r="K42" t="str">
            <v>Copiers</v>
          </cell>
          <cell r="L42" t="str">
            <v>Eco Copiers 865</v>
          </cell>
          <cell r="M42" t="str">
            <v>Standard Class</v>
          </cell>
          <cell r="N42">
            <v>7</v>
          </cell>
          <cell r="O42">
            <v>2509.27</v>
          </cell>
          <cell r="P42">
            <v>0.2</v>
          </cell>
          <cell r="S42">
            <v>2061.54</v>
          </cell>
          <cell r="T42" t="str">
            <v>Paid</v>
          </cell>
          <cell r="U42" t="str">
            <v>Completed</v>
          </cell>
        </row>
        <row r="43">
          <cell r="A43" t="str">
            <v>ORD-2024-10042</v>
          </cell>
          <cell r="B43" t="str">
            <v>03/12/2024</v>
          </cell>
          <cell r="C43" t="str">
            <v>17-03-2024</v>
          </cell>
          <cell r="D43" t="str">
            <v>CUST-3829</v>
          </cell>
          <cell r="E43" t="str">
            <v>Aarav Sharma</v>
          </cell>
          <cell r="F43" t="str">
            <v>Small Business</v>
          </cell>
          <cell r="G43" t="str">
            <v>East</v>
          </cell>
          <cell r="H43" t="str">
            <v>Odisha</v>
          </cell>
          <cell r="I43" t="str">
            <v>Bhubaneswar</v>
          </cell>
          <cell r="J43" t="str">
            <v>Furniture</v>
          </cell>
          <cell r="K43" t="str">
            <v>Bookcases</v>
          </cell>
          <cell r="L43" t="str">
            <v>Classic Bookcases 835</v>
          </cell>
          <cell r="M43" t="str">
            <v>Same Day</v>
          </cell>
          <cell r="N43">
            <v>8</v>
          </cell>
          <cell r="O43">
            <v>855.81</v>
          </cell>
          <cell r="P43">
            <v>0</v>
          </cell>
          <cell r="S43">
            <v>2606.59</v>
          </cell>
          <cell r="T43" t="str">
            <v>Pending</v>
          </cell>
          <cell r="U43" t="str">
            <v>Cancelled</v>
          </cell>
        </row>
        <row r="44">
          <cell r="A44" t="str">
            <v>ORD-2025-10043</v>
          </cell>
          <cell r="B44" t="str">
            <v>2025-10-10</v>
          </cell>
          <cell r="C44" t="str">
            <v>15 Oct 2025</v>
          </cell>
          <cell r="D44" t="str">
            <v>CUST-6708</v>
          </cell>
          <cell r="E44" t="str">
            <v>Arjun Bose</v>
          </cell>
          <cell r="F44" t="str">
            <v>Corporate</v>
          </cell>
          <cell r="G44" t="str">
            <v>East</v>
          </cell>
          <cell r="H44" t="str">
            <v>Jharkhand</v>
          </cell>
          <cell r="I44" t="str">
            <v>Ranchi</v>
          </cell>
          <cell r="J44" t="str">
            <v>Technology</v>
          </cell>
          <cell r="K44" t="str">
            <v>Phones</v>
          </cell>
          <cell r="L44" t="str">
            <v>Eco Phones 702</v>
          </cell>
          <cell r="M44" t="str">
            <v>Standard Class</v>
          </cell>
          <cell r="N44">
            <v>8</v>
          </cell>
          <cell r="O44">
            <v>979.87</v>
          </cell>
          <cell r="P44">
            <v>0.05</v>
          </cell>
          <cell r="S44">
            <v>2950.79</v>
          </cell>
          <cell r="T44" t="str">
            <v>Paid</v>
          </cell>
          <cell r="U44" t="str">
            <v>Completed</v>
          </cell>
        </row>
        <row r="45">
          <cell r="A45" t="str">
            <v>ORD-2024-10044</v>
          </cell>
          <cell r="B45" t="str">
            <v>07/08/2024</v>
          </cell>
          <cell r="C45" t="str">
            <v>07/14/2024</v>
          </cell>
          <cell r="D45" t="str">
            <v>CUST-7119</v>
          </cell>
          <cell r="E45" t="str">
            <v>Priya Menon</v>
          </cell>
          <cell r="F45" t="str">
            <v>Small Business</v>
          </cell>
          <cell r="G45" t="str">
            <v>East</v>
          </cell>
          <cell r="H45" t="str">
            <v>Odisha</v>
          </cell>
          <cell r="I45" t="str">
            <v>Bhubaneswar</v>
          </cell>
          <cell r="J45" t="str">
            <v>Furniture</v>
          </cell>
          <cell r="K45" t="str">
            <v>Furnishings</v>
          </cell>
          <cell r="L45" t="str">
            <v>Smart Furnishings 956</v>
          </cell>
          <cell r="M45" t="str">
            <v>Same Day</v>
          </cell>
          <cell r="N45">
            <v>3</v>
          </cell>
          <cell r="O45">
            <v>1010.23</v>
          </cell>
          <cell r="P45">
            <v>0</v>
          </cell>
          <cell r="S45">
            <v>1309.6099999999999</v>
          </cell>
          <cell r="T45" t="str">
            <v>Paid</v>
          </cell>
          <cell r="U45" t="str">
            <v>Completed</v>
          </cell>
        </row>
        <row r="46">
          <cell r="A46" t="str">
            <v>ORD-2024-10045</v>
          </cell>
          <cell r="B46" t="str">
            <v>06/22/2024</v>
          </cell>
          <cell r="C46" t="str">
            <v>25-06-2024</v>
          </cell>
          <cell r="D46" t="str">
            <v>CUST-3373</v>
          </cell>
          <cell r="E46" t="str">
            <v>Rohan Mehta</v>
          </cell>
          <cell r="F46" t="str">
            <v>Small Business</v>
          </cell>
          <cell r="G46" t="str">
            <v>North</v>
          </cell>
          <cell r="H46" t="str">
            <v>Haryana</v>
          </cell>
          <cell r="I46" t="str">
            <v>Gurugram</v>
          </cell>
          <cell r="J46" t="str">
            <v>Furniture</v>
          </cell>
          <cell r="K46" t="str">
            <v>Chairs</v>
          </cell>
          <cell r="L46" t="str">
            <v>Max Chairs 393</v>
          </cell>
          <cell r="M46" t="str">
            <v>Standard Class</v>
          </cell>
          <cell r="N46">
            <v>9</v>
          </cell>
          <cell r="O46">
            <v>3329.77</v>
          </cell>
          <cell r="P46">
            <v>0.1</v>
          </cell>
          <cell r="S46">
            <v>9594.94</v>
          </cell>
          <cell r="T46" t="str">
            <v>Paid</v>
          </cell>
          <cell r="U46" t="str">
            <v>Completed</v>
          </cell>
        </row>
        <row r="47">
          <cell r="A47" t="str">
            <v>ORD-2024-10046</v>
          </cell>
          <cell r="B47" t="str">
            <v>18 Jan 2024</v>
          </cell>
          <cell r="C47" t="str">
            <v>24-01-2024</v>
          </cell>
          <cell r="D47" t="str">
            <v>CUST-8896</v>
          </cell>
          <cell r="E47" t="str">
            <v>Isha Nair</v>
          </cell>
          <cell r="F47" t="str">
            <v>Home Office</v>
          </cell>
          <cell r="G47" t="str">
            <v>East</v>
          </cell>
          <cell r="H47" t="str">
            <v>Bihar</v>
          </cell>
          <cell r="I47" t="str">
            <v>Patna</v>
          </cell>
          <cell r="J47" t="str">
            <v>Office Supplies</v>
          </cell>
          <cell r="K47" t="str">
            <v>Art</v>
          </cell>
          <cell r="L47" t="str">
            <v>Prime Art 221</v>
          </cell>
          <cell r="M47" t="str">
            <v>Second Class</v>
          </cell>
          <cell r="N47">
            <v>8</v>
          </cell>
          <cell r="O47">
            <v>3927.82</v>
          </cell>
          <cell r="P47">
            <v>0.05</v>
          </cell>
          <cell r="S47">
            <v>12363.95</v>
          </cell>
          <cell r="T47" t="str">
            <v>Pending</v>
          </cell>
          <cell r="U47" t="str">
            <v>Returned</v>
          </cell>
        </row>
        <row r="48">
          <cell r="A48" t="str">
            <v>ORD-2024-10047</v>
          </cell>
          <cell r="B48" t="str">
            <v>19-07-2024</v>
          </cell>
          <cell r="C48" t="str">
            <v>19-07-2024</v>
          </cell>
          <cell r="D48" t="str">
            <v>CUST-8517</v>
          </cell>
          <cell r="E48" t="str">
            <v>Ananya Rao</v>
          </cell>
          <cell r="F48" t="str">
            <v>Small Business</v>
          </cell>
          <cell r="G48" t="str">
            <v>South</v>
          </cell>
          <cell r="H48" t="str">
            <v>Kerala</v>
          </cell>
          <cell r="I48" t="str">
            <v>Kochi</v>
          </cell>
          <cell r="J48" t="str">
            <v>Furniture</v>
          </cell>
          <cell r="K48" t="str">
            <v>Bookcases</v>
          </cell>
          <cell r="L48" t="str">
            <v>Elite Bookcases 671</v>
          </cell>
          <cell r="M48" t="str">
            <v>Standard Class</v>
          </cell>
          <cell r="N48">
            <v>9</v>
          </cell>
          <cell r="O48">
            <v>2386.79</v>
          </cell>
          <cell r="P48">
            <v>0.25</v>
          </cell>
          <cell r="S48">
            <v>5430.8</v>
          </cell>
          <cell r="T48" t="str">
            <v>Refunded</v>
          </cell>
          <cell r="U48" t="str">
            <v>Returned</v>
          </cell>
        </row>
        <row r="49">
          <cell r="A49" t="str">
            <v>ORD-2024-10048</v>
          </cell>
          <cell r="B49" t="str">
            <v>12-08-2024</v>
          </cell>
          <cell r="C49" t="str">
            <v>2024-08-12</v>
          </cell>
          <cell r="D49" t="str">
            <v>CUST-1987</v>
          </cell>
          <cell r="E49" t="str">
            <v>Rahul Verma</v>
          </cell>
          <cell r="F49" t="str">
            <v>Corporate</v>
          </cell>
          <cell r="G49" t="str">
            <v>South</v>
          </cell>
          <cell r="H49" t="str">
            <v>Tamil Nadu</v>
          </cell>
          <cell r="I49" t="str">
            <v>Chennai</v>
          </cell>
          <cell r="J49" t="str">
            <v>Office Supplies</v>
          </cell>
          <cell r="K49" t="str">
            <v>Storage</v>
          </cell>
          <cell r="L49" t="str">
            <v>Max Storage 432</v>
          </cell>
          <cell r="M49" t="str">
            <v>Standard Class</v>
          </cell>
          <cell r="N49">
            <v>8</v>
          </cell>
          <cell r="O49">
            <v>2445.31</v>
          </cell>
          <cell r="P49">
            <v>0.1</v>
          </cell>
          <cell r="S49">
            <v>5167.2700000000004</v>
          </cell>
          <cell r="T49" t="str">
            <v>Paid</v>
          </cell>
          <cell r="U49" t="str">
            <v>Completed</v>
          </cell>
        </row>
        <row r="50">
          <cell r="A50" t="str">
            <v>ORD-2025-10049</v>
          </cell>
          <cell r="B50" t="str">
            <v>30 Jan 2025</v>
          </cell>
          <cell r="C50" t="str">
            <v>05 Feb 2025</v>
          </cell>
          <cell r="D50" t="str">
            <v>CUST-8183</v>
          </cell>
          <cell r="E50" t="str">
            <v>Neha Gupta</v>
          </cell>
          <cell r="F50" t="str">
            <v>Corporate</v>
          </cell>
          <cell r="G50" t="str">
            <v>West</v>
          </cell>
          <cell r="H50" t="str">
            <v>Maharashtra</v>
          </cell>
          <cell r="I50" t="str">
            <v>Mumbai</v>
          </cell>
          <cell r="J50" t="str">
            <v>Furniture</v>
          </cell>
          <cell r="K50" t="str">
            <v>Chairs</v>
          </cell>
          <cell r="L50" t="str">
            <v>Basic Chairs 837</v>
          </cell>
          <cell r="M50" t="str">
            <v>Second Class</v>
          </cell>
          <cell r="N50">
            <v>7</v>
          </cell>
          <cell r="O50">
            <v>4063.66</v>
          </cell>
          <cell r="P50">
            <v>0</v>
          </cell>
          <cell r="S50">
            <v>7507.03</v>
          </cell>
          <cell r="T50" t="str">
            <v>Paid</v>
          </cell>
          <cell r="U50" t="str">
            <v>Completed</v>
          </cell>
        </row>
        <row r="51">
          <cell r="A51" t="str">
            <v>ORD-2024-10050</v>
          </cell>
          <cell r="B51" t="str">
            <v>2024-04-06</v>
          </cell>
          <cell r="C51" t="str">
            <v>13 Apr 2024</v>
          </cell>
          <cell r="D51" t="str">
            <v>CUST-2380</v>
          </cell>
          <cell r="E51" t="str">
            <v>Aarav Sharma</v>
          </cell>
          <cell r="F51" t="str">
            <v>Home Office</v>
          </cell>
          <cell r="G51" t="str">
            <v>North</v>
          </cell>
          <cell r="H51" t="str">
            <v>Uttar Pradesh</v>
          </cell>
          <cell r="I51" t="str">
            <v>Noida</v>
          </cell>
          <cell r="J51" t="str">
            <v>Technology</v>
          </cell>
          <cell r="K51" t="str">
            <v>Copiers</v>
          </cell>
          <cell r="L51" t="str">
            <v>Classic Copiers 295</v>
          </cell>
          <cell r="M51" t="str">
            <v>Second Class</v>
          </cell>
          <cell r="N51">
            <v>9</v>
          </cell>
          <cell r="O51">
            <v>792.11</v>
          </cell>
          <cell r="P51">
            <v>0.05</v>
          </cell>
          <cell r="S51">
            <v>1017.08</v>
          </cell>
          <cell r="T51" t="str">
            <v>Paid</v>
          </cell>
          <cell r="U51" t="str">
            <v>Completed</v>
          </cell>
        </row>
        <row r="52">
          <cell r="A52" t="str">
            <v>ORD-2025-10051</v>
          </cell>
          <cell r="B52" t="str">
            <v>05/11/2025</v>
          </cell>
          <cell r="C52" t="str">
            <v>19 May 2025</v>
          </cell>
          <cell r="D52" t="str">
            <v>CUST-8787</v>
          </cell>
          <cell r="E52" t="str">
            <v>Sneha Kapoor</v>
          </cell>
          <cell r="F52" t="str">
            <v>Consumer</v>
          </cell>
          <cell r="G52" t="str">
            <v>East</v>
          </cell>
          <cell r="H52" t="str">
            <v>West Bengal</v>
          </cell>
          <cell r="I52" t="str">
            <v>Kolkata</v>
          </cell>
          <cell r="J52" t="str">
            <v>Technology</v>
          </cell>
          <cell r="K52" t="str">
            <v>Copiers</v>
          </cell>
          <cell r="L52" t="str">
            <v>Pro Copiers 963</v>
          </cell>
          <cell r="M52" t="str">
            <v>Standard Class</v>
          </cell>
          <cell r="N52">
            <v>1</v>
          </cell>
          <cell r="O52">
            <v>2382.8000000000002</v>
          </cell>
          <cell r="P52">
            <v>0.15</v>
          </cell>
          <cell r="S52">
            <v>884.73</v>
          </cell>
          <cell r="T52" t="str">
            <v>Paid</v>
          </cell>
          <cell r="U52" t="str">
            <v>Completed</v>
          </cell>
        </row>
        <row r="53">
          <cell r="A53" t="str">
            <v>ORD-2024-10052</v>
          </cell>
          <cell r="B53" t="str">
            <v>24 Apr 2024</v>
          </cell>
          <cell r="C53" t="str">
            <v>29 Apr 2024</v>
          </cell>
          <cell r="D53" t="str">
            <v>CUST-3557</v>
          </cell>
          <cell r="E53" t="str">
            <v>Ananya Rao</v>
          </cell>
          <cell r="F53" t="str">
            <v>Corporate</v>
          </cell>
          <cell r="G53" t="str">
            <v>South</v>
          </cell>
          <cell r="H53" t="str">
            <v>Telangana</v>
          </cell>
          <cell r="I53" t="str">
            <v>Hyderabad</v>
          </cell>
          <cell r="J53" t="str">
            <v>Office Supplies</v>
          </cell>
          <cell r="K53" t="str">
            <v>Art</v>
          </cell>
          <cell r="L53" t="str">
            <v>Pro Art 907</v>
          </cell>
          <cell r="M53" t="str">
            <v>Standard Class</v>
          </cell>
          <cell r="N53">
            <v>6</v>
          </cell>
          <cell r="O53">
            <v>1528.08</v>
          </cell>
          <cell r="P53">
            <v>0</v>
          </cell>
          <cell r="S53">
            <v>1728.71</v>
          </cell>
          <cell r="T53" t="str">
            <v>Paid</v>
          </cell>
          <cell r="U53" t="str">
            <v>Completed</v>
          </cell>
        </row>
        <row r="54">
          <cell r="A54" t="str">
            <v>ORD-2024-10053</v>
          </cell>
          <cell r="B54" t="str">
            <v>26-10-2024</v>
          </cell>
          <cell r="C54" t="str">
            <v>2024-10-28</v>
          </cell>
          <cell r="D54" t="str">
            <v>CUST-2778</v>
          </cell>
          <cell r="E54" t="str">
            <v>Kabir Singh</v>
          </cell>
          <cell r="F54" t="str">
            <v>Small Business</v>
          </cell>
          <cell r="G54" t="str">
            <v>North</v>
          </cell>
          <cell r="H54" t="str">
            <v>Rajasthan</v>
          </cell>
          <cell r="I54" t="str">
            <v>Jaipur</v>
          </cell>
          <cell r="J54" t="str">
            <v>Furniture</v>
          </cell>
          <cell r="K54" t="str">
            <v>Chairs</v>
          </cell>
          <cell r="L54" t="str">
            <v>Pro Chairs 526</v>
          </cell>
          <cell r="M54" t="str">
            <v>First Class</v>
          </cell>
          <cell r="N54">
            <v>9</v>
          </cell>
          <cell r="O54">
            <v>1399.63</v>
          </cell>
          <cell r="P54">
            <v>0</v>
          </cell>
          <cell r="S54">
            <v>1993.38</v>
          </cell>
          <cell r="T54" t="str">
            <v>Failed</v>
          </cell>
          <cell r="U54" t="str">
            <v>Cancelled</v>
          </cell>
        </row>
        <row r="55">
          <cell r="A55" t="str">
            <v>ORD-2025-10054</v>
          </cell>
          <cell r="B55" t="str">
            <v>31 Mar 2025</v>
          </cell>
          <cell r="C55" t="str">
            <v>2025-03-31</v>
          </cell>
          <cell r="D55" t="str">
            <v>CUST-7195</v>
          </cell>
          <cell r="E55" t="str">
            <v>Kabir Singh</v>
          </cell>
          <cell r="F55" t="str">
            <v>Home Office</v>
          </cell>
          <cell r="G55" t="str">
            <v>West</v>
          </cell>
          <cell r="H55" t="str">
            <v>Gujarat</v>
          </cell>
          <cell r="I55" t="str">
            <v>Ahmedabad</v>
          </cell>
          <cell r="J55" t="str">
            <v>Office Supplies</v>
          </cell>
          <cell r="K55" t="str">
            <v>Storage</v>
          </cell>
          <cell r="L55" t="str">
            <v>Elite Storage 924</v>
          </cell>
          <cell r="M55" t="str">
            <v>First Class</v>
          </cell>
          <cell r="N55">
            <v>5</v>
          </cell>
          <cell r="O55">
            <v>1207.47</v>
          </cell>
          <cell r="P55">
            <v>0.15</v>
          </cell>
          <cell r="S55">
            <v>2293.0700000000002</v>
          </cell>
          <cell r="T55" t="str">
            <v>Paid</v>
          </cell>
          <cell r="U55" t="str">
            <v>Completed</v>
          </cell>
        </row>
        <row r="56">
          <cell r="A56" t="str">
            <v>ORD-2025-10055</v>
          </cell>
          <cell r="B56" t="str">
            <v>30 May 2025</v>
          </cell>
          <cell r="C56" t="str">
            <v>2025-06-02</v>
          </cell>
          <cell r="D56" t="str">
            <v>CUST-9039</v>
          </cell>
          <cell r="E56" t="str">
            <v>Arjun Bose</v>
          </cell>
          <cell r="F56" t="str">
            <v>Corporate</v>
          </cell>
          <cell r="G56" t="str">
            <v>South</v>
          </cell>
          <cell r="H56" t="str">
            <v>Tamil Nadu</v>
          </cell>
          <cell r="I56" t="str">
            <v>Chennai</v>
          </cell>
          <cell r="J56" t="str">
            <v>Office Supplies</v>
          </cell>
          <cell r="K56" t="str">
            <v>Labels</v>
          </cell>
          <cell r="L56" t="str">
            <v>Pro Labels 957</v>
          </cell>
          <cell r="M56" t="str">
            <v>Same Day</v>
          </cell>
          <cell r="N56">
            <v>8</v>
          </cell>
          <cell r="O56">
            <v>474.37</v>
          </cell>
          <cell r="P56">
            <v>0.1</v>
          </cell>
          <cell r="S56">
            <v>1422.23</v>
          </cell>
          <cell r="T56" t="str">
            <v>Failed</v>
          </cell>
          <cell r="U56" t="str">
            <v>Cancelled</v>
          </cell>
        </row>
        <row r="57">
          <cell r="A57" t="str">
            <v>ORD-2025-10056</v>
          </cell>
          <cell r="B57" t="str">
            <v>01-07-2025</v>
          </cell>
          <cell r="C57" t="str">
            <v>03-07-2025</v>
          </cell>
          <cell r="D57" t="str">
            <v>CUST-9821</v>
          </cell>
          <cell r="E57" t="str">
            <v>Mira Das</v>
          </cell>
          <cell r="F57" t="str">
            <v>Small Business</v>
          </cell>
          <cell r="G57" t="str">
            <v>South</v>
          </cell>
          <cell r="H57" t="str">
            <v>Andhra Pradesh</v>
          </cell>
          <cell r="I57" t="str">
            <v>Vijayawada</v>
          </cell>
          <cell r="J57" t="str">
            <v>Technology</v>
          </cell>
          <cell r="K57" t="str">
            <v>Machines</v>
          </cell>
          <cell r="L57" t="str">
            <v>Classic Machines 310</v>
          </cell>
          <cell r="M57" t="str">
            <v>Same Day</v>
          </cell>
          <cell r="N57">
            <v>3</v>
          </cell>
          <cell r="O57">
            <v>1516.24</v>
          </cell>
          <cell r="P57">
            <v>0.25</v>
          </cell>
          <cell r="S57">
            <v>608.41</v>
          </cell>
          <cell r="T57" t="str">
            <v>Paid</v>
          </cell>
          <cell r="U57" t="str">
            <v>Completed</v>
          </cell>
        </row>
        <row r="58">
          <cell r="A58" t="str">
            <v>ORD-2025-10057</v>
          </cell>
          <cell r="B58" t="str">
            <v>2025-01-05</v>
          </cell>
          <cell r="C58" t="str">
            <v>06-01-2025</v>
          </cell>
          <cell r="D58" t="str">
            <v>CUST-8701</v>
          </cell>
          <cell r="E58" t="str">
            <v>Karan Malhotra</v>
          </cell>
          <cell r="F58" t="str">
            <v>Consumer</v>
          </cell>
          <cell r="G58" t="str">
            <v>South</v>
          </cell>
          <cell r="H58" t="str">
            <v>Karnataka</v>
          </cell>
          <cell r="I58" t="str">
            <v>Bengaluru</v>
          </cell>
          <cell r="J58" t="str">
            <v>Office Supplies</v>
          </cell>
          <cell r="K58" t="str">
            <v>Binders</v>
          </cell>
          <cell r="L58" t="str">
            <v>Smart Binders 393</v>
          </cell>
          <cell r="M58" t="str">
            <v>Second Class</v>
          </cell>
          <cell r="N58">
            <v>3</v>
          </cell>
          <cell r="O58">
            <v>3155.61</v>
          </cell>
          <cell r="P58">
            <v>0</v>
          </cell>
          <cell r="S58">
            <v>2909</v>
          </cell>
          <cell r="T58" t="str">
            <v>Refunded</v>
          </cell>
          <cell r="U58" t="str">
            <v>Cancelled</v>
          </cell>
        </row>
        <row r="59">
          <cell r="A59" t="str">
            <v>ORD-2024-10058</v>
          </cell>
          <cell r="B59" t="str">
            <v>2024-02-07</v>
          </cell>
          <cell r="C59" t="str">
            <v>15 Feb 2024</v>
          </cell>
          <cell r="D59" t="str">
            <v>CUST-9941</v>
          </cell>
          <cell r="E59" t="str">
            <v>Priya Menon</v>
          </cell>
          <cell r="F59" t="str">
            <v>Consumer</v>
          </cell>
          <cell r="G59" t="str">
            <v>West</v>
          </cell>
          <cell r="H59" t="str">
            <v>Goa</v>
          </cell>
          <cell r="I59" t="str">
            <v>Panaji</v>
          </cell>
          <cell r="J59" t="str">
            <v>Furniture</v>
          </cell>
          <cell r="K59" t="str">
            <v>Chairs</v>
          </cell>
          <cell r="L59" t="str">
            <v>Max Chairs 813</v>
          </cell>
          <cell r="M59" t="str">
            <v>Same Day</v>
          </cell>
          <cell r="N59">
            <v>5</v>
          </cell>
          <cell r="O59">
            <v>255.87</v>
          </cell>
          <cell r="P59">
            <v>0</v>
          </cell>
          <cell r="S59">
            <v>187.81</v>
          </cell>
          <cell r="T59" t="str">
            <v>Paid</v>
          </cell>
          <cell r="U59" t="str">
            <v>Completed</v>
          </cell>
        </row>
        <row r="60">
          <cell r="A60" t="str">
            <v>ORD-2024-10059</v>
          </cell>
          <cell r="B60" t="str">
            <v>2024-09-01</v>
          </cell>
          <cell r="C60" t="str">
            <v>2024-09-07</v>
          </cell>
          <cell r="D60" t="str">
            <v>CUST-3983</v>
          </cell>
          <cell r="E60" t="str">
            <v>Isha Nair</v>
          </cell>
          <cell r="F60" t="str">
            <v>Home Office</v>
          </cell>
          <cell r="G60" t="str">
            <v>North</v>
          </cell>
          <cell r="H60" t="str">
            <v>Rajasthan</v>
          </cell>
          <cell r="I60" t="str">
            <v>Jaipur</v>
          </cell>
          <cell r="J60" t="str">
            <v>Office Supplies</v>
          </cell>
          <cell r="K60" t="str">
            <v>Storage</v>
          </cell>
          <cell r="L60" t="str">
            <v>Basic Storage 872</v>
          </cell>
          <cell r="N60">
            <v>9</v>
          </cell>
          <cell r="O60">
            <v>1389.48</v>
          </cell>
          <cell r="P60">
            <v>0.1</v>
          </cell>
          <cell r="S60">
            <v>4676.7299999999996</v>
          </cell>
          <cell r="T60" t="str">
            <v>Pending</v>
          </cell>
          <cell r="U60" t="str">
            <v>Returned</v>
          </cell>
        </row>
        <row r="61">
          <cell r="A61" t="str">
            <v>ORD-2024-10060</v>
          </cell>
          <cell r="B61" t="str">
            <v>20-07-2024</v>
          </cell>
          <cell r="C61" t="str">
            <v>25 Jul 2024</v>
          </cell>
          <cell r="D61" t="str">
            <v>CUST-2418</v>
          </cell>
          <cell r="E61" t="str">
            <v>Priya Menon</v>
          </cell>
          <cell r="F61" t="str">
            <v>Corporate</v>
          </cell>
          <cell r="G61" t="str">
            <v>East</v>
          </cell>
          <cell r="H61" t="str">
            <v>Assam</v>
          </cell>
          <cell r="I61" t="str">
            <v>Guwahati</v>
          </cell>
          <cell r="J61" t="str">
            <v>Office Supplies</v>
          </cell>
          <cell r="K61" t="str">
            <v>Labels</v>
          </cell>
          <cell r="L61" t="str">
            <v>Smart Labels 655</v>
          </cell>
          <cell r="M61" t="str">
            <v>Same Day</v>
          </cell>
          <cell r="N61">
            <v>5</v>
          </cell>
          <cell r="O61">
            <v>4133.8500000000004</v>
          </cell>
          <cell r="P61">
            <v>0.2</v>
          </cell>
          <cell r="S61">
            <v>3545.19</v>
          </cell>
          <cell r="T61" t="str">
            <v>Paid</v>
          </cell>
          <cell r="U61" t="str">
            <v>Cancelled</v>
          </cell>
        </row>
        <row r="62">
          <cell r="A62" t="str">
            <v>ORD-2024-10061</v>
          </cell>
          <cell r="B62" t="str">
            <v>07/13/2024</v>
          </cell>
          <cell r="C62" t="str">
            <v>2024-07-19</v>
          </cell>
          <cell r="D62" t="str">
            <v>CUST-2892</v>
          </cell>
          <cell r="E62" t="str">
            <v>Ananya Rao</v>
          </cell>
          <cell r="F62" t="str">
            <v>Corporate</v>
          </cell>
          <cell r="G62" t="str">
            <v>East</v>
          </cell>
          <cell r="H62" t="str">
            <v>Assam</v>
          </cell>
          <cell r="I62" t="str">
            <v>Guwahati</v>
          </cell>
          <cell r="J62" t="str">
            <v>Office Supplies</v>
          </cell>
          <cell r="K62" t="str">
            <v>Labels</v>
          </cell>
          <cell r="L62" t="str">
            <v>Eco Labels 210</v>
          </cell>
          <cell r="M62" t="str">
            <v>Same Day</v>
          </cell>
          <cell r="N62">
            <v>3</v>
          </cell>
          <cell r="O62">
            <v>275.76</v>
          </cell>
          <cell r="P62">
            <v>0.2</v>
          </cell>
          <cell r="S62">
            <v>180.35</v>
          </cell>
          <cell r="T62" t="str">
            <v>Refunded</v>
          </cell>
          <cell r="U62" t="str">
            <v>Cancelled</v>
          </cell>
        </row>
        <row r="63">
          <cell r="A63" t="str">
            <v>ORD-2024-10062</v>
          </cell>
          <cell r="B63" t="str">
            <v>16 Apr 2024</v>
          </cell>
          <cell r="C63" t="str">
            <v>04/16/2024</v>
          </cell>
          <cell r="D63" t="str">
            <v>CUST-7008</v>
          </cell>
          <cell r="E63" t="str">
            <v>Vikram Iyer</v>
          </cell>
          <cell r="F63" t="str">
            <v>Home Office</v>
          </cell>
          <cell r="G63" t="str">
            <v>East</v>
          </cell>
          <cell r="H63" t="str">
            <v>Bihar</v>
          </cell>
          <cell r="I63" t="str">
            <v>Patna</v>
          </cell>
          <cell r="J63" t="str">
            <v>Furniture</v>
          </cell>
          <cell r="K63" t="str">
            <v>Bookcases</v>
          </cell>
          <cell r="L63" t="str">
            <v>Classic Bookcases 296</v>
          </cell>
          <cell r="M63" t="str">
            <v>Standard Class</v>
          </cell>
          <cell r="N63">
            <v>1</v>
          </cell>
          <cell r="O63">
            <v>949.59</v>
          </cell>
          <cell r="P63">
            <v>0</v>
          </cell>
          <cell r="S63">
            <v>198.34</v>
          </cell>
          <cell r="T63" t="str">
            <v>Paid</v>
          </cell>
          <cell r="U63" t="str">
            <v>Completed</v>
          </cell>
        </row>
        <row r="64">
          <cell r="A64" t="str">
            <v>ORD-2024-10063</v>
          </cell>
          <cell r="B64" t="str">
            <v>30 Oct 2024</v>
          </cell>
          <cell r="C64" t="str">
            <v>02-11-2024</v>
          </cell>
          <cell r="D64" t="str">
            <v>CUST-4900</v>
          </cell>
          <cell r="E64" t="str">
            <v>Sneha Kapoor</v>
          </cell>
          <cell r="F64" t="str">
            <v>Home Office</v>
          </cell>
          <cell r="G64" t="str">
            <v>North</v>
          </cell>
          <cell r="H64" t="str">
            <v>Rajasthan</v>
          </cell>
          <cell r="I64" t="str">
            <v>Jaipur</v>
          </cell>
          <cell r="J64" t="str">
            <v>Technology</v>
          </cell>
          <cell r="K64" t="str">
            <v>Phones</v>
          </cell>
          <cell r="L64" t="str">
            <v>Basic Phones 230</v>
          </cell>
          <cell r="M64" t="str">
            <v>Standard Class</v>
          </cell>
          <cell r="N64">
            <v>9</v>
          </cell>
          <cell r="O64">
            <v>3042.29</v>
          </cell>
          <cell r="P64">
            <v>0.2</v>
          </cell>
          <cell r="S64">
            <v>8333.94</v>
          </cell>
          <cell r="T64" t="str">
            <v>Paid</v>
          </cell>
          <cell r="U64" t="str">
            <v>Completed</v>
          </cell>
        </row>
        <row r="65">
          <cell r="A65" t="str">
            <v>ORD-2024-10064</v>
          </cell>
          <cell r="B65" t="str">
            <v>2024-01-25</v>
          </cell>
          <cell r="C65" t="str">
            <v>01-02-2024</v>
          </cell>
          <cell r="D65" t="str">
            <v>CUST-5382</v>
          </cell>
          <cell r="E65" t="str">
            <v>Sneha Kapoor</v>
          </cell>
          <cell r="F65" t="str">
            <v>Home Office</v>
          </cell>
          <cell r="G65" t="str">
            <v>North</v>
          </cell>
          <cell r="H65" t="str">
            <v>Haryana</v>
          </cell>
          <cell r="I65" t="str">
            <v>Gurugram</v>
          </cell>
          <cell r="J65" t="str">
            <v>Office Supplies</v>
          </cell>
          <cell r="K65" t="str">
            <v>Binders</v>
          </cell>
          <cell r="L65" t="str">
            <v>Pro Binders 690</v>
          </cell>
          <cell r="M65" t="str">
            <v>Same Day</v>
          </cell>
          <cell r="N65">
            <v>2</v>
          </cell>
          <cell r="O65">
            <v>2832.77</v>
          </cell>
          <cell r="P65">
            <v>0.15</v>
          </cell>
          <cell r="S65">
            <v>1917.47</v>
          </cell>
          <cell r="T65" t="str">
            <v>Paid</v>
          </cell>
          <cell r="U65" t="str">
            <v>Completed</v>
          </cell>
        </row>
        <row r="66">
          <cell r="A66" t="str">
            <v>ORD-2024-10065</v>
          </cell>
          <cell r="B66" t="str">
            <v>2024-12-23</v>
          </cell>
          <cell r="C66" t="str">
            <v>12/29/2024</v>
          </cell>
          <cell r="D66" t="str">
            <v>CUST-2749</v>
          </cell>
          <cell r="E66" t="str">
            <v>Aarav Sharma</v>
          </cell>
          <cell r="F66" t="str">
            <v>Corporate</v>
          </cell>
          <cell r="G66" t="str">
            <v>East</v>
          </cell>
          <cell r="H66" t="str">
            <v>Jharkhand</v>
          </cell>
          <cell r="I66" t="str">
            <v>Ranchi</v>
          </cell>
          <cell r="J66" t="str">
            <v>Office Supplies</v>
          </cell>
          <cell r="K66" t="str">
            <v>Paper</v>
          </cell>
          <cell r="L66" t="str">
            <v>Classic Paper 458</v>
          </cell>
          <cell r="M66" t="str">
            <v>First Class</v>
          </cell>
          <cell r="N66">
            <v>7</v>
          </cell>
          <cell r="O66">
            <v>447.84</v>
          </cell>
          <cell r="P66">
            <v>0</v>
          </cell>
          <cell r="S66">
            <v>767.25</v>
          </cell>
          <cell r="T66" t="str">
            <v>Refunded</v>
          </cell>
          <cell r="U66" t="str">
            <v>Returned</v>
          </cell>
        </row>
        <row r="67">
          <cell r="A67" t="str">
            <v>ORD-2024-10066</v>
          </cell>
          <cell r="B67" t="str">
            <v>22 Apr 2024</v>
          </cell>
          <cell r="C67" t="str">
            <v>2024-04-27</v>
          </cell>
          <cell r="D67" t="str">
            <v>CUST-2463</v>
          </cell>
          <cell r="E67" t="str">
            <v>Mira Das</v>
          </cell>
          <cell r="F67" t="str">
            <v>Home Office</v>
          </cell>
          <cell r="G67" t="str">
            <v>West</v>
          </cell>
          <cell r="H67" t="str">
            <v>Maharashtra</v>
          </cell>
          <cell r="I67" t="str">
            <v>Mumbai</v>
          </cell>
          <cell r="J67" t="str">
            <v>Office Supplies</v>
          </cell>
          <cell r="K67" t="str">
            <v>Paper</v>
          </cell>
          <cell r="L67" t="str">
            <v>Pro Paper 552</v>
          </cell>
          <cell r="M67" t="str">
            <v>Second Class</v>
          </cell>
          <cell r="N67">
            <v>1</v>
          </cell>
          <cell r="O67">
            <v>4280.1899999999996</v>
          </cell>
          <cell r="P67">
            <v>0.05</v>
          </cell>
          <cell r="S67">
            <v>1437.26</v>
          </cell>
          <cell r="T67" t="str">
            <v>Paid</v>
          </cell>
          <cell r="U67" t="str">
            <v>Completed</v>
          </cell>
        </row>
        <row r="68">
          <cell r="A68" t="str">
            <v>ORD-2025-10067</v>
          </cell>
          <cell r="B68" t="str">
            <v>08/28/2025</v>
          </cell>
          <cell r="C68" t="str">
            <v>01 Sep 2025</v>
          </cell>
          <cell r="D68" t="str">
            <v>CUST-1504</v>
          </cell>
          <cell r="E68" t="str">
            <v>Karan Malhotra</v>
          </cell>
          <cell r="F68" t="str">
            <v>Small Business</v>
          </cell>
          <cell r="G68" t="str">
            <v>South</v>
          </cell>
          <cell r="H68" t="str">
            <v>Tamil Nadu</v>
          </cell>
          <cell r="I68" t="str">
            <v>Chennai</v>
          </cell>
          <cell r="J68" t="str">
            <v>Technology</v>
          </cell>
          <cell r="K68" t="str">
            <v>Accessories</v>
          </cell>
          <cell r="L68" t="str">
            <v>Elite Accessories 187</v>
          </cell>
          <cell r="M68" t="str">
            <v>Same Day</v>
          </cell>
          <cell r="N68">
            <v>7</v>
          </cell>
          <cell r="O68">
            <v>1057.46</v>
          </cell>
          <cell r="P68">
            <v>0.05</v>
          </cell>
          <cell r="S68">
            <v>2421.77</v>
          </cell>
          <cell r="T68" t="str">
            <v>Paid</v>
          </cell>
          <cell r="U68" t="str">
            <v>Completed</v>
          </cell>
        </row>
        <row r="69">
          <cell r="A69" t="str">
            <v>ORD-2025-10068</v>
          </cell>
          <cell r="B69" t="str">
            <v>03 Feb 2025</v>
          </cell>
          <cell r="C69" t="str">
            <v>07-02-2025</v>
          </cell>
          <cell r="D69" t="str">
            <v>CUST-8282</v>
          </cell>
          <cell r="E69" t="str">
            <v>Kabir Singh</v>
          </cell>
          <cell r="F69" t="str">
            <v>Consumer</v>
          </cell>
          <cell r="G69" t="str">
            <v>North</v>
          </cell>
          <cell r="H69" t="str">
            <v>Haryana</v>
          </cell>
          <cell r="I69" t="str">
            <v>Gurugram</v>
          </cell>
          <cell r="J69" t="str">
            <v>Office Supplies</v>
          </cell>
          <cell r="K69" t="str">
            <v>Paper</v>
          </cell>
          <cell r="L69" t="str">
            <v>Eco Paper 922</v>
          </cell>
          <cell r="M69" t="str">
            <v>First Class</v>
          </cell>
          <cell r="N69">
            <v>7</v>
          </cell>
          <cell r="O69">
            <v>3609.34</v>
          </cell>
          <cell r="P69">
            <v>0.05</v>
          </cell>
          <cell r="S69">
            <v>5294.54</v>
          </cell>
          <cell r="T69" t="str">
            <v>Paid</v>
          </cell>
          <cell r="U69" t="str">
            <v>Completed</v>
          </cell>
        </row>
        <row r="70">
          <cell r="A70" t="str">
            <v>ORD-2024-10069</v>
          </cell>
          <cell r="B70" t="str">
            <v>11/10/2024</v>
          </cell>
          <cell r="C70" t="str">
            <v>13 Nov 2024</v>
          </cell>
          <cell r="D70" t="str">
            <v>CUST-6054</v>
          </cell>
          <cell r="E70" t="str">
            <v>Isha Nair</v>
          </cell>
          <cell r="F70" t="str">
            <v>Corporate</v>
          </cell>
          <cell r="G70" t="str">
            <v>East</v>
          </cell>
          <cell r="H70" t="str">
            <v>Jharkhand</v>
          </cell>
          <cell r="I70" t="str">
            <v>Ranchi</v>
          </cell>
          <cell r="J70" t="str">
            <v>Office Supplies</v>
          </cell>
          <cell r="K70" t="str">
            <v>Storage</v>
          </cell>
          <cell r="L70" t="str">
            <v>Pro Storage 975</v>
          </cell>
          <cell r="M70" t="str">
            <v>Second Class</v>
          </cell>
          <cell r="N70">
            <v>9</v>
          </cell>
          <cell r="O70">
            <v>2211.12</v>
          </cell>
          <cell r="P70">
            <v>0</v>
          </cell>
          <cell r="S70">
            <v>8937.42</v>
          </cell>
          <cell r="T70" t="str">
            <v>Failed</v>
          </cell>
          <cell r="U70" t="str">
            <v>Returned</v>
          </cell>
        </row>
        <row r="71">
          <cell r="A71" t="str">
            <v>ORD-2024-10070</v>
          </cell>
          <cell r="B71" t="str">
            <v>09 Apr 2024</v>
          </cell>
          <cell r="C71" t="str">
            <v>04/14/2024</v>
          </cell>
          <cell r="D71" t="str">
            <v>CUST-5979</v>
          </cell>
          <cell r="E71" t="str">
            <v>Neha Gupta</v>
          </cell>
          <cell r="F71" t="str">
            <v>Small Business</v>
          </cell>
          <cell r="G71" t="str">
            <v>West</v>
          </cell>
          <cell r="H71" t="str">
            <v>Gujarat</v>
          </cell>
          <cell r="I71" t="str">
            <v>Ahmedabad</v>
          </cell>
          <cell r="J71" t="str">
            <v>Technology</v>
          </cell>
          <cell r="K71" t="str">
            <v>Machines</v>
          </cell>
          <cell r="L71" t="str">
            <v>Prime Machines 782</v>
          </cell>
          <cell r="M71" t="str">
            <v>Same Day</v>
          </cell>
          <cell r="N71">
            <v>7</v>
          </cell>
          <cell r="O71">
            <v>3417.09</v>
          </cell>
          <cell r="P71">
            <v>0.1</v>
          </cell>
          <cell r="S71">
            <v>3240.09</v>
          </cell>
          <cell r="T71" t="str">
            <v>Refunded</v>
          </cell>
          <cell r="U71" t="str">
            <v>Returned</v>
          </cell>
        </row>
        <row r="72">
          <cell r="A72" t="str">
            <v>ORD-2025-10071</v>
          </cell>
          <cell r="B72" t="str">
            <v>2025-08-22</v>
          </cell>
          <cell r="C72" t="str">
            <v>27 Aug 2025</v>
          </cell>
          <cell r="D72" t="str">
            <v>CUST-5582</v>
          </cell>
          <cell r="E72" t="str">
            <v>Karan Malhotra</v>
          </cell>
          <cell r="F72" t="str">
            <v>Corporate</v>
          </cell>
          <cell r="G72" t="str">
            <v>South</v>
          </cell>
          <cell r="H72" t="str">
            <v>Andhra Pradesh</v>
          </cell>
          <cell r="I72" t="str">
            <v>Vijayawada</v>
          </cell>
          <cell r="J72" t="str">
            <v>Technology</v>
          </cell>
          <cell r="K72" t="str">
            <v>Phones</v>
          </cell>
          <cell r="L72" t="str">
            <v>Max Phones 661</v>
          </cell>
          <cell r="M72" t="str">
            <v>First Class</v>
          </cell>
          <cell r="N72">
            <v>2</v>
          </cell>
          <cell r="O72">
            <v>905.87</v>
          </cell>
          <cell r="P72">
            <v>0.15</v>
          </cell>
          <cell r="S72">
            <v>469.78</v>
          </cell>
          <cell r="T72" t="str">
            <v>Paid</v>
          </cell>
          <cell r="U72" t="str">
            <v>Completed</v>
          </cell>
        </row>
        <row r="73">
          <cell r="A73" t="str">
            <v>ORD-2025-10072</v>
          </cell>
          <cell r="B73" t="str">
            <v>04/16/2025</v>
          </cell>
          <cell r="C73" t="str">
            <v>2025-04-23</v>
          </cell>
          <cell r="D73" t="str">
            <v>CUST-3308</v>
          </cell>
          <cell r="E73" t="str">
            <v>Mira Das</v>
          </cell>
          <cell r="F73" t="str">
            <v>Small Business</v>
          </cell>
          <cell r="G73" t="str">
            <v>West</v>
          </cell>
          <cell r="H73" t="str">
            <v>Goa</v>
          </cell>
          <cell r="I73" t="str">
            <v>Panaji</v>
          </cell>
          <cell r="J73" t="str">
            <v>Technology</v>
          </cell>
          <cell r="K73" t="str">
            <v>Machines</v>
          </cell>
          <cell r="L73" t="str">
            <v>Elite Machines 836</v>
          </cell>
          <cell r="M73" t="str">
            <v>Standard Class</v>
          </cell>
          <cell r="N73">
            <v>6</v>
          </cell>
          <cell r="O73">
            <v>2027.32</v>
          </cell>
          <cell r="P73">
            <v>0.1</v>
          </cell>
          <cell r="S73">
            <v>4500.17</v>
          </cell>
          <cell r="T73" t="str">
            <v>Paid</v>
          </cell>
          <cell r="U73" t="str">
            <v>Completed</v>
          </cell>
        </row>
        <row r="74">
          <cell r="A74" t="str">
            <v>ORD-2024-10073</v>
          </cell>
          <cell r="B74" t="str">
            <v>2024-02-11</v>
          </cell>
          <cell r="C74" t="str">
            <v>07 Feb 2024</v>
          </cell>
          <cell r="D74" t="str">
            <v>CUST-5018</v>
          </cell>
          <cell r="E74" t="str">
            <v>Karan Malhotra</v>
          </cell>
          <cell r="F74" t="str">
            <v>Home Office</v>
          </cell>
          <cell r="G74" t="str">
            <v>South</v>
          </cell>
          <cell r="H74" t="str">
            <v>Tamil Nadu</v>
          </cell>
          <cell r="I74" t="str">
            <v>Chennai</v>
          </cell>
          <cell r="J74" t="str">
            <v>Furniture</v>
          </cell>
          <cell r="K74" t="str">
            <v>Tables</v>
          </cell>
          <cell r="L74" t="str">
            <v>Prime Tables 902</v>
          </cell>
          <cell r="M74" t="str">
            <v>First Class</v>
          </cell>
          <cell r="N74">
            <v>7</v>
          </cell>
          <cell r="O74">
            <v>2287.4699999999998</v>
          </cell>
          <cell r="P74">
            <v>0.15</v>
          </cell>
          <cell r="S74">
            <v>3571.4</v>
          </cell>
          <cell r="T74" t="str">
            <v>Paid</v>
          </cell>
          <cell r="U74" t="str">
            <v>Completed</v>
          </cell>
        </row>
        <row r="75">
          <cell r="A75" t="str">
            <v>ORD-2025-10074</v>
          </cell>
          <cell r="B75" t="str">
            <v>29-03-2025</v>
          </cell>
          <cell r="C75" t="str">
            <v>04/03/2025</v>
          </cell>
          <cell r="D75" t="str">
            <v>CUST-2342</v>
          </cell>
          <cell r="E75" t="str">
            <v>Sneha Kapoor</v>
          </cell>
          <cell r="F75" t="str">
            <v>Corporate</v>
          </cell>
          <cell r="G75" t="str">
            <v>East</v>
          </cell>
          <cell r="H75" t="str">
            <v>West Bengal</v>
          </cell>
          <cell r="I75" t="str">
            <v>Kolkata</v>
          </cell>
          <cell r="J75" t="str">
            <v>Furniture</v>
          </cell>
          <cell r="K75" t="str">
            <v>Bookcases</v>
          </cell>
          <cell r="L75" t="str">
            <v>Smart Bookcases 167</v>
          </cell>
          <cell r="M75" t="str">
            <v>First Class</v>
          </cell>
          <cell r="N75">
            <v>5</v>
          </cell>
          <cell r="O75">
            <v>1425.74</v>
          </cell>
          <cell r="P75">
            <v>0</v>
          </cell>
          <cell r="S75">
            <v>2746.55</v>
          </cell>
          <cell r="T75" t="str">
            <v>Paid</v>
          </cell>
          <cell r="U75" t="str">
            <v>Completed</v>
          </cell>
        </row>
        <row r="76">
          <cell r="A76" t="str">
            <v>ORD-2025-10075</v>
          </cell>
          <cell r="B76" t="str">
            <v>02/27/2025</v>
          </cell>
          <cell r="C76" t="str">
            <v>2025-03-01</v>
          </cell>
          <cell r="D76" t="str">
            <v>CUST-6201</v>
          </cell>
          <cell r="E76" t="str">
            <v>Vikram Iyer</v>
          </cell>
          <cell r="F76" t="str">
            <v>Small Business</v>
          </cell>
          <cell r="G76" t="str">
            <v>East</v>
          </cell>
          <cell r="H76" t="str">
            <v>West Bengal</v>
          </cell>
          <cell r="I76" t="str">
            <v>Kolkata</v>
          </cell>
          <cell r="J76" t="str">
            <v>Furniture</v>
          </cell>
          <cell r="K76" t="str">
            <v>Chairs</v>
          </cell>
          <cell r="L76" t="str">
            <v>Max Chairs 244</v>
          </cell>
          <cell r="M76" t="str">
            <v>Standard Class</v>
          </cell>
          <cell r="N76">
            <v>6</v>
          </cell>
          <cell r="O76">
            <v>551.64</v>
          </cell>
          <cell r="P76">
            <v>0</v>
          </cell>
          <cell r="S76">
            <v>638.76</v>
          </cell>
          <cell r="T76" t="str">
            <v>Paid</v>
          </cell>
          <cell r="U76" t="str">
            <v>Completed</v>
          </cell>
        </row>
        <row r="77">
          <cell r="A77" t="str">
            <v>ORD-2025-10076</v>
          </cell>
          <cell r="B77" t="str">
            <v>22-08-2025</v>
          </cell>
          <cell r="C77" t="str">
            <v>08/27/2025</v>
          </cell>
          <cell r="D77" t="str">
            <v>CUST-5808</v>
          </cell>
          <cell r="E77" t="str">
            <v>Priya Menon</v>
          </cell>
          <cell r="F77" t="str">
            <v>Small Business</v>
          </cell>
          <cell r="G77" t="str">
            <v>East</v>
          </cell>
          <cell r="H77" t="str">
            <v>Odisha</v>
          </cell>
          <cell r="I77" t="str">
            <v>Bhubaneswar</v>
          </cell>
          <cell r="J77" t="str">
            <v>Office Supplies</v>
          </cell>
          <cell r="K77" t="str">
            <v>Labels</v>
          </cell>
          <cell r="L77" t="str">
            <v>Eco Labels 653</v>
          </cell>
          <cell r="M77" t="str">
            <v>First Class</v>
          </cell>
          <cell r="N77">
            <v>3</v>
          </cell>
          <cell r="O77">
            <v>3294.82</v>
          </cell>
          <cell r="P77">
            <v>0.2</v>
          </cell>
          <cell r="S77">
            <v>2516.39</v>
          </cell>
          <cell r="T77" t="str">
            <v>Paid</v>
          </cell>
          <cell r="U77" t="str">
            <v>Completed</v>
          </cell>
        </row>
        <row r="78">
          <cell r="A78" t="str">
            <v>ORD-2024-10077</v>
          </cell>
          <cell r="B78" t="str">
            <v>03 Nov 2024</v>
          </cell>
          <cell r="C78" t="str">
            <v>11-11-2024</v>
          </cell>
          <cell r="D78" t="str">
            <v>CUST-2642</v>
          </cell>
          <cell r="E78" t="str">
            <v>Ananya Rao</v>
          </cell>
          <cell r="F78" t="str">
            <v>Corporate</v>
          </cell>
          <cell r="G78" t="str">
            <v>East</v>
          </cell>
          <cell r="H78" t="str">
            <v>Jharkhand</v>
          </cell>
          <cell r="I78" t="str">
            <v>Ranchi</v>
          </cell>
          <cell r="J78" t="str">
            <v>Office Supplies</v>
          </cell>
          <cell r="K78" t="str">
            <v>Labels</v>
          </cell>
          <cell r="L78" t="str">
            <v>Max Labels 617</v>
          </cell>
          <cell r="M78" t="str">
            <v>Second Class</v>
          </cell>
          <cell r="N78">
            <v>3</v>
          </cell>
          <cell r="O78">
            <v>3406.27</v>
          </cell>
          <cell r="P78">
            <v>0</v>
          </cell>
          <cell r="S78">
            <v>2601.84</v>
          </cell>
          <cell r="T78" t="str">
            <v>Paid</v>
          </cell>
          <cell r="U78" t="str">
            <v>Completed</v>
          </cell>
        </row>
        <row r="79">
          <cell r="A79" t="str">
            <v>ORD-2025-10078</v>
          </cell>
          <cell r="B79" t="str">
            <v>07/08/2025</v>
          </cell>
          <cell r="C79" t="str">
            <v>12-07-2025</v>
          </cell>
          <cell r="D79" t="str">
            <v>CUST-4385</v>
          </cell>
          <cell r="E79" t="str">
            <v>Rohan Mehta</v>
          </cell>
          <cell r="F79" t="str">
            <v>Home Office</v>
          </cell>
          <cell r="G79" t="str">
            <v>North</v>
          </cell>
          <cell r="H79" t="str">
            <v>Uttar Pradesh</v>
          </cell>
          <cell r="I79" t="str">
            <v>Noida</v>
          </cell>
          <cell r="J79" t="str">
            <v>Furniture</v>
          </cell>
          <cell r="K79" t="str">
            <v>Furnishings</v>
          </cell>
          <cell r="L79" t="str">
            <v>Pro Furnishings 529</v>
          </cell>
          <cell r="M79" t="str">
            <v>Standard Class</v>
          </cell>
          <cell r="N79">
            <v>1</v>
          </cell>
          <cell r="O79">
            <v>2582.1999999999998</v>
          </cell>
          <cell r="P79">
            <v>0.15</v>
          </cell>
          <cell r="S79">
            <v>971.7</v>
          </cell>
          <cell r="T79" t="str">
            <v>Refunded</v>
          </cell>
          <cell r="U79" t="str">
            <v>Cancelled</v>
          </cell>
        </row>
        <row r="80">
          <cell r="A80" t="str">
            <v>ORD-2025-10079</v>
          </cell>
          <cell r="B80" t="str">
            <v>07/16/2025</v>
          </cell>
          <cell r="C80" t="str">
            <v>21-07-2025</v>
          </cell>
          <cell r="D80" t="str">
            <v>CUST-8043</v>
          </cell>
          <cell r="E80" t="str">
            <v>Sneha Kapoor</v>
          </cell>
          <cell r="F80" t="str">
            <v>Corporate</v>
          </cell>
          <cell r="G80" t="str">
            <v>East</v>
          </cell>
          <cell r="H80" t="str">
            <v>West Bengal</v>
          </cell>
          <cell r="I80" t="str">
            <v>Kolkata</v>
          </cell>
          <cell r="J80" t="str">
            <v>Furniture</v>
          </cell>
          <cell r="K80" t="str">
            <v>Tables</v>
          </cell>
          <cell r="L80" t="str">
            <v>Smart Tables 561</v>
          </cell>
          <cell r="M80" t="str">
            <v>First Class</v>
          </cell>
          <cell r="N80">
            <v>5</v>
          </cell>
          <cell r="O80">
            <v>2129.5100000000002</v>
          </cell>
          <cell r="P80">
            <v>0.15</v>
          </cell>
          <cell r="S80">
            <v>2271.5700000000002</v>
          </cell>
          <cell r="T80" t="str">
            <v>Paid</v>
          </cell>
          <cell r="U80" t="str">
            <v>Completed</v>
          </cell>
        </row>
        <row r="81">
          <cell r="A81" t="str">
            <v>ORD-2025-10080</v>
          </cell>
          <cell r="B81" t="str">
            <v>2025-09-27</v>
          </cell>
          <cell r="C81" t="str">
            <v>2025-10-03</v>
          </cell>
          <cell r="D81" t="str">
            <v>CUST-9978</v>
          </cell>
          <cell r="E81" t="str">
            <v>Diya Patel</v>
          </cell>
          <cell r="F81" t="str">
            <v>Home Office</v>
          </cell>
          <cell r="G81" t="str">
            <v>South</v>
          </cell>
          <cell r="H81" t="str">
            <v>Tamil Nadu</v>
          </cell>
          <cell r="I81" t="str">
            <v>Chennai</v>
          </cell>
          <cell r="J81" t="str">
            <v>Furniture</v>
          </cell>
          <cell r="K81" t="str">
            <v>Chairs</v>
          </cell>
          <cell r="L81" t="str">
            <v>Prime Chairs 838</v>
          </cell>
          <cell r="M81" t="str">
            <v>Same Day</v>
          </cell>
          <cell r="N81">
            <v>9</v>
          </cell>
          <cell r="O81">
            <v>4131.5200000000004</v>
          </cell>
          <cell r="P81">
            <v>0.1</v>
          </cell>
          <cell r="S81">
            <v>8684.0499999999993</v>
          </cell>
          <cell r="T81" t="str">
            <v>Paid</v>
          </cell>
          <cell r="U81" t="str">
            <v>Completed</v>
          </cell>
        </row>
        <row r="82">
          <cell r="A82" t="str">
            <v>ORD-2024-10081</v>
          </cell>
          <cell r="B82" t="str">
            <v>2024-08-10</v>
          </cell>
          <cell r="C82" t="str">
            <v>2024-08-14</v>
          </cell>
          <cell r="D82" t="str">
            <v>CUST-2094</v>
          </cell>
          <cell r="E82" t="str">
            <v>Aarav Sharma</v>
          </cell>
          <cell r="F82" t="str">
            <v>Small Business</v>
          </cell>
          <cell r="G82" t="str">
            <v>North</v>
          </cell>
          <cell r="H82" t="str">
            <v>Delhi</v>
          </cell>
          <cell r="I82" t="str">
            <v>New Delhi</v>
          </cell>
          <cell r="J82" t="str">
            <v>Office Supplies</v>
          </cell>
          <cell r="K82" t="str">
            <v>Storage</v>
          </cell>
          <cell r="L82" t="str">
            <v>Elite Storage 371</v>
          </cell>
          <cell r="M82" t="str">
            <v>Second Class</v>
          </cell>
          <cell r="N82">
            <v>4</v>
          </cell>
          <cell r="O82">
            <v>1182.32</v>
          </cell>
          <cell r="P82">
            <v>0.1</v>
          </cell>
          <cell r="S82">
            <v>1761.02</v>
          </cell>
          <cell r="T82" t="str">
            <v>Pending</v>
          </cell>
          <cell r="U82" t="str">
            <v>Returned</v>
          </cell>
        </row>
        <row r="83">
          <cell r="A83" t="str">
            <v>ORD-2025-10082</v>
          </cell>
          <cell r="B83" t="str">
            <v>2025-03-16</v>
          </cell>
          <cell r="C83" t="str">
            <v>17-03-2025</v>
          </cell>
          <cell r="D83" t="str">
            <v>CUST-7907</v>
          </cell>
          <cell r="E83" t="str">
            <v>Karan Malhotra</v>
          </cell>
          <cell r="F83" t="str">
            <v>Home Office</v>
          </cell>
          <cell r="G83" t="str">
            <v>West</v>
          </cell>
          <cell r="H83" t="str">
            <v>Goa</v>
          </cell>
          <cell r="I83" t="str">
            <v>Panaji</v>
          </cell>
          <cell r="J83" t="str">
            <v>Office Supplies</v>
          </cell>
          <cell r="K83" t="str">
            <v>Labels</v>
          </cell>
          <cell r="L83" t="str">
            <v>Eco Labels 662</v>
          </cell>
          <cell r="M83" t="str">
            <v>Same Day</v>
          </cell>
          <cell r="N83">
            <v>3</v>
          </cell>
          <cell r="O83">
            <v>1841.91</v>
          </cell>
          <cell r="P83">
            <v>0</v>
          </cell>
          <cell r="S83">
            <v>2432.31</v>
          </cell>
          <cell r="T83" t="str">
            <v>Paid</v>
          </cell>
          <cell r="U83" t="str">
            <v>Completed</v>
          </cell>
        </row>
        <row r="84">
          <cell r="A84" t="str">
            <v>ORD-2024-10083</v>
          </cell>
          <cell r="B84" t="str">
            <v>2024-08-03</v>
          </cell>
          <cell r="C84" t="str">
            <v>04-08-2024</v>
          </cell>
          <cell r="D84" t="str">
            <v>CUST-6516</v>
          </cell>
          <cell r="E84" t="str">
            <v>Arjun Bose</v>
          </cell>
          <cell r="F84" t="str">
            <v>Consumer</v>
          </cell>
          <cell r="G84" t="str">
            <v>North</v>
          </cell>
          <cell r="H84" t="str">
            <v>Uttar Pradesh</v>
          </cell>
          <cell r="I84" t="str">
            <v>Noida</v>
          </cell>
          <cell r="J84" t="str">
            <v>Technology</v>
          </cell>
          <cell r="K84" t="str">
            <v>Copiers</v>
          </cell>
          <cell r="L84" t="str">
            <v>Smart Copiers 702</v>
          </cell>
          <cell r="M84" t="str">
            <v>Second Class</v>
          </cell>
          <cell r="N84">
            <v>6</v>
          </cell>
          <cell r="O84">
            <v>1001.73</v>
          </cell>
          <cell r="P84">
            <v>0</v>
          </cell>
          <cell r="S84">
            <v>2247.5300000000002</v>
          </cell>
          <cell r="T84" t="str">
            <v>Failed</v>
          </cell>
          <cell r="U84" t="str">
            <v>Returned</v>
          </cell>
        </row>
        <row r="85">
          <cell r="A85" t="str">
            <v>ORD-2024-10084</v>
          </cell>
          <cell r="B85" t="str">
            <v>26-10-2024</v>
          </cell>
          <cell r="C85" t="str">
            <v>29-10-2024</v>
          </cell>
          <cell r="D85" t="str">
            <v>CUST-4989</v>
          </cell>
          <cell r="E85" t="str">
            <v>Aditi Sen</v>
          </cell>
          <cell r="F85" t="str">
            <v>Home Office</v>
          </cell>
          <cell r="G85" t="str">
            <v>West</v>
          </cell>
          <cell r="H85" t="str">
            <v>Maharashtra</v>
          </cell>
          <cell r="I85" t="str">
            <v>Mumbai</v>
          </cell>
          <cell r="J85" t="str">
            <v>Furniture</v>
          </cell>
          <cell r="K85" t="str">
            <v>Tables</v>
          </cell>
          <cell r="L85" t="str">
            <v>Elite Tables 362</v>
          </cell>
          <cell r="M85" t="str">
            <v>Second Class</v>
          </cell>
          <cell r="N85">
            <v>9</v>
          </cell>
          <cell r="O85">
            <v>131.74</v>
          </cell>
          <cell r="P85">
            <v>0.2</v>
          </cell>
          <cell r="S85">
            <v>273.91000000000003</v>
          </cell>
          <cell r="T85" t="str">
            <v>Paid</v>
          </cell>
          <cell r="U85" t="str">
            <v>Completed</v>
          </cell>
        </row>
        <row r="86">
          <cell r="A86" t="str">
            <v>ORD-2024-10085</v>
          </cell>
          <cell r="B86" t="str">
            <v>01 Oct 2024</v>
          </cell>
          <cell r="C86" t="str">
            <v>2024-10-03</v>
          </cell>
          <cell r="D86" t="str">
            <v>CUST-3758</v>
          </cell>
          <cell r="E86" t="str">
            <v>Rohan Mehta</v>
          </cell>
          <cell r="F86" t="str">
            <v>Corporate</v>
          </cell>
          <cell r="G86" t="str">
            <v>South</v>
          </cell>
          <cell r="H86" t="str">
            <v>Tamil Nadu</v>
          </cell>
          <cell r="I86" t="str">
            <v>Chennai</v>
          </cell>
          <cell r="J86" t="str">
            <v>Technology</v>
          </cell>
          <cell r="K86" t="str">
            <v>Phones</v>
          </cell>
          <cell r="L86" t="str">
            <v>Elite Phones 781</v>
          </cell>
          <cell r="M86" t="str">
            <v>Second Class</v>
          </cell>
          <cell r="N86">
            <v>6</v>
          </cell>
          <cell r="O86">
            <v>570.28</v>
          </cell>
          <cell r="P86">
            <v>0.2</v>
          </cell>
          <cell r="S86">
            <v>651.9</v>
          </cell>
          <cell r="T86" t="str">
            <v>Paid</v>
          </cell>
          <cell r="U86" t="str">
            <v>Completed</v>
          </cell>
        </row>
        <row r="87">
          <cell r="A87" t="str">
            <v>ORD-2024-10086</v>
          </cell>
          <cell r="B87" t="str">
            <v>2024-07-30</v>
          </cell>
          <cell r="C87" t="str">
            <v>08/05/2024</v>
          </cell>
          <cell r="D87" t="str">
            <v>CUST-6702</v>
          </cell>
          <cell r="E87" t="str">
            <v>Kabir Singh</v>
          </cell>
          <cell r="F87" t="str">
            <v>Corporate</v>
          </cell>
          <cell r="G87" t="str">
            <v>North</v>
          </cell>
          <cell r="H87" t="str">
            <v>Delhi</v>
          </cell>
          <cell r="I87" t="str">
            <v>New Delhi</v>
          </cell>
          <cell r="J87" t="str">
            <v>Office Supplies</v>
          </cell>
          <cell r="K87" t="str">
            <v>Binders</v>
          </cell>
          <cell r="L87" t="str">
            <v>Eco Binders 456</v>
          </cell>
          <cell r="M87" t="str">
            <v>Standard Class</v>
          </cell>
          <cell r="N87">
            <v>1</v>
          </cell>
          <cell r="O87">
            <v>608.64</v>
          </cell>
          <cell r="P87">
            <v>0</v>
          </cell>
          <cell r="S87">
            <v>264.64999999999998</v>
          </cell>
          <cell r="T87" t="str">
            <v>Paid</v>
          </cell>
          <cell r="U87" t="str">
            <v>Cancelled</v>
          </cell>
        </row>
        <row r="88">
          <cell r="A88" t="str">
            <v>ORD-2024-10087</v>
          </cell>
          <cell r="B88" t="str">
            <v>01 Jul 2024</v>
          </cell>
          <cell r="C88" t="str">
            <v>01 Jul 2024</v>
          </cell>
          <cell r="D88" t="str">
            <v>CUST-9148</v>
          </cell>
          <cell r="E88" t="str">
            <v>Ananya Rao</v>
          </cell>
          <cell r="F88" t="str">
            <v>Small Business</v>
          </cell>
          <cell r="G88" t="str">
            <v>North</v>
          </cell>
          <cell r="H88" t="str">
            <v>Delhi</v>
          </cell>
          <cell r="I88" t="str">
            <v>New Delhi</v>
          </cell>
          <cell r="J88" t="str">
            <v>Technology</v>
          </cell>
          <cell r="K88" t="str">
            <v>Copiers</v>
          </cell>
          <cell r="L88" t="str">
            <v>Basic Copiers 525</v>
          </cell>
          <cell r="M88" t="str">
            <v>Second Class</v>
          </cell>
          <cell r="N88">
            <v>3</v>
          </cell>
          <cell r="O88">
            <v>885.28</v>
          </cell>
          <cell r="P88">
            <v>0.1</v>
          </cell>
          <cell r="S88">
            <v>894.32</v>
          </cell>
          <cell r="T88" t="str">
            <v>Refunded</v>
          </cell>
          <cell r="U88" t="str">
            <v>Cancelled</v>
          </cell>
        </row>
        <row r="89">
          <cell r="A89" t="str">
            <v>ORD-2024-10088</v>
          </cell>
          <cell r="B89" t="str">
            <v>02-08-2024</v>
          </cell>
          <cell r="C89" t="str">
            <v>2024-08-03</v>
          </cell>
          <cell r="D89" t="str">
            <v>CUST-5829</v>
          </cell>
          <cell r="E89" t="str">
            <v>Vikram Iyer</v>
          </cell>
          <cell r="F89" t="str">
            <v>Consumer</v>
          </cell>
          <cell r="G89" t="str">
            <v>East</v>
          </cell>
          <cell r="H89" t="str">
            <v>Assam</v>
          </cell>
          <cell r="I89" t="str">
            <v>Guwahati</v>
          </cell>
          <cell r="J89" t="str">
            <v>Office Supplies</v>
          </cell>
          <cell r="K89" t="str">
            <v>Binders</v>
          </cell>
          <cell r="L89" t="str">
            <v>Eco Binders 258</v>
          </cell>
          <cell r="M89" t="str">
            <v>Standard Class</v>
          </cell>
          <cell r="N89">
            <v>7</v>
          </cell>
          <cell r="O89">
            <v>3345.22</v>
          </cell>
          <cell r="P89">
            <v>0</v>
          </cell>
          <cell r="S89">
            <v>7925.65</v>
          </cell>
          <cell r="T89" t="str">
            <v>Paid</v>
          </cell>
          <cell r="U89" t="str">
            <v>Completed</v>
          </cell>
        </row>
        <row r="90">
          <cell r="A90" t="str">
            <v>ORD-2024-10089</v>
          </cell>
          <cell r="B90" t="str">
            <v>03/24/2024</v>
          </cell>
          <cell r="C90" t="str">
            <v>27 Mar 2024</v>
          </cell>
          <cell r="D90" t="str">
            <v>CUST-6059</v>
          </cell>
          <cell r="E90" t="str">
            <v>Rohan Mehta</v>
          </cell>
          <cell r="F90" t="str">
            <v>Small Business</v>
          </cell>
          <cell r="G90" t="str">
            <v>West</v>
          </cell>
          <cell r="H90" t="str">
            <v>Maharashtra</v>
          </cell>
          <cell r="I90" t="str">
            <v>Mumbai</v>
          </cell>
          <cell r="J90" t="str">
            <v>Furniture</v>
          </cell>
          <cell r="K90" t="str">
            <v>Bookcases</v>
          </cell>
          <cell r="L90" t="str">
            <v>Max Bookcases 398</v>
          </cell>
          <cell r="M90" t="str">
            <v>Standard Class</v>
          </cell>
          <cell r="N90">
            <v>2</v>
          </cell>
          <cell r="O90">
            <v>3284.75</v>
          </cell>
          <cell r="P90">
            <v>0.05</v>
          </cell>
          <cell r="S90">
            <v>895.14</v>
          </cell>
          <cell r="T90" t="str">
            <v>Paid</v>
          </cell>
          <cell r="U90" t="str">
            <v>Completed</v>
          </cell>
        </row>
        <row r="91">
          <cell r="A91" t="str">
            <v>ORD-2024-10090</v>
          </cell>
          <cell r="B91" t="str">
            <v>05 Sep 2024</v>
          </cell>
          <cell r="C91" t="str">
            <v>05 Sep 2024</v>
          </cell>
          <cell r="D91" t="str">
            <v>CUST-7744</v>
          </cell>
          <cell r="E91" t="str">
            <v>Kabir Singh</v>
          </cell>
          <cell r="F91" t="str">
            <v>Consumer</v>
          </cell>
          <cell r="G91" t="str">
            <v>South</v>
          </cell>
          <cell r="H91" t="str">
            <v>Andhra Pradesh</v>
          </cell>
          <cell r="I91" t="str">
            <v>Vijayawada</v>
          </cell>
          <cell r="J91" t="str">
            <v>Furniture</v>
          </cell>
          <cell r="K91" t="str">
            <v>Bookcases</v>
          </cell>
          <cell r="L91" t="str">
            <v>Smart Bookcases 857</v>
          </cell>
          <cell r="M91" t="str">
            <v>Standard Class</v>
          </cell>
          <cell r="N91">
            <v>7</v>
          </cell>
          <cell r="O91">
            <v>3761.09</v>
          </cell>
          <cell r="P91">
            <v>0.2</v>
          </cell>
          <cell r="S91">
            <v>9004.9699999999993</v>
          </cell>
          <cell r="T91" t="str">
            <v>Pending</v>
          </cell>
          <cell r="U91" t="str">
            <v>Cancelled</v>
          </cell>
        </row>
        <row r="92">
          <cell r="A92" t="str">
            <v>ORD-2025-10091</v>
          </cell>
          <cell r="B92" t="str">
            <v>08/24/2025</v>
          </cell>
          <cell r="C92" t="str">
            <v>29 Aug 2025</v>
          </cell>
          <cell r="D92" t="str">
            <v>CUST-5909</v>
          </cell>
          <cell r="E92" t="str">
            <v>Aarav Sharma</v>
          </cell>
          <cell r="F92" t="str">
            <v>Small Business</v>
          </cell>
          <cell r="G92" t="str">
            <v>East</v>
          </cell>
          <cell r="H92" t="str">
            <v>Bihar</v>
          </cell>
          <cell r="I92" t="str">
            <v>Patna</v>
          </cell>
          <cell r="J92" t="str">
            <v>Technology</v>
          </cell>
          <cell r="K92" t="str">
            <v>Copiers</v>
          </cell>
          <cell r="L92" t="str">
            <v>Smart Copiers 556</v>
          </cell>
          <cell r="M92" t="str">
            <v>First Class</v>
          </cell>
          <cell r="N92">
            <v>3</v>
          </cell>
          <cell r="O92">
            <v>3703.96</v>
          </cell>
          <cell r="P92">
            <v>0.15</v>
          </cell>
          <cell r="S92">
            <v>3858.82</v>
          </cell>
          <cell r="T92" t="str">
            <v>Paid</v>
          </cell>
          <cell r="U92" t="str">
            <v>Completed</v>
          </cell>
        </row>
        <row r="93">
          <cell r="A93" t="str">
            <v>ORD-2025-10092</v>
          </cell>
          <cell r="B93" t="str">
            <v>02-03-2025</v>
          </cell>
          <cell r="C93" t="str">
            <v>03/08/2025</v>
          </cell>
          <cell r="D93" t="str">
            <v>CUST-6409</v>
          </cell>
          <cell r="E93" t="str">
            <v>Sneha Kapoor</v>
          </cell>
          <cell r="F93" t="str">
            <v>Corporate</v>
          </cell>
          <cell r="G93" t="str">
            <v>West</v>
          </cell>
          <cell r="H93" t="str">
            <v>Madhya Pradesh</v>
          </cell>
          <cell r="I93" t="str">
            <v>Indore</v>
          </cell>
          <cell r="J93" t="str">
            <v>Technology</v>
          </cell>
          <cell r="K93" t="str">
            <v>Copiers</v>
          </cell>
          <cell r="L93" t="str">
            <v>Prime Copiers 575</v>
          </cell>
          <cell r="M93" t="str">
            <v>Second Class</v>
          </cell>
          <cell r="N93">
            <v>9</v>
          </cell>
          <cell r="O93">
            <v>269.68</v>
          </cell>
          <cell r="P93">
            <v>0</v>
          </cell>
          <cell r="S93">
            <v>804.53</v>
          </cell>
          <cell r="T93" t="str">
            <v>Paid</v>
          </cell>
          <cell r="U93" t="str">
            <v>Completed</v>
          </cell>
        </row>
        <row r="94">
          <cell r="A94" t="str">
            <v>ORD-2025-10093</v>
          </cell>
          <cell r="B94" t="str">
            <v>23 Jan 2025</v>
          </cell>
          <cell r="C94" t="str">
            <v>01/26/2025</v>
          </cell>
          <cell r="D94" t="str">
            <v>CUST-3014</v>
          </cell>
          <cell r="E94" t="str">
            <v>Aarav Sharma</v>
          </cell>
          <cell r="F94" t="str">
            <v>Consumer</v>
          </cell>
          <cell r="G94" t="str">
            <v>West</v>
          </cell>
          <cell r="H94" t="str">
            <v>Madhya Pradesh</v>
          </cell>
          <cell r="I94" t="str">
            <v>Indore</v>
          </cell>
          <cell r="J94" t="str">
            <v>Office Supplies</v>
          </cell>
          <cell r="K94" t="str">
            <v>Paper</v>
          </cell>
          <cell r="L94" t="str">
            <v>Elite Paper 669</v>
          </cell>
          <cell r="M94" t="str">
            <v>Standard Class</v>
          </cell>
          <cell r="N94">
            <v>9</v>
          </cell>
          <cell r="O94">
            <v>4458.26</v>
          </cell>
          <cell r="P94">
            <v>0.1</v>
          </cell>
          <cell r="S94">
            <v>6917.41</v>
          </cell>
          <cell r="T94" t="str">
            <v>Paid</v>
          </cell>
          <cell r="U94" t="str">
            <v>Completed</v>
          </cell>
        </row>
        <row r="95">
          <cell r="A95" t="str">
            <v>ORD-2024-10094</v>
          </cell>
          <cell r="B95" t="str">
            <v>01/07/2024</v>
          </cell>
          <cell r="C95" t="str">
            <v>13-01-2024</v>
          </cell>
          <cell r="D95" t="str">
            <v>CUST-6106</v>
          </cell>
          <cell r="E95" t="str">
            <v>Rohan Mehta</v>
          </cell>
          <cell r="F95" t="str">
            <v>Corporate</v>
          </cell>
          <cell r="G95" t="str">
            <v>North</v>
          </cell>
          <cell r="H95" t="str">
            <v>Uttar Pradesh</v>
          </cell>
          <cell r="I95" t="str">
            <v>Noida</v>
          </cell>
          <cell r="J95" t="str">
            <v>Office Supplies</v>
          </cell>
          <cell r="K95" t="str">
            <v>Binders</v>
          </cell>
          <cell r="L95" t="str">
            <v>Eco Binders 780</v>
          </cell>
          <cell r="M95" t="str">
            <v>Standard Class</v>
          </cell>
          <cell r="N95">
            <v>7</v>
          </cell>
          <cell r="O95">
            <v>2788.97</v>
          </cell>
          <cell r="P95">
            <v>-0.09</v>
          </cell>
          <cell r="S95">
            <v>7067.01</v>
          </cell>
          <cell r="T95" t="str">
            <v>Paid</v>
          </cell>
          <cell r="U95" t="str">
            <v>Completed</v>
          </cell>
        </row>
        <row r="96">
          <cell r="A96" t="str">
            <v>ORD-2024-10095</v>
          </cell>
          <cell r="B96" t="str">
            <v>09/06/2024</v>
          </cell>
          <cell r="C96" t="str">
            <v>09 Sep 2024</v>
          </cell>
          <cell r="D96" t="str">
            <v>CUST-1926</v>
          </cell>
          <cell r="E96" t="str">
            <v>Diya Patel</v>
          </cell>
          <cell r="F96" t="str">
            <v>Consumer</v>
          </cell>
          <cell r="G96" t="str">
            <v>North</v>
          </cell>
          <cell r="H96" t="str">
            <v>Haryana</v>
          </cell>
          <cell r="I96" t="str">
            <v>Gurugram</v>
          </cell>
          <cell r="J96" t="str">
            <v>Technology</v>
          </cell>
          <cell r="K96" t="str">
            <v>Phones</v>
          </cell>
          <cell r="L96" t="str">
            <v>Elite Phones 723</v>
          </cell>
          <cell r="M96" t="str">
            <v>Second Class</v>
          </cell>
          <cell r="N96">
            <v>7</v>
          </cell>
          <cell r="O96">
            <v>3781.53</v>
          </cell>
          <cell r="P96">
            <v>0</v>
          </cell>
          <cell r="S96">
            <v>5103.1099999999997</v>
          </cell>
          <cell r="T96" t="str">
            <v>Pending</v>
          </cell>
          <cell r="U96" t="str">
            <v>Cancelled</v>
          </cell>
        </row>
        <row r="97">
          <cell r="A97" t="str">
            <v>ORD-2025-10096</v>
          </cell>
          <cell r="B97" t="str">
            <v>05-09-2025</v>
          </cell>
          <cell r="C97" t="str">
            <v>09/10/2025</v>
          </cell>
          <cell r="D97" t="str">
            <v>CUST-2687</v>
          </cell>
          <cell r="E97" t="str">
            <v>Sneha Kapoor</v>
          </cell>
          <cell r="F97" t="str">
            <v>Corporate</v>
          </cell>
          <cell r="G97" t="str">
            <v>West</v>
          </cell>
          <cell r="H97" t="str">
            <v>Goa</v>
          </cell>
          <cell r="I97" t="str">
            <v>Panaji</v>
          </cell>
          <cell r="J97" t="str">
            <v>Furniture</v>
          </cell>
          <cell r="K97" t="str">
            <v>Bookcases</v>
          </cell>
          <cell r="L97" t="str">
            <v>Classic Bookcases 988</v>
          </cell>
          <cell r="M97" t="str">
            <v>Same Day</v>
          </cell>
          <cell r="N97">
            <v>6</v>
          </cell>
          <cell r="O97">
            <v>1754.13</v>
          </cell>
          <cell r="P97">
            <v>0</v>
          </cell>
          <cell r="S97">
            <v>1683.73</v>
          </cell>
          <cell r="T97" t="str">
            <v>Paid</v>
          </cell>
          <cell r="U97" t="str">
            <v>Completed</v>
          </cell>
        </row>
        <row r="98">
          <cell r="A98" t="str">
            <v>ORD-2024-10097</v>
          </cell>
          <cell r="B98" t="str">
            <v>05 Jun 2024</v>
          </cell>
          <cell r="C98" t="str">
            <v>07-06-2024</v>
          </cell>
          <cell r="D98" t="str">
            <v>CUST-7283</v>
          </cell>
          <cell r="E98" t="str">
            <v>Rahul Verma</v>
          </cell>
          <cell r="F98" t="str">
            <v>Home Office</v>
          </cell>
          <cell r="G98" t="str">
            <v>East</v>
          </cell>
          <cell r="H98" t="str">
            <v>Odisha</v>
          </cell>
          <cell r="I98" t="str">
            <v>Bhubaneswar</v>
          </cell>
          <cell r="J98" t="str">
            <v>Technology</v>
          </cell>
          <cell r="K98" t="str">
            <v>Copiers</v>
          </cell>
          <cell r="L98" t="str">
            <v>Smart Copiers 547</v>
          </cell>
          <cell r="M98" t="str">
            <v>Second Class</v>
          </cell>
          <cell r="N98">
            <v>2</v>
          </cell>
          <cell r="O98">
            <v>2259.2399999999998</v>
          </cell>
          <cell r="P98">
            <v>0.15</v>
          </cell>
          <cell r="S98">
            <v>1324.42</v>
          </cell>
          <cell r="T98" t="str">
            <v>Paid</v>
          </cell>
          <cell r="U98" t="str">
            <v>Completed</v>
          </cell>
        </row>
        <row r="99">
          <cell r="A99" t="str">
            <v>ORD-2025-10098</v>
          </cell>
          <cell r="B99" t="str">
            <v>08 Aug 2025</v>
          </cell>
          <cell r="C99" t="str">
            <v>2025-08-11</v>
          </cell>
          <cell r="D99" t="str">
            <v>CUST-8111</v>
          </cell>
          <cell r="E99" t="str">
            <v>Diya Patel</v>
          </cell>
          <cell r="F99" t="str">
            <v>Small Business</v>
          </cell>
          <cell r="G99" t="str">
            <v>West</v>
          </cell>
          <cell r="H99" t="str">
            <v>Gujarat</v>
          </cell>
          <cell r="I99" t="str">
            <v>Ahmedabad</v>
          </cell>
          <cell r="J99" t="str">
            <v>Office Supplies</v>
          </cell>
          <cell r="K99" t="str">
            <v>Storage</v>
          </cell>
          <cell r="L99" t="str">
            <v>Basic Storage 656</v>
          </cell>
          <cell r="M99" t="str">
            <v>Same Day</v>
          </cell>
          <cell r="N99">
            <v>5</v>
          </cell>
          <cell r="O99">
            <v>3602.36</v>
          </cell>
          <cell r="P99">
            <v>0.2</v>
          </cell>
          <cell r="S99">
            <v>5599.47</v>
          </cell>
          <cell r="T99" t="str">
            <v>Pending</v>
          </cell>
          <cell r="U99" t="str">
            <v>Returned</v>
          </cell>
        </row>
        <row r="100">
          <cell r="A100" t="str">
            <v>ORD-2024-10099</v>
          </cell>
          <cell r="B100" t="str">
            <v>2024-01-26</v>
          </cell>
          <cell r="C100" t="str">
            <v>02/01/2024</v>
          </cell>
          <cell r="D100" t="str">
            <v>CUST-5434</v>
          </cell>
          <cell r="E100" t="str">
            <v>Rohan Mehta</v>
          </cell>
          <cell r="F100" t="str">
            <v>Home Office</v>
          </cell>
          <cell r="G100" t="str">
            <v>South</v>
          </cell>
          <cell r="H100" t="str">
            <v>Kerala</v>
          </cell>
          <cell r="I100" t="str">
            <v>Kochi</v>
          </cell>
          <cell r="J100" t="str">
            <v>Technology</v>
          </cell>
          <cell r="K100" t="str">
            <v>Copiers</v>
          </cell>
          <cell r="L100" t="str">
            <v>Elite Copiers 785</v>
          </cell>
          <cell r="N100">
            <v>8</v>
          </cell>
          <cell r="O100">
            <v>2108.9299999999998</v>
          </cell>
          <cell r="P100">
            <v>0.1</v>
          </cell>
          <cell r="S100">
            <v>3913.56</v>
          </cell>
          <cell r="T100" t="str">
            <v>Paid</v>
          </cell>
          <cell r="U100" t="str">
            <v>Completed</v>
          </cell>
        </row>
        <row r="101">
          <cell r="A101" t="str">
            <v>ORD-2025-10100</v>
          </cell>
          <cell r="B101" t="str">
            <v>11-01-2025</v>
          </cell>
          <cell r="C101" t="str">
            <v>11-01-2025</v>
          </cell>
          <cell r="D101" t="str">
            <v>CUST-3865</v>
          </cell>
          <cell r="E101" t="str">
            <v>Aditi Sen</v>
          </cell>
          <cell r="F101" t="str">
            <v>Small Business</v>
          </cell>
          <cell r="G101" t="str">
            <v>West</v>
          </cell>
          <cell r="H101" t="str">
            <v>Rajasthan</v>
          </cell>
          <cell r="I101" t="str">
            <v>Udaipur</v>
          </cell>
          <cell r="J101" t="str">
            <v>Technology</v>
          </cell>
          <cell r="K101" t="str">
            <v>Accessories</v>
          </cell>
          <cell r="L101" t="str">
            <v>Smart Accessories 542</v>
          </cell>
          <cell r="M101" t="str">
            <v>Same Day</v>
          </cell>
          <cell r="N101">
            <v>3</v>
          </cell>
          <cell r="O101">
            <v>2165.29</v>
          </cell>
          <cell r="P101">
            <v>0</v>
          </cell>
          <cell r="S101">
            <v>1794.98</v>
          </cell>
          <cell r="T101" t="str">
            <v>Paid</v>
          </cell>
          <cell r="U101" t="str">
            <v>Completed</v>
          </cell>
        </row>
        <row r="102">
          <cell r="A102" t="str">
            <v>ORD-2025-10101</v>
          </cell>
          <cell r="B102" t="str">
            <v>12 Sep 2025</v>
          </cell>
          <cell r="C102" t="str">
            <v>18 Sep 2025</v>
          </cell>
          <cell r="D102" t="str">
            <v>CUST-6015</v>
          </cell>
          <cell r="E102" t="str">
            <v>Aarav Sharma</v>
          </cell>
          <cell r="F102" t="str">
            <v>Home Office</v>
          </cell>
          <cell r="G102" t="str">
            <v>South</v>
          </cell>
          <cell r="H102" t="str">
            <v>Kerala</v>
          </cell>
          <cell r="I102" t="str">
            <v>Kochi</v>
          </cell>
          <cell r="J102" t="str">
            <v>Office Supplies</v>
          </cell>
          <cell r="K102" t="str">
            <v>Storage</v>
          </cell>
          <cell r="L102" t="str">
            <v>Eco Storage 936</v>
          </cell>
          <cell r="M102" t="str">
            <v>Standard Class</v>
          </cell>
          <cell r="N102">
            <v>6</v>
          </cell>
          <cell r="O102">
            <v>1673.8</v>
          </cell>
          <cell r="P102">
            <v>0.05</v>
          </cell>
          <cell r="S102">
            <v>3979.17</v>
          </cell>
          <cell r="T102" t="str">
            <v>Paid</v>
          </cell>
          <cell r="U102" t="str">
            <v>Completed</v>
          </cell>
        </row>
        <row r="103">
          <cell r="A103" t="str">
            <v>ORD-2024-10102</v>
          </cell>
          <cell r="B103" t="str">
            <v>06/22/2024</v>
          </cell>
          <cell r="C103" t="str">
            <v>26-06-2024</v>
          </cell>
          <cell r="D103" t="str">
            <v>CUST-7909</v>
          </cell>
          <cell r="E103" t="str">
            <v>Rohan Mehta</v>
          </cell>
          <cell r="F103" t="str">
            <v>Home Office</v>
          </cell>
          <cell r="G103" t="str">
            <v>East</v>
          </cell>
          <cell r="H103" t="str">
            <v>Bihar</v>
          </cell>
          <cell r="I103" t="str">
            <v>Patna</v>
          </cell>
          <cell r="J103" t="str">
            <v>Furniture</v>
          </cell>
          <cell r="K103" t="str">
            <v>Furnishings</v>
          </cell>
          <cell r="L103" t="str">
            <v>Classic Furnishings 682</v>
          </cell>
          <cell r="M103" t="str">
            <v>First Class</v>
          </cell>
          <cell r="N103">
            <v>5</v>
          </cell>
          <cell r="O103">
            <v>4396.5200000000004</v>
          </cell>
          <cell r="P103">
            <v>0.25</v>
          </cell>
          <cell r="S103">
            <v>4432.8100000000004</v>
          </cell>
          <cell r="T103" t="str">
            <v>Paid</v>
          </cell>
          <cell r="U103" t="str">
            <v>Completed</v>
          </cell>
        </row>
        <row r="104">
          <cell r="A104" t="str">
            <v>ORD-2025-10103</v>
          </cell>
          <cell r="B104" t="str">
            <v>12 Jul 2025</v>
          </cell>
          <cell r="C104" t="str">
            <v>2025-07-16</v>
          </cell>
          <cell r="D104" t="str">
            <v>CUST-9603</v>
          </cell>
          <cell r="E104" t="str">
            <v>Vikram Iyer</v>
          </cell>
          <cell r="F104" t="str">
            <v>Consumer</v>
          </cell>
          <cell r="G104" t="str">
            <v>South</v>
          </cell>
          <cell r="H104" t="str">
            <v>Karnataka</v>
          </cell>
          <cell r="I104" t="str">
            <v>Bengaluru</v>
          </cell>
          <cell r="J104" t="str">
            <v>Furniture</v>
          </cell>
          <cell r="K104" t="str">
            <v>Chairs</v>
          </cell>
          <cell r="L104" t="str">
            <v>Classic Chairs 604</v>
          </cell>
          <cell r="M104" t="str">
            <v>First Class</v>
          </cell>
          <cell r="N104">
            <v>4</v>
          </cell>
          <cell r="O104">
            <v>2865.71</v>
          </cell>
          <cell r="P104">
            <v>0</v>
          </cell>
          <cell r="S104">
            <v>2483.06</v>
          </cell>
          <cell r="T104" t="str">
            <v>Refunded</v>
          </cell>
          <cell r="U104" t="str">
            <v>Cancelled</v>
          </cell>
        </row>
        <row r="105">
          <cell r="A105" t="str">
            <v>ORD-2025-10104</v>
          </cell>
          <cell r="B105" t="str">
            <v>05/02/2025</v>
          </cell>
          <cell r="C105" t="str">
            <v>05/10/2025</v>
          </cell>
          <cell r="D105" t="str">
            <v>CUST-6263</v>
          </cell>
          <cell r="E105" t="str">
            <v>Kabir Singh</v>
          </cell>
          <cell r="F105" t="str">
            <v>Corporate</v>
          </cell>
          <cell r="G105" t="str">
            <v>West</v>
          </cell>
          <cell r="H105" t="str">
            <v>Maharashtra</v>
          </cell>
          <cell r="I105" t="str">
            <v>Mumbai</v>
          </cell>
          <cell r="J105" t="str">
            <v>Furniture</v>
          </cell>
          <cell r="K105" t="str">
            <v>Tables</v>
          </cell>
          <cell r="L105" t="str">
            <v>Prime Tables 377</v>
          </cell>
          <cell r="M105" t="str">
            <v>First Class</v>
          </cell>
          <cell r="N105">
            <v>4</v>
          </cell>
          <cell r="O105">
            <v>2440.34</v>
          </cell>
          <cell r="P105">
            <v>0.2</v>
          </cell>
          <cell r="S105">
            <v>1151.3399999999999</v>
          </cell>
          <cell r="T105" t="str">
            <v>Paid</v>
          </cell>
          <cell r="U105" t="str">
            <v>Completed</v>
          </cell>
        </row>
        <row r="106">
          <cell r="A106" t="str">
            <v>ORD-2025-10105</v>
          </cell>
          <cell r="B106" t="str">
            <v>2025-02-01</v>
          </cell>
          <cell r="C106" t="str">
            <v>02/08/2025</v>
          </cell>
          <cell r="D106" t="str">
            <v>CUST-1576</v>
          </cell>
          <cell r="E106" t="str">
            <v>Ananya Rao</v>
          </cell>
          <cell r="F106" t="str">
            <v>Consumer</v>
          </cell>
          <cell r="G106" t="str">
            <v>South</v>
          </cell>
          <cell r="H106" t="str">
            <v>Karnataka</v>
          </cell>
          <cell r="I106" t="str">
            <v>Bengaluru</v>
          </cell>
          <cell r="J106" t="str">
            <v>Office Supplies</v>
          </cell>
          <cell r="K106" t="str">
            <v>Labels</v>
          </cell>
          <cell r="L106" t="str">
            <v>Prime Labels 807</v>
          </cell>
          <cell r="M106" t="str">
            <v>Same Day</v>
          </cell>
          <cell r="N106">
            <v>5</v>
          </cell>
          <cell r="O106">
            <v>2112.54</v>
          </cell>
          <cell r="P106">
            <v>0.25</v>
          </cell>
          <cell r="S106">
            <v>2302.08</v>
          </cell>
          <cell r="T106" t="str">
            <v>Paid</v>
          </cell>
          <cell r="U106" t="str">
            <v>Cancelled</v>
          </cell>
        </row>
        <row r="107">
          <cell r="A107" t="str">
            <v>ORD-2024-10106</v>
          </cell>
          <cell r="B107" t="str">
            <v>06/24/2024</v>
          </cell>
          <cell r="C107" t="str">
            <v>29-06-2024</v>
          </cell>
          <cell r="D107" t="str">
            <v>CUST-6540</v>
          </cell>
          <cell r="E107" t="str">
            <v>Mira Das</v>
          </cell>
          <cell r="F107" t="str">
            <v>Home Office</v>
          </cell>
          <cell r="G107" t="str">
            <v>East</v>
          </cell>
          <cell r="H107" t="str">
            <v>West Bengal</v>
          </cell>
          <cell r="I107" t="str">
            <v>Kolkata</v>
          </cell>
          <cell r="J107" t="str">
            <v>Furniture</v>
          </cell>
          <cell r="K107" t="str">
            <v>Tables</v>
          </cell>
          <cell r="L107" t="str">
            <v>Eco Tables 575</v>
          </cell>
          <cell r="M107" t="str">
            <v>Second Class</v>
          </cell>
          <cell r="N107">
            <v>2</v>
          </cell>
          <cell r="O107">
            <v>685</v>
          </cell>
          <cell r="P107">
            <v>0.1</v>
          </cell>
          <cell r="S107">
            <v>226.1</v>
          </cell>
          <cell r="T107" t="str">
            <v>Paid</v>
          </cell>
          <cell r="U107" t="str">
            <v>Completed</v>
          </cell>
        </row>
        <row r="108">
          <cell r="A108" t="str">
            <v>ORD-2024-10107</v>
          </cell>
          <cell r="B108" t="str">
            <v>20-02-2024</v>
          </cell>
          <cell r="C108" t="str">
            <v>28 Feb 2024</v>
          </cell>
          <cell r="D108" t="str">
            <v>CUST-4008</v>
          </cell>
          <cell r="E108" t="str">
            <v>Arjun Bose</v>
          </cell>
          <cell r="F108" t="str">
            <v>Home Office</v>
          </cell>
          <cell r="G108" t="str">
            <v>East</v>
          </cell>
          <cell r="H108" t="str">
            <v>West Bengal</v>
          </cell>
          <cell r="I108" t="str">
            <v>Kolkata</v>
          </cell>
          <cell r="J108" t="str">
            <v>Office Supplies</v>
          </cell>
          <cell r="K108" t="str">
            <v>Paper</v>
          </cell>
          <cell r="L108" t="str">
            <v>Eco Paper 918</v>
          </cell>
          <cell r="M108" t="str">
            <v>Standard Class</v>
          </cell>
          <cell r="N108">
            <v>2</v>
          </cell>
          <cell r="O108">
            <v>4004.04</v>
          </cell>
          <cell r="S108">
            <v>1497.88</v>
          </cell>
          <cell r="T108" t="str">
            <v>Paid</v>
          </cell>
          <cell r="U108" t="str">
            <v>Cancelled</v>
          </cell>
        </row>
        <row r="109">
          <cell r="A109" t="str">
            <v>ORD-2024-10108</v>
          </cell>
          <cell r="B109" t="str">
            <v>29 Oct 2024</v>
          </cell>
          <cell r="C109" t="str">
            <v>2024-11-04</v>
          </cell>
          <cell r="D109" t="str">
            <v>CUST-6604</v>
          </cell>
          <cell r="E109" t="str">
            <v>Rohan Mehta</v>
          </cell>
          <cell r="F109" t="str">
            <v>Home Office</v>
          </cell>
          <cell r="G109" t="str">
            <v>East</v>
          </cell>
          <cell r="H109" t="str">
            <v>West Bengal</v>
          </cell>
          <cell r="I109" t="str">
            <v>Kolkata</v>
          </cell>
          <cell r="J109" t="str">
            <v>Furniture</v>
          </cell>
          <cell r="K109" t="str">
            <v>Furnishings</v>
          </cell>
          <cell r="L109" t="str">
            <v>Prime Furnishings 952</v>
          </cell>
          <cell r="M109" t="str">
            <v>First Class</v>
          </cell>
          <cell r="N109">
            <v>3</v>
          </cell>
          <cell r="O109">
            <v>4302.8900000000003</v>
          </cell>
          <cell r="P109">
            <v>0.05</v>
          </cell>
          <cell r="S109">
            <v>3337.67</v>
          </cell>
          <cell r="T109" t="str">
            <v>Paid</v>
          </cell>
          <cell r="U109" t="str">
            <v>Completed</v>
          </cell>
        </row>
        <row r="110">
          <cell r="A110" t="str">
            <v>ORD-2024-10109</v>
          </cell>
          <cell r="B110" t="str">
            <v>15 Aug 2024</v>
          </cell>
          <cell r="C110" t="str">
            <v>08/23/2024</v>
          </cell>
          <cell r="D110" t="str">
            <v>CUST-4337</v>
          </cell>
          <cell r="E110" t="str">
            <v>Aditi Sen</v>
          </cell>
          <cell r="F110" t="str">
            <v>Small Business</v>
          </cell>
          <cell r="G110" t="str">
            <v>East</v>
          </cell>
          <cell r="H110" t="str">
            <v>Odisha</v>
          </cell>
          <cell r="I110" t="str">
            <v>Bhubaneswar</v>
          </cell>
          <cell r="J110" t="str">
            <v>Furniture</v>
          </cell>
          <cell r="K110" t="str">
            <v>Bookcases</v>
          </cell>
          <cell r="L110" t="str">
            <v>Prime Bookcases 631</v>
          </cell>
          <cell r="M110" t="str">
            <v>Same Day</v>
          </cell>
          <cell r="N110">
            <v>2</v>
          </cell>
          <cell r="O110">
            <v>537.54</v>
          </cell>
          <cell r="P110">
            <v>0.25</v>
          </cell>
          <cell r="S110">
            <v>307.81</v>
          </cell>
          <cell r="T110" t="str">
            <v>Paid</v>
          </cell>
          <cell r="U110" t="str">
            <v>Completed</v>
          </cell>
        </row>
        <row r="111">
          <cell r="A111" t="str">
            <v>ORD-2025-10110</v>
          </cell>
          <cell r="B111" t="str">
            <v>23-08-2025</v>
          </cell>
          <cell r="C111" t="str">
            <v>08/27/2025</v>
          </cell>
          <cell r="D111" t="str">
            <v>CUST-3740</v>
          </cell>
          <cell r="E111" t="str">
            <v>Sneha Kapoor</v>
          </cell>
          <cell r="F111" t="str">
            <v>Consumer</v>
          </cell>
          <cell r="G111" t="str">
            <v>North</v>
          </cell>
          <cell r="H111" t="str">
            <v>Delhi</v>
          </cell>
          <cell r="I111" t="str">
            <v>New Delhi</v>
          </cell>
          <cell r="J111" t="str">
            <v>Office Supplies</v>
          </cell>
          <cell r="K111" t="str">
            <v>Binders</v>
          </cell>
          <cell r="L111" t="str">
            <v>Classic Binders 660</v>
          </cell>
          <cell r="M111" t="str">
            <v>Second Class</v>
          </cell>
          <cell r="N111">
            <v>1</v>
          </cell>
          <cell r="O111">
            <v>2788.62</v>
          </cell>
          <cell r="P111">
            <v>0.25</v>
          </cell>
          <cell r="S111">
            <v>774.25</v>
          </cell>
          <cell r="T111" t="str">
            <v>Paid</v>
          </cell>
          <cell r="U111" t="str">
            <v>Completed</v>
          </cell>
        </row>
        <row r="112">
          <cell r="A112" t="str">
            <v>ORD-2024-10111</v>
          </cell>
          <cell r="B112" t="str">
            <v>10/18/2024</v>
          </cell>
          <cell r="C112" t="str">
            <v>2024-10-24</v>
          </cell>
          <cell r="D112" t="str">
            <v>CUST-7128</v>
          </cell>
          <cell r="E112" t="str">
            <v>Vikram Iyer</v>
          </cell>
          <cell r="F112" t="str">
            <v>Corporate</v>
          </cell>
          <cell r="G112" t="str">
            <v>South</v>
          </cell>
          <cell r="H112" t="str">
            <v>Kerala</v>
          </cell>
          <cell r="I112" t="str">
            <v>Kochi</v>
          </cell>
          <cell r="J112" t="str">
            <v>Office Supplies</v>
          </cell>
          <cell r="K112" t="str">
            <v>Labels</v>
          </cell>
          <cell r="L112" t="str">
            <v>Pro Labels 255</v>
          </cell>
          <cell r="M112" t="str">
            <v>First Class</v>
          </cell>
          <cell r="N112">
            <v>2</v>
          </cell>
          <cell r="O112">
            <v>2250.4699999999998</v>
          </cell>
          <cell r="P112">
            <v>0</v>
          </cell>
          <cell r="S112">
            <v>1893.21</v>
          </cell>
          <cell r="T112" t="str">
            <v>Refunded</v>
          </cell>
          <cell r="U112" t="str">
            <v>Cancelled</v>
          </cell>
        </row>
        <row r="113">
          <cell r="A113" t="str">
            <v>ORD-2025-10112</v>
          </cell>
          <cell r="B113" t="str">
            <v>06/27/2025</v>
          </cell>
          <cell r="C113" t="str">
            <v>2025-06-30</v>
          </cell>
          <cell r="D113" t="str">
            <v>CUST-4743</v>
          </cell>
          <cell r="E113" t="str">
            <v>Neha Gupta</v>
          </cell>
          <cell r="F113" t="str">
            <v>Corporate</v>
          </cell>
          <cell r="G113" t="str">
            <v>East</v>
          </cell>
          <cell r="H113" t="str">
            <v>Bihar</v>
          </cell>
          <cell r="I113" t="str">
            <v>Patna</v>
          </cell>
          <cell r="J113" t="str">
            <v>Technology</v>
          </cell>
          <cell r="K113" t="str">
            <v>Accessories</v>
          </cell>
          <cell r="L113" t="str">
            <v>Basic Accessories 187</v>
          </cell>
          <cell r="M113" t="str">
            <v>First Class</v>
          </cell>
          <cell r="N113">
            <v>1</v>
          </cell>
          <cell r="O113">
            <v>1708.44</v>
          </cell>
          <cell r="P113">
            <v>0.05</v>
          </cell>
          <cell r="S113">
            <v>545.55999999999995</v>
          </cell>
          <cell r="T113" t="str">
            <v>Pending</v>
          </cell>
          <cell r="U113" t="str">
            <v>Cancelled</v>
          </cell>
        </row>
        <row r="114">
          <cell r="A114" t="str">
            <v>ORD-2024-10113</v>
          </cell>
          <cell r="B114" t="str">
            <v>10 Jan 2024</v>
          </cell>
          <cell r="C114" t="str">
            <v>14-01-2024</v>
          </cell>
          <cell r="D114" t="str">
            <v>CUST-5213</v>
          </cell>
          <cell r="E114" t="str">
            <v>Sneha Kapoor</v>
          </cell>
          <cell r="F114" t="str">
            <v>Consumer</v>
          </cell>
          <cell r="H114" t="str">
            <v>Gujarat</v>
          </cell>
          <cell r="I114" t="str">
            <v>Ahmedabad</v>
          </cell>
          <cell r="J114" t="str">
            <v>Technology</v>
          </cell>
          <cell r="K114" t="str">
            <v>Accessories</v>
          </cell>
          <cell r="L114" t="str">
            <v>Max Accessories 451</v>
          </cell>
          <cell r="M114" t="str">
            <v>Standard Class</v>
          </cell>
          <cell r="N114">
            <v>3</v>
          </cell>
          <cell r="O114">
            <v>3829.48</v>
          </cell>
          <cell r="P114">
            <v>0.05</v>
          </cell>
          <cell r="S114">
            <v>4365.28</v>
          </cell>
          <cell r="T114" t="str">
            <v>Paid</v>
          </cell>
          <cell r="U114" t="str">
            <v>Completed</v>
          </cell>
        </row>
        <row r="115">
          <cell r="A115" t="str">
            <v>ORD-2024-10114</v>
          </cell>
          <cell r="B115" t="str">
            <v>12-02-2024</v>
          </cell>
          <cell r="C115" t="str">
            <v>12-02-2024</v>
          </cell>
          <cell r="D115" t="str">
            <v>CUST-4989</v>
          </cell>
          <cell r="E115" t="str">
            <v>Isha Nair</v>
          </cell>
          <cell r="F115" t="str">
            <v>Home Office</v>
          </cell>
          <cell r="G115" t="str">
            <v>South</v>
          </cell>
          <cell r="H115" t="str">
            <v>Tamil Nadu</v>
          </cell>
          <cell r="I115" t="str">
            <v>Chennai</v>
          </cell>
          <cell r="J115" t="str">
            <v>Furniture</v>
          </cell>
          <cell r="K115" t="str">
            <v>Tables</v>
          </cell>
          <cell r="L115" t="str">
            <v>Classic Tables 752</v>
          </cell>
          <cell r="M115" t="str">
            <v>Standard Class</v>
          </cell>
          <cell r="N115">
            <v>3</v>
          </cell>
          <cell r="O115">
            <v>1089.1500000000001</v>
          </cell>
          <cell r="P115">
            <v>0.25</v>
          </cell>
          <cell r="S115">
            <v>810.7</v>
          </cell>
          <cell r="T115" t="str">
            <v>Paid</v>
          </cell>
          <cell r="U115" t="str">
            <v>Completed</v>
          </cell>
        </row>
        <row r="116">
          <cell r="A116" t="str">
            <v>ORD-2024-10115</v>
          </cell>
          <cell r="B116" t="str">
            <v>2024-09-25</v>
          </cell>
          <cell r="C116" t="str">
            <v>30 Sep 2024</v>
          </cell>
          <cell r="D116" t="str">
            <v>CUST-2927</v>
          </cell>
          <cell r="E116" t="str">
            <v>Neha Gupta</v>
          </cell>
          <cell r="F116" t="str">
            <v>Small Business</v>
          </cell>
          <cell r="G116" t="str">
            <v>North</v>
          </cell>
          <cell r="H116" t="str">
            <v>Rajasthan</v>
          </cell>
          <cell r="I116" t="str">
            <v>Jaipur</v>
          </cell>
          <cell r="J116" t="str">
            <v>Technology</v>
          </cell>
          <cell r="K116" t="str">
            <v>Accessories</v>
          </cell>
          <cell r="L116" t="str">
            <v>Eco Accessories 452</v>
          </cell>
          <cell r="M116" t="str">
            <v>Second Class</v>
          </cell>
          <cell r="N116">
            <v>1</v>
          </cell>
          <cell r="O116">
            <v>4388.3999999999996</v>
          </cell>
          <cell r="P116">
            <v>0.1</v>
          </cell>
          <cell r="S116">
            <v>762.83</v>
          </cell>
          <cell r="T116" t="str">
            <v>Pending</v>
          </cell>
          <cell r="U116" t="str">
            <v>Cancelled</v>
          </cell>
        </row>
        <row r="117">
          <cell r="A117" t="str">
            <v>ORD-2024-10116</v>
          </cell>
          <cell r="B117" t="str">
            <v>2024-12-27</v>
          </cell>
          <cell r="C117" t="str">
            <v>01-01-2025</v>
          </cell>
          <cell r="D117" t="str">
            <v>CUST-7764</v>
          </cell>
          <cell r="E117" t="str">
            <v>Kabir Singh</v>
          </cell>
          <cell r="F117" t="str">
            <v>Corporate</v>
          </cell>
          <cell r="G117" t="str">
            <v>South</v>
          </cell>
          <cell r="H117" t="str">
            <v>Tamil Nadu</v>
          </cell>
          <cell r="I117" t="str">
            <v>Chennai</v>
          </cell>
          <cell r="J117" t="str">
            <v>Office Supplies</v>
          </cell>
          <cell r="K117" t="str">
            <v>Binders</v>
          </cell>
          <cell r="L117" t="str">
            <v>Classic Binders 203</v>
          </cell>
          <cell r="M117" t="str">
            <v>Same Day</v>
          </cell>
          <cell r="N117">
            <v>2</v>
          </cell>
          <cell r="O117">
            <v>446.34</v>
          </cell>
          <cell r="P117">
            <v>0.15</v>
          </cell>
          <cell r="S117">
            <v>268.04000000000002</v>
          </cell>
          <cell r="T117" t="str">
            <v>Paid</v>
          </cell>
          <cell r="U117" t="str">
            <v>Cancelled</v>
          </cell>
        </row>
        <row r="118">
          <cell r="A118" t="str">
            <v>ORD-2025-10117</v>
          </cell>
          <cell r="B118" t="str">
            <v>2025-02-15</v>
          </cell>
          <cell r="C118" t="str">
            <v>19 Feb 2025</v>
          </cell>
          <cell r="D118" t="str">
            <v>CUST-3632</v>
          </cell>
          <cell r="E118" t="str">
            <v>Ananya Rao</v>
          </cell>
          <cell r="F118" t="str">
            <v>Small Business</v>
          </cell>
          <cell r="H118" t="str">
            <v>Madhya Pradesh</v>
          </cell>
          <cell r="I118" t="str">
            <v>Indore</v>
          </cell>
          <cell r="J118" t="str">
            <v>Office Supplies</v>
          </cell>
          <cell r="K118" t="str">
            <v>Binders</v>
          </cell>
          <cell r="L118" t="str">
            <v>Basic Binders 859</v>
          </cell>
          <cell r="M118" t="str">
            <v>First Class</v>
          </cell>
          <cell r="N118">
            <v>9</v>
          </cell>
          <cell r="O118">
            <v>531.99</v>
          </cell>
          <cell r="P118">
            <v>0.25</v>
          </cell>
          <cell r="S118">
            <v>529.54</v>
          </cell>
          <cell r="T118" t="str">
            <v>Failed</v>
          </cell>
          <cell r="U118" t="str">
            <v>Cancelled</v>
          </cell>
        </row>
        <row r="119">
          <cell r="A119" t="str">
            <v>ORD-2024-10118</v>
          </cell>
          <cell r="B119" t="str">
            <v>2024-02-15</v>
          </cell>
          <cell r="C119" t="str">
            <v>17 Feb 2024</v>
          </cell>
          <cell r="D119" t="str">
            <v>CUST-9608</v>
          </cell>
          <cell r="E119" t="str">
            <v>Mira Das</v>
          </cell>
          <cell r="F119" t="str">
            <v>Home Office</v>
          </cell>
          <cell r="G119" t="str">
            <v>South</v>
          </cell>
          <cell r="H119" t="str">
            <v>Tamil Nadu</v>
          </cell>
          <cell r="I119" t="str">
            <v>Chennai</v>
          </cell>
          <cell r="J119" t="str">
            <v>Technology</v>
          </cell>
          <cell r="K119" t="str">
            <v>Machines</v>
          </cell>
          <cell r="L119" t="str">
            <v>Elite Machines 705</v>
          </cell>
          <cell r="M119" t="str">
            <v>Standard Class</v>
          </cell>
          <cell r="N119">
            <v>9</v>
          </cell>
          <cell r="O119">
            <v>3324.55</v>
          </cell>
          <cell r="P119" t="str">
            <v>70%</v>
          </cell>
          <cell r="S119">
            <v>5062.6499999999996</v>
          </cell>
          <cell r="T119" t="str">
            <v>Paid</v>
          </cell>
          <cell r="U119" t="str">
            <v>Completed</v>
          </cell>
        </row>
        <row r="120">
          <cell r="A120" t="str">
            <v>ORD-2024-10119</v>
          </cell>
          <cell r="B120" t="str">
            <v>06/10/2024</v>
          </cell>
          <cell r="C120" t="str">
            <v>2024-06-18</v>
          </cell>
          <cell r="D120" t="str">
            <v>CUST-9135</v>
          </cell>
          <cell r="E120" t="str">
            <v>Vikram  Iyer</v>
          </cell>
          <cell r="F120" t="str">
            <v>Home Office</v>
          </cell>
          <cell r="G120" t="str">
            <v>South</v>
          </cell>
          <cell r="H120" t="str">
            <v>Andhra Pradesh</v>
          </cell>
          <cell r="I120" t="str">
            <v>Vijayawada</v>
          </cell>
          <cell r="J120" t="str">
            <v>Technology</v>
          </cell>
          <cell r="K120" t="str">
            <v>Copiers</v>
          </cell>
          <cell r="L120" t="str">
            <v>Pro Copiers 208</v>
          </cell>
          <cell r="M120" t="str">
            <v>Same Day</v>
          </cell>
          <cell r="N120">
            <v>5</v>
          </cell>
          <cell r="O120">
            <v>1580.27</v>
          </cell>
          <cell r="P120">
            <v>0.2</v>
          </cell>
          <cell r="S120">
            <v>1913.86</v>
          </cell>
          <cell r="T120" t="str">
            <v>Paid</v>
          </cell>
          <cell r="U120" t="str">
            <v>Completed</v>
          </cell>
        </row>
        <row r="121">
          <cell r="A121" t="str">
            <v>ORD-2024-10120</v>
          </cell>
          <cell r="B121" t="str">
            <v>12 Jun 2024</v>
          </cell>
          <cell r="C121" t="str">
            <v>19 Jun 2024</v>
          </cell>
          <cell r="D121" t="str">
            <v>CUST-7861</v>
          </cell>
          <cell r="E121" t="str">
            <v>Aditi Sen</v>
          </cell>
          <cell r="F121" t="str">
            <v>Small Business</v>
          </cell>
          <cell r="G121" t="str">
            <v>South</v>
          </cell>
          <cell r="H121" t="str">
            <v>Kerala</v>
          </cell>
          <cell r="I121" t="str">
            <v>Kochi</v>
          </cell>
          <cell r="J121" t="str">
            <v>Furniture</v>
          </cell>
          <cell r="K121" t="str">
            <v>Chairs</v>
          </cell>
          <cell r="L121" t="str">
            <v>Elite Chairs 921</v>
          </cell>
          <cell r="M121" t="str">
            <v>Standard Class</v>
          </cell>
          <cell r="N121">
            <v>8</v>
          </cell>
          <cell r="O121">
            <v>314.05</v>
          </cell>
          <cell r="P121">
            <v>0.25</v>
          </cell>
          <cell r="S121">
            <v>366.61</v>
          </cell>
          <cell r="T121" t="str">
            <v>Refunded</v>
          </cell>
          <cell r="U121" t="str">
            <v>Returned</v>
          </cell>
        </row>
        <row r="122">
          <cell r="A122" t="str">
            <v>ORD-2024-10121</v>
          </cell>
          <cell r="B122" t="str">
            <v>2024-08-10</v>
          </cell>
          <cell r="C122" t="str">
            <v>2024-08-18</v>
          </cell>
          <cell r="D122" t="str">
            <v>CUST-6096</v>
          </cell>
          <cell r="E122" t="str">
            <v>Sneha Kapoor</v>
          </cell>
          <cell r="F122" t="str">
            <v>Small Business</v>
          </cell>
          <cell r="G122" t="str">
            <v>East</v>
          </cell>
          <cell r="H122" t="str">
            <v>Bihar</v>
          </cell>
          <cell r="I122" t="str">
            <v>Patna</v>
          </cell>
          <cell r="J122" t="str">
            <v>Technology</v>
          </cell>
          <cell r="K122" t="str">
            <v>Phones</v>
          </cell>
          <cell r="L122" t="str">
            <v>Prime Phones 540</v>
          </cell>
          <cell r="M122" t="str">
            <v>Standard Class</v>
          </cell>
          <cell r="N122">
            <v>1</v>
          </cell>
          <cell r="O122">
            <v>1823.67</v>
          </cell>
          <cell r="P122">
            <v>0.2</v>
          </cell>
          <cell r="S122">
            <v>565.74</v>
          </cell>
          <cell r="T122" t="str">
            <v>Paid</v>
          </cell>
          <cell r="U122" t="str">
            <v>Returned</v>
          </cell>
        </row>
        <row r="123">
          <cell r="A123" t="str">
            <v>ORD-2025-10122</v>
          </cell>
          <cell r="B123" t="str">
            <v>08/22/2025</v>
          </cell>
          <cell r="C123" t="str">
            <v>08/26/2025</v>
          </cell>
          <cell r="D123" t="str">
            <v>CUST-2044</v>
          </cell>
          <cell r="E123" t="str">
            <v>Kabir Singh</v>
          </cell>
          <cell r="F123" t="str">
            <v>Small  Business</v>
          </cell>
          <cell r="G123" t="str">
            <v>South</v>
          </cell>
          <cell r="H123" t="str">
            <v>Andhra Pradesh</v>
          </cell>
          <cell r="I123" t="str">
            <v>Vijayawada</v>
          </cell>
          <cell r="J123" t="str">
            <v>Technology</v>
          </cell>
          <cell r="K123" t="str">
            <v>Machines</v>
          </cell>
          <cell r="L123" t="str">
            <v>Max Machines 948</v>
          </cell>
          <cell r="M123" t="str">
            <v>Second Class</v>
          </cell>
          <cell r="N123">
            <v>5</v>
          </cell>
          <cell r="O123">
            <v>3482.92</v>
          </cell>
          <cell r="P123">
            <v>0</v>
          </cell>
          <cell r="S123">
            <v>5653.69</v>
          </cell>
          <cell r="T123" t="str">
            <v>Refunded</v>
          </cell>
          <cell r="U123" t="str">
            <v>Cancelled</v>
          </cell>
        </row>
        <row r="124">
          <cell r="A124" t="str">
            <v>ORD-2024-10123</v>
          </cell>
          <cell r="B124" t="str">
            <v>11/30/2024</v>
          </cell>
          <cell r="C124" t="str">
            <v>04-12-2024</v>
          </cell>
          <cell r="D124" t="str">
            <v>CUST-1721</v>
          </cell>
          <cell r="E124" t="str">
            <v>Ananya Rao</v>
          </cell>
          <cell r="F124" t="str">
            <v>Small Business</v>
          </cell>
          <cell r="G124" t="str">
            <v>East</v>
          </cell>
          <cell r="H124" t="str">
            <v>Assam</v>
          </cell>
          <cell r="I124" t="str">
            <v>Guwahati</v>
          </cell>
          <cell r="J124" t="str">
            <v>Furniture</v>
          </cell>
          <cell r="K124" t="str">
            <v>Chairs</v>
          </cell>
          <cell r="L124" t="str">
            <v>Max Chairs 786</v>
          </cell>
          <cell r="M124" t="str">
            <v>Second Class</v>
          </cell>
          <cell r="N124">
            <v>3</v>
          </cell>
          <cell r="O124">
            <v>170.35</v>
          </cell>
          <cell r="P124">
            <v>0</v>
          </cell>
          <cell r="S124">
            <v>143.87</v>
          </cell>
          <cell r="T124" t="str">
            <v>Paid</v>
          </cell>
          <cell r="U124" t="str">
            <v>Completed</v>
          </cell>
        </row>
        <row r="125">
          <cell r="A125" t="str">
            <v>ORD-2024-10124</v>
          </cell>
          <cell r="B125" t="str">
            <v>05/24/2024</v>
          </cell>
          <cell r="C125" t="str">
            <v>25 May 2024</v>
          </cell>
          <cell r="D125" t="str">
            <v>CUST-1007</v>
          </cell>
          <cell r="E125" t="str">
            <v>Sneha Kapoor</v>
          </cell>
          <cell r="F125" t="str">
            <v>Small Business</v>
          </cell>
          <cell r="G125" t="str">
            <v>NORTH</v>
          </cell>
          <cell r="H125" t="str">
            <v>Punjab</v>
          </cell>
          <cell r="I125" t="str">
            <v>Ludhiana</v>
          </cell>
          <cell r="J125" t="str">
            <v>Technology</v>
          </cell>
          <cell r="K125" t="str">
            <v>Copiers</v>
          </cell>
          <cell r="L125" t="str">
            <v>Max Copiers 970</v>
          </cell>
          <cell r="M125" t="str">
            <v>Same Day</v>
          </cell>
          <cell r="N125">
            <v>1</v>
          </cell>
          <cell r="O125">
            <v>634.13</v>
          </cell>
          <cell r="P125">
            <v>0</v>
          </cell>
          <cell r="S125">
            <v>180.78</v>
          </cell>
          <cell r="T125" t="str">
            <v>Refunded</v>
          </cell>
          <cell r="U125" t="str">
            <v>Cancelled</v>
          </cell>
        </row>
        <row r="126">
          <cell r="A126" t="str">
            <v>ORD-2024-10125</v>
          </cell>
          <cell r="B126" t="str">
            <v>21 Jul 2024</v>
          </cell>
          <cell r="C126" t="str">
            <v>07/24/2024</v>
          </cell>
          <cell r="D126" t="str">
            <v>CUST-4450</v>
          </cell>
          <cell r="E126" t="str">
            <v>Isha Nair</v>
          </cell>
          <cell r="F126" t="str">
            <v>Corporate</v>
          </cell>
          <cell r="G126" t="str">
            <v>South</v>
          </cell>
          <cell r="H126" t="str">
            <v>Karnataka</v>
          </cell>
          <cell r="I126" t="str">
            <v>Bengaluru</v>
          </cell>
          <cell r="J126" t="str">
            <v>Technology</v>
          </cell>
          <cell r="K126" t="str">
            <v>Copiers</v>
          </cell>
          <cell r="L126" t="str">
            <v>Pro Copiers 769</v>
          </cell>
          <cell r="M126" t="str">
            <v>Standard Class</v>
          </cell>
          <cell r="N126">
            <v>9</v>
          </cell>
          <cell r="O126">
            <v>465.06</v>
          </cell>
          <cell r="P126">
            <v>-0.15</v>
          </cell>
          <cell r="S126">
            <v>741.8</v>
          </cell>
          <cell r="T126" t="str">
            <v>Paid</v>
          </cell>
          <cell r="U126" t="str">
            <v>Completed</v>
          </cell>
        </row>
        <row r="127">
          <cell r="A127" t="str">
            <v>ORD-2025-10126</v>
          </cell>
          <cell r="B127" t="str">
            <v>2025-07-17</v>
          </cell>
          <cell r="C127" t="str">
            <v>18-07-2025</v>
          </cell>
          <cell r="D127" t="str">
            <v>CUST-7924</v>
          </cell>
          <cell r="E127" t="str">
            <v>Neha Gupta</v>
          </cell>
          <cell r="F127" t="str">
            <v>Small Business</v>
          </cell>
          <cell r="G127" t="str">
            <v>West</v>
          </cell>
          <cell r="H127" t="str">
            <v>Rajasthan</v>
          </cell>
          <cell r="I127" t="str">
            <v>Udaipur</v>
          </cell>
          <cell r="J127" t="str">
            <v>Furniture</v>
          </cell>
          <cell r="K127" t="str">
            <v>Tables</v>
          </cell>
          <cell r="L127" t="str">
            <v>Basic Tables 753</v>
          </cell>
          <cell r="M127" t="str">
            <v>Same Day</v>
          </cell>
          <cell r="N127">
            <v>6</v>
          </cell>
          <cell r="O127">
            <v>3235.27</v>
          </cell>
          <cell r="P127">
            <v>0.25</v>
          </cell>
          <cell r="S127">
            <v>4967.24</v>
          </cell>
          <cell r="T127" t="str">
            <v>Refunded</v>
          </cell>
          <cell r="U127" t="str">
            <v>Returned</v>
          </cell>
        </row>
        <row r="128">
          <cell r="A128" t="str">
            <v>ORD-2025-10127</v>
          </cell>
          <cell r="B128" t="str">
            <v>24-09-2025</v>
          </cell>
          <cell r="C128" t="str">
            <v>26 Sep 2025</v>
          </cell>
          <cell r="D128" t="str">
            <v>CUST-1715</v>
          </cell>
          <cell r="E128" t="str">
            <v>Priya Menon</v>
          </cell>
          <cell r="F128" t="str">
            <v>Corporate</v>
          </cell>
          <cell r="G128" t="str">
            <v>North</v>
          </cell>
          <cell r="H128" t="str">
            <v>Delhi</v>
          </cell>
          <cell r="I128" t="str">
            <v>New Delhi</v>
          </cell>
          <cell r="J128" t="str">
            <v>Technology</v>
          </cell>
          <cell r="K128" t="str">
            <v>Copiers</v>
          </cell>
          <cell r="L128" t="str">
            <v>Prime Copiers 651</v>
          </cell>
          <cell r="M128" t="str">
            <v>Standard Class</v>
          </cell>
          <cell r="N128">
            <v>3</v>
          </cell>
          <cell r="O128">
            <v>1593.86</v>
          </cell>
          <cell r="P128">
            <v>0.1</v>
          </cell>
          <cell r="S128">
            <v>1734.85</v>
          </cell>
          <cell r="T128" t="str">
            <v>Paid</v>
          </cell>
          <cell r="U128" t="str">
            <v>Completed</v>
          </cell>
        </row>
        <row r="129">
          <cell r="A129" t="str">
            <v>ORD-2025-10128</v>
          </cell>
          <cell r="B129" t="str">
            <v>01/30/2025</v>
          </cell>
          <cell r="C129" t="str">
            <v>26-01-2025</v>
          </cell>
          <cell r="D129" t="str">
            <v>CUST-6802</v>
          </cell>
          <cell r="E129" t="str">
            <v>Priya Menon</v>
          </cell>
          <cell r="F129" t="str">
            <v>Corporate</v>
          </cell>
          <cell r="G129" t="str">
            <v>West</v>
          </cell>
          <cell r="H129" t="str">
            <v>Madhya Pradesh</v>
          </cell>
          <cell r="I129" t="str">
            <v>Indore</v>
          </cell>
          <cell r="J129" t="str">
            <v>Office Supplies</v>
          </cell>
          <cell r="K129" t="str">
            <v>Storage</v>
          </cell>
          <cell r="L129" t="str">
            <v>Basic Storage 321</v>
          </cell>
          <cell r="M129" t="str">
            <v>Second Class</v>
          </cell>
          <cell r="N129">
            <v>2</v>
          </cell>
          <cell r="O129">
            <v>3039.3</v>
          </cell>
          <cell r="P129">
            <v>0.05</v>
          </cell>
          <cell r="S129">
            <v>2256.31</v>
          </cell>
          <cell r="T129" t="str">
            <v>Paid</v>
          </cell>
          <cell r="U129" t="str">
            <v>Completed</v>
          </cell>
        </row>
        <row r="130">
          <cell r="A130" t="str">
            <v>ORD-2024-10129</v>
          </cell>
          <cell r="B130" t="str">
            <v>13 Dec 2024</v>
          </cell>
          <cell r="C130" t="str">
            <v>16 Dec 2024</v>
          </cell>
          <cell r="D130" t="str">
            <v>CUST-9328</v>
          </cell>
          <cell r="E130" t="str">
            <v>Neha Gupta</v>
          </cell>
          <cell r="F130" t="str">
            <v>Small Business</v>
          </cell>
          <cell r="G130" t="str">
            <v>East</v>
          </cell>
          <cell r="H130" t="str">
            <v>Odisha</v>
          </cell>
          <cell r="I130" t="str">
            <v>Bhubaneswar</v>
          </cell>
          <cell r="J130" t="str">
            <v>Furniture</v>
          </cell>
          <cell r="K130" t="str">
            <v>Furnishings</v>
          </cell>
          <cell r="L130" t="str">
            <v>Prime Furnishings 710</v>
          </cell>
          <cell r="M130" t="str">
            <v>Standard Class</v>
          </cell>
          <cell r="N130">
            <v>5</v>
          </cell>
          <cell r="O130">
            <v>923.45</v>
          </cell>
          <cell r="P130">
            <v>0.05</v>
          </cell>
          <cell r="S130">
            <v>1019.51</v>
          </cell>
          <cell r="T130" t="str">
            <v>Paid</v>
          </cell>
          <cell r="U130" t="str">
            <v>Returned</v>
          </cell>
        </row>
        <row r="131">
          <cell r="A131" t="str">
            <v>ORD-2024-10130</v>
          </cell>
          <cell r="B131" t="str">
            <v>2024-07-19</v>
          </cell>
          <cell r="C131" t="str">
            <v>25-07-2024</v>
          </cell>
          <cell r="D131" t="str">
            <v>CUST-2588</v>
          </cell>
          <cell r="E131" t="str">
            <v>Isha Nair</v>
          </cell>
          <cell r="F131" t="str">
            <v>Small Business</v>
          </cell>
          <cell r="G131" t="str">
            <v>West</v>
          </cell>
          <cell r="H131" t="str">
            <v>Goa</v>
          </cell>
          <cell r="I131" t="str">
            <v>Panaji</v>
          </cell>
          <cell r="J131" t="str">
            <v>Office Supplies</v>
          </cell>
          <cell r="K131" t="str">
            <v>Binders</v>
          </cell>
          <cell r="L131" t="str">
            <v>Elite Binders 723</v>
          </cell>
          <cell r="M131" t="str">
            <v>Standard Class</v>
          </cell>
          <cell r="N131">
            <v>7</v>
          </cell>
          <cell r="O131">
            <v>2741.29</v>
          </cell>
          <cell r="P131">
            <v>0.05</v>
          </cell>
          <cell r="S131">
            <v>3090.43</v>
          </cell>
          <cell r="T131" t="str">
            <v>Paid</v>
          </cell>
          <cell r="U131" t="str">
            <v>Completed</v>
          </cell>
        </row>
        <row r="132">
          <cell r="A132" t="str">
            <v>ORD-2024-10131</v>
          </cell>
          <cell r="B132" t="str">
            <v>2024-01-27</v>
          </cell>
          <cell r="C132" t="str">
            <v>02 Feb 2024</v>
          </cell>
          <cell r="D132" t="str">
            <v>CUST-5435</v>
          </cell>
          <cell r="E132" t="str">
            <v>Arjun Bose</v>
          </cell>
          <cell r="F132" t="str">
            <v>Consumer</v>
          </cell>
          <cell r="G132" t="str">
            <v>West</v>
          </cell>
          <cell r="H132" t="str">
            <v>Gujarat</v>
          </cell>
          <cell r="I132" t="str">
            <v>Ahmedabad</v>
          </cell>
          <cell r="J132" t="str">
            <v>Office Supplies</v>
          </cell>
          <cell r="K132" t="str">
            <v>Labels</v>
          </cell>
          <cell r="L132" t="str">
            <v>Smart Labels 878</v>
          </cell>
          <cell r="M132" t="str">
            <v>Same Day</v>
          </cell>
          <cell r="N132">
            <v>5</v>
          </cell>
          <cell r="O132">
            <v>218.42</v>
          </cell>
          <cell r="P132">
            <v>0.2</v>
          </cell>
          <cell r="S132">
            <v>211.96</v>
          </cell>
          <cell r="T132" t="str">
            <v>Pending</v>
          </cell>
          <cell r="U132" t="str">
            <v>Cancelled</v>
          </cell>
        </row>
        <row r="133">
          <cell r="A133" t="str">
            <v>ORD-2025-10132</v>
          </cell>
          <cell r="B133" t="str">
            <v>09/29/2025</v>
          </cell>
          <cell r="C133" t="str">
            <v>2025-10-04</v>
          </cell>
          <cell r="D133" t="str">
            <v>CUST-7637</v>
          </cell>
          <cell r="E133" t="str">
            <v>Ananya Rao</v>
          </cell>
          <cell r="F133" t="str">
            <v>Home Office</v>
          </cell>
          <cell r="G133" t="str">
            <v>East</v>
          </cell>
          <cell r="H133" t="str">
            <v>Jharkhand</v>
          </cell>
          <cell r="I133" t="str">
            <v>Ranchi</v>
          </cell>
          <cell r="J133" t="str">
            <v>Office Supplies</v>
          </cell>
          <cell r="K133" t="str">
            <v>Paper</v>
          </cell>
          <cell r="L133" t="str">
            <v>Pro Paper 934</v>
          </cell>
          <cell r="M133" t="str">
            <v>Same Day</v>
          </cell>
          <cell r="N133">
            <v>9</v>
          </cell>
          <cell r="O133">
            <v>373.91</v>
          </cell>
          <cell r="P133">
            <v>0.2</v>
          </cell>
          <cell r="S133">
            <v>647.66</v>
          </cell>
          <cell r="T133" t="str">
            <v>Paid</v>
          </cell>
          <cell r="U133" t="str">
            <v>Completed</v>
          </cell>
        </row>
        <row r="134">
          <cell r="A134" t="str">
            <v>ORD-2024-10133</v>
          </cell>
          <cell r="B134" t="str">
            <v>04 Nov 2024</v>
          </cell>
          <cell r="C134" t="str">
            <v>04 Nov 2024</v>
          </cell>
          <cell r="D134" t="str">
            <v>CUST-3602</v>
          </cell>
          <cell r="E134" t="str">
            <v>Kabir Singh</v>
          </cell>
          <cell r="F134" t="str">
            <v>Corporate</v>
          </cell>
          <cell r="G134" t="str">
            <v>East</v>
          </cell>
          <cell r="H134" t="str">
            <v>Assam</v>
          </cell>
          <cell r="I134" t="str">
            <v>Guwahati</v>
          </cell>
          <cell r="J134" t="str">
            <v>Technology</v>
          </cell>
          <cell r="K134" t="str">
            <v>Machines</v>
          </cell>
          <cell r="L134" t="str">
            <v>Classic Machines 886</v>
          </cell>
          <cell r="M134" t="str">
            <v>First Class</v>
          </cell>
          <cell r="N134">
            <v>2</v>
          </cell>
          <cell r="O134">
            <v>533.08000000000004</v>
          </cell>
          <cell r="P134">
            <v>0</v>
          </cell>
          <cell r="S134">
            <v>409.86</v>
          </cell>
          <cell r="T134" t="str">
            <v>Failed</v>
          </cell>
          <cell r="U134" t="str">
            <v>Cancelled</v>
          </cell>
        </row>
        <row r="135">
          <cell r="A135" t="str">
            <v>ORD-2024-10134</v>
          </cell>
          <cell r="B135" t="str">
            <v>2024-12-13</v>
          </cell>
          <cell r="C135" t="str">
            <v>12/18/2024</v>
          </cell>
          <cell r="D135" t="str">
            <v>CUST-9441</v>
          </cell>
          <cell r="E135" t="str">
            <v>Karan Malhotra</v>
          </cell>
          <cell r="F135" t="str">
            <v>Consumer</v>
          </cell>
          <cell r="G135" t="str">
            <v>West</v>
          </cell>
          <cell r="H135" t="str">
            <v>Goa</v>
          </cell>
          <cell r="I135" t="str">
            <v>Panaji</v>
          </cell>
          <cell r="J135" t="str">
            <v>Technology</v>
          </cell>
          <cell r="K135" t="str">
            <v>Phones</v>
          </cell>
          <cell r="L135" t="str">
            <v>Prime Phones 419</v>
          </cell>
          <cell r="M135" t="str">
            <v>Second Class</v>
          </cell>
          <cell r="N135">
            <v>8</v>
          </cell>
          <cell r="O135">
            <v>3372.15</v>
          </cell>
          <cell r="P135">
            <v>0.15</v>
          </cell>
          <cell r="S135">
            <v>6055.07</v>
          </cell>
          <cell r="T135" t="str">
            <v>Paid</v>
          </cell>
          <cell r="U135" t="str">
            <v>Completed</v>
          </cell>
        </row>
        <row r="136">
          <cell r="A136" t="str">
            <v>ORD-2025-10135</v>
          </cell>
          <cell r="B136" t="str">
            <v>07/14/2025</v>
          </cell>
          <cell r="C136" t="str">
            <v>2025-07-14</v>
          </cell>
          <cell r="D136" t="str">
            <v>CUST-7361</v>
          </cell>
          <cell r="E136" t="str">
            <v>Vikram Iyer</v>
          </cell>
          <cell r="F136" t="str">
            <v>Home Office</v>
          </cell>
          <cell r="G136" t="str">
            <v>East</v>
          </cell>
          <cell r="H136" t="str">
            <v>West Bengal</v>
          </cell>
          <cell r="I136" t="str">
            <v>Kolkata</v>
          </cell>
          <cell r="J136" t="str">
            <v>Furniture</v>
          </cell>
          <cell r="K136" t="str">
            <v>Bookcases</v>
          </cell>
          <cell r="L136" t="str">
            <v>Elite Bookcases 266</v>
          </cell>
          <cell r="N136">
            <v>5</v>
          </cell>
          <cell r="O136">
            <v>383.1</v>
          </cell>
          <cell r="P136">
            <v>0.25</v>
          </cell>
          <cell r="S136">
            <v>524.1</v>
          </cell>
          <cell r="T136" t="str">
            <v>Pending</v>
          </cell>
          <cell r="U136" t="str">
            <v>Cancelled</v>
          </cell>
        </row>
        <row r="137">
          <cell r="A137" t="str">
            <v>ORD-2025-10136</v>
          </cell>
          <cell r="B137" t="str">
            <v>2025-08-24</v>
          </cell>
          <cell r="C137" t="str">
            <v>2025-08-24</v>
          </cell>
          <cell r="D137" t="str">
            <v>CUST-1148</v>
          </cell>
          <cell r="E137" t="str">
            <v>Diya Patel</v>
          </cell>
          <cell r="F137" t="str">
            <v>Small Business</v>
          </cell>
          <cell r="G137" t="str">
            <v>South</v>
          </cell>
          <cell r="H137" t="str">
            <v>Kerala</v>
          </cell>
          <cell r="I137" t="str">
            <v>Kochi</v>
          </cell>
          <cell r="J137" t="str">
            <v>Furniture</v>
          </cell>
          <cell r="K137" t="str">
            <v>Bookcases</v>
          </cell>
          <cell r="L137" t="str">
            <v>Prime Bookcases 954</v>
          </cell>
          <cell r="M137" t="str">
            <v>Standard Class</v>
          </cell>
          <cell r="N137">
            <v>1</v>
          </cell>
          <cell r="O137">
            <v>3424.78</v>
          </cell>
          <cell r="P137">
            <v>0</v>
          </cell>
          <cell r="S137">
            <v>1473.33</v>
          </cell>
          <cell r="T137" t="str">
            <v>Paid</v>
          </cell>
          <cell r="U137" t="str">
            <v>Completed</v>
          </cell>
        </row>
        <row r="138">
          <cell r="A138" t="str">
            <v>ORD-2025-10137</v>
          </cell>
          <cell r="B138" t="str">
            <v>09-02-2025</v>
          </cell>
          <cell r="C138" t="str">
            <v>15-02-2025</v>
          </cell>
          <cell r="D138" t="str">
            <v>CUST-3350</v>
          </cell>
          <cell r="E138" t="str">
            <v>Mira Das</v>
          </cell>
          <cell r="F138" t="str">
            <v>Home Office</v>
          </cell>
          <cell r="G138" t="str">
            <v>East</v>
          </cell>
          <cell r="H138" t="str">
            <v>Jharkhand</v>
          </cell>
          <cell r="I138" t="str">
            <v>Ranchi</v>
          </cell>
          <cell r="J138" t="str">
            <v>Office Supplies</v>
          </cell>
          <cell r="K138" t="str">
            <v>Binders</v>
          </cell>
          <cell r="L138" t="str">
            <v>Max Binders 362</v>
          </cell>
          <cell r="M138" t="str">
            <v>Standard  Class</v>
          </cell>
          <cell r="N138">
            <v>9</v>
          </cell>
          <cell r="O138">
            <v>4330.33</v>
          </cell>
          <cell r="P138">
            <v>0.2</v>
          </cell>
          <cell r="S138">
            <v>9757.2900000000009</v>
          </cell>
          <cell r="T138" t="str">
            <v>Paid</v>
          </cell>
          <cell r="U138" t="str">
            <v>Completed</v>
          </cell>
        </row>
        <row r="139">
          <cell r="A139" t="str">
            <v>ORD-2025-10138</v>
          </cell>
          <cell r="B139" t="str">
            <v>01/09/2025</v>
          </cell>
          <cell r="C139" t="str">
            <v>2025-01-09</v>
          </cell>
          <cell r="D139" t="str">
            <v>CUST-7932</v>
          </cell>
          <cell r="E139" t="str">
            <v>Sneha Kapoor</v>
          </cell>
          <cell r="F139" t="str">
            <v>Small Business</v>
          </cell>
          <cell r="G139" t="str">
            <v>North</v>
          </cell>
          <cell r="H139" t="str">
            <v>Rajasthan</v>
          </cell>
          <cell r="I139" t="str">
            <v>Jaipur</v>
          </cell>
          <cell r="J139" t="str">
            <v>Furniture</v>
          </cell>
          <cell r="K139" t="str">
            <v>Chairs</v>
          </cell>
          <cell r="L139" t="str">
            <v>Prime Chairs 261</v>
          </cell>
          <cell r="M139" t="str">
            <v>Same Day</v>
          </cell>
          <cell r="N139">
            <v>8</v>
          </cell>
          <cell r="O139">
            <v>2667.07</v>
          </cell>
          <cell r="P139">
            <v>0.1</v>
          </cell>
          <cell r="S139">
            <v>3676.28</v>
          </cell>
          <cell r="T139" t="str">
            <v>Paid</v>
          </cell>
          <cell r="U139" t="str">
            <v>Completed</v>
          </cell>
        </row>
        <row r="140">
          <cell r="A140" t="str">
            <v>ORD-2024-10139</v>
          </cell>
          <cell r="B140" t="str">
            <v>2024-01-20</v>
          </cell>
          <cell r="C140" t="str">
            <v>26-01-2024</v>
          </cell>
          <cell r="D140" t="str">
            <v>CUST-7173</v>
          </cell>
          <cell r="E140" t="str">
            <v>Diya Patel</v>
          </cell>
          <cell r="F140" t="str">
            <v>Home Office</v>
          </cell>
          <cell r="G140" t="str">
            <v>East</v>
          </cell>
          <cell r="H140" t="str">
            <v>Jharkhand</v>
          </cell>
          <cell r="I140" t="str">
            <v>Ranchi</v>
          </cell>
          <cell r="J140" t="str">
            <v>Technology</v>
          </cell>
          <cell r="K140" t="str">
            <v>Machines</v>
          </cell>
          <cell r="L140" t="str">
            <v>Basic Machines 185</v>
          </cell>
          <cell r="M140" t="str">
            <v>Standard Class</v>
          </cell>
          <cell r="N140">
            <v>8</v>
          </cell>
          <cell r="O140">
            <v>4003.05</v>
          </cell>
          <cell r="P140">
            <v>0.25</v>
          </cell>
          <cell r="S140">
            <v>9947.52</v>
          </cell>
          <cell r="T140" t="str">
            <v>Paid</v>
          </cell>
          <cell r="U140" t="str">
            <v>Completed</v>
          </cell>
        </row>
        <row r="141">
          <cell r="A141" t="str">
            <v>ORD-2025-10140</v>
          </cell>
          <cell r="B141" t="str">
            <v>03/02/2025</v>
          </cell>
          <cell r="C141" t="str">
            <v>07-03-2025</v>
          </cell>
          <cell r="D141" t="str">
            <v>CUST-4225</v>
          </cell>
          <cell r="E141" t="str">
            <v>Neha Gupta</v>
          </cell>
          <cell r="F141" t="str">
            <v>Home Office</v>
          </cell>
          <cell r="G141" t="str">
            <v>South</v>
          </cell>
          <cell r="H141" t="str">
            <v>Karnataka</v>
          </cell>
          <cell r="I141" t="str">
            <v>Bengaluru</v>
          </cell>
          <cell r="J141" t="str">
            <v>Office Supplies</v>
          </cell>
          <cell r="K141" t="str">
            <v>Labels</v>
          </cell>
          <cell r="L141" t="str">
            <v>Basic Labels 509</v>
          </cell>
          <cell r="M141" t="str">
            <v>Standard Class</v>
          </cell>
          <cell r="N141">
            <v>8</v>
          </cell>
          <cell r="O141">
            <v>1287.6300000000001</v>
          </cell>
          <cell r="P141">
            <v>0</v>
          </cell>
          <cell r="S141">
            <v>3736.98</v>
          </cell>
          <cell r="T141" t="str">
            <v>Paid</v>
          </cell>
          <cell r="U141" t="str">
            <v>Completed</v>
          </cell>
        </row>
        <row r="142">
          <cell r="A142" t="str">
            <v>ORD-2024-10141</v>
          </cell>
          <cell r="B142" t="str">
            <v>31-05-2024</v>
          </cell>
          <cell r="C142" t="str">
            <v>01 Jun 2024</v>
          </cell>
          <cell r="D142" t="str">
            <v>CUST-2149</v>
          </cell>
          <cell r="E142" t="str">
            <v>Mira Das</v>
          </cell>
          <cell r="F142" t="str">
            <v>Corporate</v>
          </cell>
          <cell r="G142" t="str">
            <v>South</v>
          </cell>
          <cell r="H142" t="str">
            <v>Karnataka</v>
          </cell>
          <cell r="I142" t="str">
            <v>Bengaluru</v>
          </cell>
          <cell r="J142" t="str">
            <v>Furniture</v>
          </cell>
          <cell r="K142" t="str">
            <v>Bookcases</v>
          </cell>
          <cell r="L142" t="str">
            <v>Elite Bookcases 696</v>
          </cell>
          <cell r="M142" t="str">
            <v>Same Day</v>
          </cell>
          <cell r="N142">
            <v>3</v>
          </cell>
          <cell r="O142">
            <v>2914.55</v>
          </cell>
          <cell r="P142">
            <v>0</v>
          </cell>
          <cell r="S142">
            <v>2139.89</v>
          </cell>
          <cell r="T142" t="str">
            <v>Paid</v>
          </cell>
          <cell r="U142" t="str">
            <v>Completed</v>
          </cell>
        </row>
        <row r="143">
          <cell r="A143" t="str">
            <v>ORD-2024-10142</v>
          </cell>
          <cell r="B143" t="str">
            <v>03/23/2024</v>
          </cell>
          <cell r="C143" t="str">
            <v>2024-03-29</v>
          </cell>
          <cell r="D143" t="str">
            <v>CUST-3314</v>
          </cell>
          <cell r="E143" t="str">
            <v>Priya Menon</v>
          </cell>
          <cell r="F143" t="str">
            <v>Corporate</v>
          </cell>
          <cell r="G143" t="str">
            <v>North</v>
          </cell>
          <cell r="H143" t="str">
            <v>Delhi</v>
          </cell>
          <cell r="I143" t="str">
            <v>New Delhi</v>
          </cell>
          <cell r="J143" t="str">
            <v>Furniture</v>
          </cell>
          <cell r="K143" t="str">
            <v>Bookcases</v>
          </cell>
          <cell r="L143" t="str">
            <v>Elite Bookcases 772</v>
          </cell>
          <cell r="M143" t="str">
            <v>Same Day</v>
          </cell>
          <cell r="N143">
            <v>7</v>
          </cell>
          <cell r="O143">
            <v>634.29</v>
          </cell>
          <cell r="P143">
            <v>0.1</v>
          </cell>
          <cell r="S143">
            <v>1136.52</v>
          </cell>
          <cell r="T143" t="str">
            <v>Paid</v>
          </cell>
          <cell r="U143" t="str">
            <v>Returned</v>
          </cell>
        </row>
        <row r="144">
          <cell r="A144" t="str">
            <v>ORD-2024-10143</v>
          </cell>
          <cell r="B144" t="str">
            <v>30 Mar 2024</v>
          </cell>
          <cell r="C144" t="str">
            <v>26 Mar 2024</v>
          </cell>
          <cell r="D144" t="str">
            <v>CUST-8944</v>
          </cell>
          <cell r="E144" t="str">
            <v>Aditi Sen</v>
          </cell>
          <cell r="F144" t="str">
            <v>Home Office</v>
          </cell>
          <cell r="G144" t="str">
            <v>North</v>
          </cell>
          <cell r="H144" t="str">
            <v>Rajasthan</v>
          </cell>
          <cell r="I144" t="str">
            <v>Jaipur</v>
          </cell>
          <cell r="J144" t="str">
            <v>Technology</v>
          </cell>
          <cell r="K144" t="str">
            <v>Phones</v>
          </cell>
          <cell r="L144" t="str">
            <v>Classic Phones 142</v>
          </cell>
          <cell r="M144" t="str">
            <v>Second Class</v>
          </cell>
          <cell r="N144">
            <v>5</v>
          </cell>
          <cell r="O144">
            <v>907.54</v>
          </cell>
          <cell r="P144">
            <v>0.15</v>
          </cell>
          <cell r="S144">
            <v>1087.78</v>
          </cell>
          <cell r="T144" t="str">
            <v>Paid</v>
          </cell>
          <cell r="U144" t="str">
            <v>Completed</v>
          </cell>
        </row>
        <row r="145">
          <cell r="A145" t="str">
            <v>ORD-2024-10144</v>
          </cell>
          <cell r="B145" t="str">
            <v>03/24/2024</v>
          </cell>
          <cell r="C145" t="str">
            <v>2024-03-26</v>
          </cell>
          <cell r="D145" t="str">
            <v>CUST-3144</v>
          </cell>
          <cell r="E145" t="str">
            <v>Priya Menon</v>
          </cell>
          <cell r="F145" t="str">
            <v>Consumer</v>
          </cell>
          <cell r="G145" t="str">
            <v>West</v>
          </cell>
          <cell r="H145" t="str">
            <v>Gujarat</v>
          </cell>
          <cell r="I145" t="str">
            <v>Ahmedabad</v>
          </cell>
          <cell r="J145" t="str">
            <v>Office Supplies</v>
          </cell>
          <cell r="K145" t="str">
            <v>Paper</v>
          </cell>
          <cell r="L145" t="str">
            <v>Pro Paper 575</v>
          </cell>
          <cell r="M145" t="str">
            <v>Second Class</v>
          </cell>
          <cell r="N145">
            <v>1</v>
          </cell>
          <cell r="O145">
            <v>3409.5</v>
          </cell>
          <cell r="P145">
            <v>0.1</v>
          </cell>
          <cell r="S145">
            <v>1152.3900000000001</v>
          </cell>
          <cell r="T145" t="str">
            <v>Paid</v>
          </cell>
          <cell r="U145" t="str">
            <v>Returned</v>
          </cell>
        </row>
        <row r="146">
          <cell r="A146" t="str">
            <v>ORD-2024-10145</v>
          </cell>
          <cell r="B146" t="str">
            <v>07-06-2024</v>
          </cell>
          <cell r="C146" t="str">
            <v>2024-06-15</v>
          </cell>
          <cell r="D146" t="str">
            <v>CUST-6747</v>
          </cell>
          <cell r="E146" t="str">
            <v>Kabir Singh</v>
          </cell>
          <cell r="F146" t="str">
            <v>Small Business</v>
          </cell>
          <cell r="G146" t="str">
            <v>South</v>
          </cell>
          <cell r="H146" t="str">
            <v>Telangana</v>
          </cell>
          <cell r="I146" t="str">
            <v>Hyderabad</v>
          </cell>
          <cell r="J146" t="str">
            <v>Technology</v>
          </cell>
          <cell r="K146" t="str">
            <v>Accessories</v>
          </cell>
          <cell r="L146" t="str">
            <v>Elite Accessories 905</v>
          </cell>
          <cell r="M146" t="str">
            <v>First Class</v>
          </cell>
          <cell r="N146">
            <v>7</v>
          </cell>
          <cell r="O146">
            <v>2147.9899999999998</v>
          </cell>
          <cell r="P146">
            <v>0.25</v>
          </cell>
          <cell r="S146">
            <v>4368.1899999999996</v>
          </cell>
          <cell r="T146" t="str">
            <v>Refunded</v>
          </cell>
          <cell r="U146" t="str">
            <v>Returned</v>
          </cell>
        </row>
        <row r="147">
          <cell r="A147" t="str">
            <v>ORD-2025-10146</v>
          </cell>
          <cell r="B147" t="str">
            <v>11-04-2025</v>
          </cell>
          <cell r="C147" t="str">
            <v>04/13/2025</v>
          </cell>
          <cell r="D147" t="str">
            <v>CUST-6161</v>
          </cell>
          <cell r="E147" t="str">
            <v>Mira Das</v>
          </cell>
          <cell r="F147" t="str">
            <v>Small Business</v>
          </cell>
          <cell r="G147" t="str">
            <v>West</v>
          </cell>
          <cell r="H147" t="str">
            <v>Goa</v>
          </cell>
          <cell r="I147" t="str">
            <v>Panaji</v>
          </cell>
          <cell r="J147" t="str">
            <v>Office Supplies</v>
          </cell>
          <cell r="K147" t="str">
            <v>Paper</v>
          </cell>
          <cell r="L147" t="str">
            <v>Smart Paper 899</v>
          </cell>
          <cell r="M147" t="str">
            <v>Standard Class</v>
          </cell>
          <cell r="N147">
            <v>4</v>
          </cell>
          <cell r="O147">
            <v>4182.1499999999996</v>
          </cell>
          <cell r="P147">
            <v>0.1</v>
          </cell>
          <cell r="S147">
            <v>5246.91</v>
          </cell>
          <cell r="T147" t="str">
            <v>Paid</v>
          </cell>
          <cell r="U147" t="str">
            <v>Completed</v>
          </cell>
        </row>
        <row r="148">
          <cell r="A148" t="str">
            <v>ORD-2025-10147</v>
          </cell>
          <cell r="B148" t="str">
            <v>30 Jul 2025</v>
          </cell>
          <cell r="C148" t="str">
            <v>08/01/2025</v>
          </cell>
          <cell r="D148" t="str">
            <v>CUST-1460</v>
          </cell>
          <cell r="E148" t="str">
            <v>Sneha Kapoor</v>
          </cell>
          <cell r="F148" t="str">
            <v>Small Business</v>
          </cell>
          <cell r="G148" t="str">
            <v>South</v>
          </cell>
          <cell r="H148" t="str">
            <v>Tamil Nadu</v>
          </cell>
          <cell r="I148" t="str">
            <v>Chennai</v>
          </cell>
          <cell r="J148" t="str">
            <v>Office Supplies</v>
          </cell>
          <cell r="K148" t="str">
            <v>Storage</v>
          </cell>
          <cell r="L148" t="str">
            <v>Classic Storage 423</v>
          </cell>
          <cell r="M148" t="str">
            <v>Same Day</v>
          </cell>
          <cell r="N148">
            <v>9</v>
          </cell>
          <cell r="O148">
            <v>3165.43</v>
          </cell>
          <cell r="P148">
            <v>0.1</v>
          </cell>
          <cell r="S148">
            <v>4004.9</v>
          </cell>
          <cell r="T148" t="str">
            <v>Paid</v>
          </cell>
          <cell r="U148" t="str">
            <v>Completed</v>
          </cell>
        </row>
        <row r="149">
          <cell r="A149" t="str">
            <v>ORD-2024-10148</v>
          </cell>
          <cell r="B149" t="str">
            <v>23-12-2024</v>
          </cell>
          <cell r="C149" t="str">
            <v>2024-12-30</v>
          </cell>
          <cell r="D149" t="str">
            <v>CUST-2692</v>
          </cell>
          <cell r="E149" t="str">
            <v>Priya Menon</v>
          </cell>
          <cell r="F149" t="str">
            <v>Home Office</v>
          </cell>
          <cell r="G149" t="str">
            <v>West</v>
          </cell>
          <cell r="H149" t="str">
            <v>Goa</v>
          </cell>
          <cell r="I149" t="str">
            <v>Panaji</v>
          </cell>
          <cell r="J149" t="str">
            <v>Furniture</v>
          </cell>
          <cell r="K149" t="str">
            <v>Furnishings</v>
          </cell>
          <cell r="L149" t="str">
            <v>Classic Furnishings 743</v>
          </cell>
          <cell r="M149" t="str">
            <v>First Class</v>
          </cell>
          <cell r="N149">
            <v>8</v>
          </cell>
          <cell r="O149">
            <v>386.1</v>
          </cell>
          <cell r="P149">
            <v>0.1</v>
          </cell>
          <cell r="S149">
            <v>1035.8699999999999</v>
          </cell>
          <cell r="T149" t="str">
            <v>Paid</v>
          </cell>
          <cell r="U149" t="str">
            <v>Completed</v>
          </cell>
        </row>
        <row r="150">
          <cell r="A150" t="str">
            <v>ORD-2025-10149</v>
          </cell>
          <cell r="B150" t="str">
            <v>09 Feb 2025</v>
          </cell>
          <cell r="C150" t="str">
            <v>13-02-2025</v>
          </cell>
          <cell r="D150" t="str">
            <v>CUST-2822</v>
          </cell>
          <cell r="E150" t="str">
            <v>Mira Das</v>
          </cell>
          <cell r="F150" t="str">
            <v>Home Office</v>
          </cell>
          <cell r="G150" t="str">
            <v>West</v>
          </cell>
          <cell r="H150" t="str">
            <v>Madhya Pradesh</v>
          </cell>
          <cell r="I150" t="str">
            <v>Indore</v>
          </cell>
          <cell r="J150" t="str">
            <v>Technology</v>
          </cell>
          <cell r="K150" t="str">
            <v>Phones</v>
          </cell>
          <cell r="L150" t="str">
            <v>Smart Phones 336</v>
          </cell>
          <cell r="N150">
            <v>8</v>
          </cell>
          <cell r="O150">
            <v>1696.07</v>
          </cell>
          <cell r="P150">
            <v>0.25</v>
          </cell>
          <cell r="S150">
            <v>2571.9499999999998</v>
          </cell>
          <cell r="T150" t="str">
            <v>Paid</v>
          </cell>
          <cell r="U150" t="str">
            <v>Completed</v>
          </cell>
        </row>
        <row r="151">
          <cell r="A151" t="str">
            <v>ORD-2024-10150</v>
          </cell>
          <cell r="B151" t="str">
            <v>30-01-2024</v>
          </cell>
          <cell r="C151" t="str">
            <v>30-01-2024</v>
          </cell>
          <cell r="D151" t="str">
            <v>CUST-5876</v>
          </cell>
          <cell r="E151" t="str">
            <v>Aarav Sharma</v>
          </cell>
          <cell r="F151" t="str">
            <v>Small Business</v>
          </cell>
          <cell r="G151" t="str">
            <v>west</v>
          </cell>
          <cell r="H151" t="str">
            <v>Rajasthan</v>
          </cell>
          <cell r="I151" t="str">
            <v>Udaipur</v>
          </cell>
          <cell r="J151" t="str">
            <v>Technology</v>
          </cell>
          <cell r="K151" t="str">
            <v>Copiers</v>
          </cell>
          <cell r="L151" t="str">
            <v>Eco Copiers 381</v>
          </cell>
          <cell r="M151" t="str">
            <v>Same Day</v>
          </cell>
          <cell r="N151">
            <v>7</v>
          </cell>
          <cell r="O151">
            <v>2527.61</v>
          </cell>
          <cell r="P151">
            <v>0.25</v>
          </cell>
          <cell r="S151">
            <v>4292.8500000000004</v>
          </cell>
          <cell r="T151" t="str">
            <v>Paid</v>
          </cell>
          <cell r="U151" t="str">
            <v>Completed</v>
          </cell>
        </row>
        <row r="152">
          <cell r="A152" t="str">
            <v>ORD-2024-10151</v>
          </cell>
          <cell r="B152" t="str">
            <v>04-03-2024</v>
          </cell>
          <cell r="C152" t="str">
            <v>2024-03-12</v>
          </cell>
          <cell r="D152" t="str">
            <v>CUST-4661</v>
          </cell>
          <cell r="E152" t="str">
            <v>Arjun Bose</v>
          </cell>
          <cell r="F152" t="str">
            <v>Consumer</v>
          </cell>
          <cell r="H152" t="str">
            <v>Gujarat</v>
          </cell>
          <cell r="I152" t="str">
            <v>Ahmedabad</v>
          </cell>
          <cell r="J152" t="str">
            <v>Furniture</v>
          </cell>
          <cell r="K152" t="str">
            <v>Bookcases</v>
          </cell>
          <cell r="L152" t="str">
            <v>Max Bookcases 595</v>
          </cell>
          <cell r="M152" t="str">
            <v>First Class</v>
          </cell>
          <cell r="N152">
            <v>1</v>
          </cell>
          <cell r="O152">
            <v>1554.12</v>
          </cell>
          <cell r="P152">
            <v>0.1</v>
          </cell>
          <cell r="S152">
            <v>341.79</v>
          </cell>
          <cell r="T152" t="str">
            <v>Paid</v>
          </cell>
          <cell r="U152" t="str">
            <v>Completed</v>
          </cell>
        </row>
        <row r="153">
          <cell r="A153" t="str">
            <v>ORD-2024-10152</v>
          </cell>
          <cell r="B153" t="str">
            <v>27 Jun 2024</v>
          </cell>
          <cell r="C153" t="str">
            <v>06/27/2024</v>
          </cell>
          <cell r="D153" t="str">
            <v>CUST-6011</v>
          </cell>
          <cell r="E153" t="str">
            <v>Neha Gupta</v>
          </cell>
          <cell r="F153" t="str">
            <v>Home Office</v>
          </cell>
          <cell r="H153" t="str">
            <v>Madhya Pradesh</v>
          </cell>
          <cell r="I153" t="str">
            <v>Indore</v>
          </cell>
          <cell r="J153" t="str">
            <v>Technology</v>
          </cell>
          <cell r="K153" t="str">
            <v>Copiers</v>
          </cell>
          <cell r="L153" t="str">
            <v>Max Copiers 992</v>
          </cell>
          <cell r="M153" t="str">
            <v>Standard Class</v>
          </cell>
          <cell r="N153">
            <v>2</v>
          </cell>
          <cell r="O153">
            <v>3859.11</v>
          </cell>
          <cell r="P153">
            <v>0</v>
          </cell>
          <cell r="S153">
            <v>2362.29</v>
          </cell>
          <cell r="T153" t="str">
            <v>Pending</v>
          </cell>
          <cell r="U153" t="str">
            <v>Returned</v>
          </cell>
        </row>
        <row r="154">
          <cell r="A154" t="str">
            <v>ORD-2024-10153</v>
          </cell>
          <cell r="B154" t="str">
            <v>14 Jun 2024</v>
          </cell>
          <cell r="C154" t="str">
            <v>06/17/2024</v>
          </cell>
          <cell r="D154" t="str">
            <v>CUST-6160</v>
          </cell>
          <cell r="E154" t="str">
            <v>Kabir Singh</v>
          </cell>
          <cell r="F154" t="str">
            <v>Small Business</v>
          </cell>
          <cell r="G154" t="str">
            <v>South</v>
          </cell>
          <cell r="H154" t="str">
            <v>Kerala</v>
          </cell>
          <cell r="I154" t="str">
            <v>Kochi</v>
          </cell>
          <cell r="J154" t="str">
            <v>Furniture</v>
          </cell>
          <cell r="K154" t="str">
            <v>Tables</v>
          </cell>
          <cell r="L154" t="str">
            <v>Pro Tables 407</v>
          </cell>
          <cell r="M154" t="str">
            <v>Second Class</v>
          </cell>
          <cell r="N154">
            <v>6</v>
          </cell>
          <cell r="O154">
            <v>1088.04</v>
          </cell>
          <cell r="P154">
            <v>0.1</v>
          </cell>
          <cell r="S154">
            <v>1494.87</v>
          </cell>
          <cell r="T154" t="str">
            <v>Pending</v>
          </cell>
          <cell r="U154" t="str">
            <v>Returned</v>
          </cell>
        </row>
        <row r="155">
          <cell r="A155" t="str">
            <v>ORD-2025-10154</v>
          </cell>
          <cell r="B155" t="str">
            <v>23 Sep 2025</v>
          </cell>
          <cell r="C155" t="str">
            <v>2025-09-25</v>
          </cell>
          <cell r="D155" t="str">
            <v>CUST-6971</v>
          </cell>
          <cell r="E155" t="str">
            <v>Aditi Sen</v>
          </cell>
          <cell r="F155" t="str">
            <v>Consumer</v>
          </cell>
          <cell r="G155" t="str">
            <v>East</v>
          </cell>
          <cell r="H155" t="str">
            <v>Odisha</v>
          </cell>
          <cell r="I155" t="str">
            <v>Bhubaneswar</v>
          </cell>
          <cell r="J155" t="str">
            <v>Office Supplies</v>
          </cell>
          <cell r="K155" t="str">
            <v>Labels</v>
          </cell>
          <cell r="L155" t="str">
            <v>Prime Labels 559</v>
          </cell>
          <cell r="M155" t="str">
            <v>Standard Class</v>
          </cell>
          <cell r="N155">
            <v>7</v>
          </cell>
          <cell r="O155">
            <v>3280.31</v>
          </cell>
          <cell r="P155">
            <v>0</v>
          </cell>
          <cell r="S155">
            <v>7245.67</v>
          </cell>
          <cell r="T155" t="str">
            <v>Refunded</v>
          </cell>
          <cell r="U155" t="str">
            <v>Returned</v>
          </cell>
        </row>
        <row r="156">
          <cell r="A156" t="str">
            <v>ORD-2024-10155</v>
          </cell>
          <cell r="B156" t="str">
            <v>12 Feb 2024</v>
          </cell>
          <cell r="C156" t="str">
            <v>02/11/2024</v>
          </cell>
          <cell r="D156" t="str">
            <v>CUST-7764</v>
          </cell>
          <cell r="E156" t="str">
            <v>Priya Menon</v>
          </cell>
          <cell r="F156" t="str">
            <v>Consumer</v>
          </cell>
          <cell r="G156" t="str">
            <v>South</v>
          </cell>
          <cell r="H156" t="str">
            <v>Tamil Nadu</v>
          </cell>
          <cell r="I156" t="str">
            <v>Chennai</v>
          </cell>
          <cell r="J156" t="str">
            <v>Furniture</v>
          </cell>
          <cell r="K156" t="str">
            <v>Bookcases</v>
          </cell>
          <cell r="L156" t="str">
            <v>Classic Bookcases 847</v>
          </cell>
          <cell r="M156" t="str">
            <v>Same Day</v>
          </cell>
          <cell r="N156">
            <v>1</v>
          </cell>
          <cell r="O156">
            <v>2599.12</v>
          </cell>
          <cell r="P156">
            <v>0.15</v>
          </cell>
          <cell r="S156">
            <v>685.47</v>
          </cell>
          <cell r="T156" t="str">
            <v>Paid</v>
          </cell>
          <cell r="U156" t="str">
            <v>Completed</v>
          </cell>
        </row>
        <row r="157">
          <cell r="A157" t="str">
            <v>ORD-2025-10156</v>
          </cell>
          <cell r="B157" t="str">
            <v>01/26/2025</v>
          </cell>
          <cell r="C157" t="str">
            <v>03 Feb 2025</v>
          </cell>
          <cell r="D157" t="str">
            <v>CUST-8327</v>
          </cell>
          <cell r="E157" t="str">
            <v>Karan Malhotra</v>
          </cell>
          <cell r="F157" t="str">
            <v>Corporate</v>
          </cell>
          <cell r="G157" t="str">
            <v>West</v>
          </cell>
          <cell r="H157" t="str">
            <v>Rajasthan</v>
          </cell>
          <cell r="I157" t="str">
            <v>Udaipur</v>
          </cell>
          <cell r="J157" t="str">
            <v>Furniture</v>
          </cell>
          <cell r="K157" t="str">
            <v>Furnishings</v>
          </cell>
          <cell r="L157" t="str">
            <v>Classic Furnishings 655</v>
          </cell>
          <cell r="M157" t="str">
            <v>Same Day</v>
          </cell>
          <cell r="N157">
            <v>3</v>
          </cell>
          <cell r="O157">
            <v>2859.32</v>
          </cell>
          <cell r="P157">
            <v>0.1</v>
          </cell>
          <cell r="S157">
            <v>1839.16</v>
          </cell>
          <cell r="T157" t="str">
            <v>Refunded</v>
          </cell>
          <cell r="U157" t="str">
            <v>Returned</v>
          </cell>
        </row>
        <row r="158">
          <cell r="A158" t="str">
            <v>ORD-2025-10157</v>
          </cell>
          <cell r="B158" t="str">
            <v>27-03-2025</v>
          </cell>
          <cell r="C158" t="str">
            <v>27 Mar 2025</v>
          </cell>
          <cell r="D158" t="str">
            <v>CUST-4058</v>
          </cell>
          <cell r="E158" t="str">
            <v>Vikram Iyer</v>
          </cell>
          <cell r="F158" t="str">
            <v>Small Business</v>
          </cell>
          <cell r="G158" t="str">
            <v>East</v>
          </cell>
          <cell r="H158" t="str">
            <v>Bihar</v>
          </cell>
          <cell r="I158" t="str">
            <v>Patna</v>
          </cell>
          <cell r="J158" t="str">
            <v>Technology</v>
          </cell>
          <cell r="K158" t="str">
            <v>Machines</v>
          </cell>
          <cell r="L158" t="str">
            <v>Eco Machines 657</v>
          </cell>
          <cell r="M158" t="str">
            <v>Second Class</v>
          </cell>
          <cell r="N158">
            <v>7</v>
          </cell>
          <cell r="O158">
            <v>2305.37</v>
          </cell>
          <cell r="P158">
            <v>0.25</v>
          </cell>
          <cell r="S158">
            <v>5385.32</v>
          </cell>
          <cell r="T158" t="str">
            <v>Paid</v>
          </cell>
          <cell r="U158" t="str">
            <v>Completed</v>
          </cell>
        </row>
        <row r="159">
          <cell r="A159" t="str">
            <v>ORD-2024-10158</v>
          </cell>
          <cell r="B159" t="str">
            <v>10/22/2024</v>
          </cell>
          <cell r="C159" t="str">
            <v>24-10-2024</v>
          </cell>
          <cell r="D159" t="str">
            <v>CUST-1142</v>
          </cell>
          <cell r="E159" t="str">
            <v>Rohan Mehta</v>
          </cell>
          <cell r="F159" t="str">
            <v>Small Business</v>
          </cell>
          <cell r="G159" t="str">
            <v>South</v>
          </cell>
          <cell r="H159" t="str">
            <v>Andhra Pradesh</v>
          </cell>
          <cell r="I159" t="str">
            <v>Vijayawada</v>
          </cell>
          <cell r="J159" t="str">
            <v>Furniture</v>
          </cell>
          <cell r="K159" t="str">
            <v>Bookcases</v>
          </cell>
          <cell r="L159" t="str">
            <v>Pro Bookcases 430</v>
          </cell>
          <cell r="M159" t="str">
            <v>Standard Class</v>
          </cell>
          <cell r="N159">
            <v>3</v>
          </cell>
          <cell r="O159">
            <v>915.84</v>
          </cell>
          <cell r="P159">
            <v>0.15</v>
          </cell>
          <cell r="S159">
            <v>869.24</v>
          </cell>
          <cell r="T159" t="str">
            <v>Paid</v>
          </cell>
          <cell r="U159" t="str">
            <v>Completed</v>
          </cell>
        </row>
        <row r="160">
          <cell r="A160" t="str">
            <v>ORD-2024-10159</v>
          </cell>
          <cell r="B160" t="str">
            <v>2024-09-09</v>
          </cell>
          <cell r="C160" t="str">
            <v>09/11/2024</v>
          </cell>
          <cell r="D160" t="str">
            <v>CUST-2324</v>
          </cell>
          <cell r="E160" t="str">
            <v>Neha Gupta</v>
          </cell>
          <cell r="F160" t="str">
            <v>Home Office</v>
          </cell>
          <cell r="G160" t="str">
            <v>South</v>
          </cell>
          <cell r="H160" t="str">
            <v>Telangana</v>
          </cell>
          <cell r="I160" t="str">
            <v>Hyderabad</v>
          </cell>
          <cell r="J160" t="str">
            <v>Furniture</v>
          </cell>
          <cell r="K160" t="str">
            <v>Bookcases</v>
          </cell>
          <cell r="L160" t="str">
            <v>Max Bookcases 881</v>
          </cell>
          <cell r="M160" t="str">
            <v>First Class</v>
          </cell>
          <cell r="N160">
            <v>1</v>
          </cell>
          <cell r="O160">
            <v>4199.54</v>
          </cell>
          <cell r="P160">
            <v>0.05</v>
          </cell>
          <cell r="S160">
            <v>1608.18</v>
          </cell>
          <cell r="T160" t="str">
            <v>Paid</v>
          </cell>
          <cell r="U160" t="str">
            <v>Completed</v>
          </cell>
        </row>
        <row r="161">
          <cell r="A161" t="str">
            <v>ORD-2025-10160</v>
          </cell>
          <cell r="B161" t="str">
            <v>2025-01-30</v>
          </cell>
          <cell r="C161" t="str">
            <v>04-02-2025</v>
          </cell>
          <cell r="D161" t="str">
            <v>CUST-7717</v>
          </cell>
          <cell r="E161" t="str">
            <v>Priya Menon</v>
          </cell>
          <cell r="F161" t="str">
            <v>Corporate</v>
          </cell>
          <cell r="G161" t="str">
            <v>North</v>
          </cell>
          <cell r="H161" t="str">
            <v>Haryana</v>
          </cell>
          <cell r="I161" t="str">
            <v>Gurugram</v>
          </cell>
          <cell r="J161" t="str">
            <v>Furniture</v>
          </cell>
          <cell r="K161" t="str">
            <v>Chairs</v>
          </cell>
          <cell r="L161" t="str">
            <v>Elite Chairs 998</v>
          </cell>
          <cell r="M161" t="str">
            <v>Same Day</v>
          </cell>
          <cell r="N161">
            <v>9</v>
          </cell>
          <cell r="O161">
            <v>4430.5</v>
          </cell>
          <cell r="P161">
            <v>0.15</v>
          </cell>
          <cell r="S161">
            <v>8142.97</v>
          </cell>
          <cell r="T161" t="str">
            <v>Pending</v>
          </cell>
          <cell r="U161" t="str">
            <v>Cancelled</v>
          </cell>
        </row>
        <row r="162">
          <cell r="A162" t="str">
            <v>ORD-2025-10161</v>
          </cell>
          <cell r="B162" t="str">
            <v>08-10-2025</v>
          </cell>
          <cell r="C162" t="str">
            <v>10/06/2025</v>
          </cell>
          <cell r="D162" t="str">
            <v>CUST-4932</v>
          </cell>
          <cell r="E162" t="str">
            <v>Vikram Iyer</v>
          </cell>
          <cell r="F162" t="str">
            <v>Small Business</v>
          </cell>
          <cell r="G162" t="str">
            <v>West</v>
          </cell>
          <cell r="H162" t="str">
            <v>Maharashtra</v>
          </cell>
          <cell r="I162" t="str">
            <v>Mumbai</v>
          </cell>
          <cell r="J162" t="str">
            <v>Office Supplies</v>
          </cell>
          <cell r="K162" t="str">
            <v>Paper</v>
          </cell>
          <cell r="L162" t="str">
            <v>Max Paper 113</v>
          </cell>
          <cell r="M162" t="str">
            <v>Second Class</v>
          </cell>
          <cell r="N162">
            <v>4</v>
          </cell>
          <cell r="O162">
            <v>1260.42</v>
          </cell>
          <cell r="P162">
            <v>0.05</v>
          </cell>
          <cell r="S162">
            <v>751.96</v>
          </cell>
          <cell r="T162" t="str">
            <v>Pending</v>
          </cell>
          <cell r="U162" t="str">
            <v>Cancelled</v>
          </cell>
        </row>
        <row r="163">
          <cell r="A163" t="str">
            <v>ORD-2025-10162</v>
          </cell>
          <cell r="B163" t="str">
            <v>2025-07-24</v>
          </cell>
          <cell r="C163" t="str">
            <v>30-07-2025</v>
          </cell>
          <cell r="D163" t="str">
            <v>CUST-2367</v>
          </cell>
          <cell r="E163" t="str">
            <v>Arjun Bose</v>
          </cell>
          <cell r="F163" t="str">
            <v>consumer</v>
          </cell>
          <cell r="G163" t="str">
            <v>West</v>
          </cell>
          <cell r="H163" t="str">
            <v>Rajasthan</v>
          </cell>
          <cell r="I163" t="str">
            <v>Udaipur</v>
          </cell>
          <cell r="J163" t="str">
            <v>Office Supplies</v>
          </cell>
          <cell r="K163" t="str">
            <v>Binders</v>
          </cell>
          <cell r="L163" t="str">
            <v>Smart Binders 267</v>
          </cell>
          <cell r="M163" t="str">
            <v>Standard Class</v>
          </cell>
          <cell r="N163">
            <v>1</v>
          </cell>
          <cell r="O163">
            <v>1643.41</v>
          </cell>
          <cell r="P163">
            <v>0</v>
          </cell>
          <cell r="S163">
            <v>736.01</v>
          </cell>
          <cell r="T163" t="str">
            <v>Pending</v>
          </cell>
          <cell r="U163" t="str">
            <v>Cancelled</v>
          </cell>
        </row>
        <row r="164">
          <cell r="A164" t="str">
            <v>ORD-2024-10163</v>
          </cell>
          <cell r="B164" t="str">
            <v>2024-03-09</v>
          </cell>
          <cell r="C164" t="str">
            <v>14 Mar 2024</v>
          </cell>
          <cell r="D164" t="str">
            <v>CUST-4830</v>
          </cell>
          <cell r="E164" t="str">
            <v>Neha Gupta</v>
          </cell>
          <cell r="F164" t="str">
            <v>Small Business</v>
          </cell>
          <cell r="G164" t="str">
            <v>West</v>
          </cell>
          <cell r="H164" t="str">
            <v>Goa</v>
          </cell>
          <cell r="I164" t="str">
            <v>Panaji</v>
          </cell>
          <cell r="J164" t="str">
            <v>Furniture</v>
          </cell>
          <cell r="K164" t="str">
            <v>Furnishings</v>
          </cell>
          <cell r="L164" t="str">
            <v>Pro Furnishings 108</v>
          </cell>
          <cell r="M164" t="str">
            <v>Second Class</v>
          </cell>
          <cell r="N164">
            <v>8</v>
          </cell>
          <cell r="O164">
            <v>4472.84</v>
          </cell>
          <cell r="P164">
            <v>0</v>
          </cell>
          <cell r="S164">
            <v>9358.31</v>
          </cell>
          <cell r="T164" t="str">
            <v>Pending</v>
          </cell>
          <cell r="U164" t="str">
            <v>Returned</v>
          </cell>
        </row>
        <row r="165">
          <cell r="A165" t="str">
            <v>ORD-2025-10164</v>
          </cell>
          <cell r="B165" t="str">
            <v>09/21/2025</v>
          </cell>
          <cell r="C165" t="str">
            <v>26 Sep 2025</v>
          </cell>
          <cell r="D165" t="str">
            <v>CUST-2548</v>
          </cell>
          <cell r="E165" t="str">
            <v>Rohan Mehta</v>
          </cell>
          <cell r="F165" t="str">
            <v>Home Office</v>
          </cell>
          <cell r="G165" t="str">
            <v>West</v>
          </cell>
          <cell r="H165" t="str">
            <v>Gujarat</v>
          </cell>
          <cell r="I165" t="str">
            <v>Ahmedabad</v>
          </cell>
          <cell r="J165" t="str">
            <v>Furniture</v>
          </cell>
          <cell r="K165" t="str">
            <v>Tables</v>
          </cell>
          <cell r="L165" t="str">
            <v>Elite Tables 389</v>
          </cell>
          <cell r="N165">
            <v>6</v>
          </cell>
          <cell r="O165">
            <v>2903.58</v>
          </cell>
          <cell r="P165">
            <v>0.1</v>
          </cell>
          <cell r="S165">
            <v>3201.51</v>
          </cell>
          <cell r="T165" t="str">
            <v>Pending</v>
          </cell>
          <cell r="U165" t="str">
            <v>Returned</v>
          </cell>
        </row>
        <row r="166">
          <cell r="A166" t="str">
            <v>ORD-2025-10165</v>
          </cell>
          <cell r="B166" t="str">
            <v>09 Sep 2025</v>
          </cell>
          <cell r="C166" t="str">
            <v>09/14/2025</v>
          </cell>
          <cell r="D166" t="str">
            <v>CUST-3833</v>
          </cell>
          <cell r="E166" t="str">
            <v>Rahul Verma</v>
          </cell>
          <cell r="F166" t="str">
            <v>Small Business</v>
          </cell>
          <cell r="G166" t="str">
            <v>East</v>
          </cell>
          <cell r="H166" t="str">
            <v>West Bengal</v>
          </cell>
          <cell r="I166" t="str">
            <v>Kolkata</v>
          </cell>
          <cell r="J166" t="str">
            <v>Furniture</v>
          </cell>
          <cell r="K166" t="str">
            <v>Bookcases</v>
          </cell>
          <cell r="L166" t="str">
            <v>Pro Bookcases 595</v>
          </cell>
          <cell r="M166" t="str">
            <v>Second Class</v>
          </cell>
          <cell r="N166">
            <v>1</v>
          </cell>
          <cell r="O166">
            <v>3154.42</v>
          </cell>
          <cell r="P166">
            <v>0.25</v>
          </cell>
          <cell r="S166">
            <v>817.83</v>
          </cell>
          <cell r="T166" t="str">
            <v>Paid</v>
          </cell>
          <cell r="U166" t="str">
            <v>Completed</v>
          </cell>
        </row>
        <row r="167">
          <cell r="A167" t="str">
            <v>ORD-2024-10166</v>
          </cell>
          <cell r="B167" t="str">
            <v>11/22/2024</v>
          </cell>
          <cell r="C167" t="str">
            <v>29-11-2024</v>
          </cell>
          <cell r="D167" t="str">
            <v>CUST-4598</v>
          </cell>
          <cell r="E167" t="str">
            <v>Mira Das</v>
          </cell>
          <cell r="F167" t="str">
            <v>Home Office</v>
          </cell>
          <cell r="G167" t="str">
            <v>East</v>
          </cell>
          <cell r="H167" t="str">
            <v>Bihar</v>
          </cell>
          <cell r="I167" t="str">
            <v>Patna</v>
          </cell>
          <cell r="J167" t="str">
            <v>Furniture</v>
          </cell>
          <cell r="K167" t="str">
            <v>Chairs</v>
          </cell>
          <cell r="L167" t="str">
            <v>Max Chairs 148</v>
          </cell>
          <cell r="M167" t="str">
            <v>Standard Class</v>
          </cell>
          <cell r="N167">
            <v>4</v>
          </cell>
          <cell r="O167">
            <v>3422.99</v>
          </cell>
          <cell r="P167">
            <v>0.25</v>
          </cell>
          <cell r="S167">
            <v>3798.05</v>
          </cell>
          <cell r="T167" t="str">
            <v>Paid</v>
          </cell>
          <cell r="U167" t="str">
            <v>Completed</v>
          </cell>
        </row>
        <row r="168">
          <cell r="A168" t="str">
            <v>ORD-2025-10167</v>
          </cell>
          <cell r="B168" t="str">
            <v>20-02-2025</v>
          </cell>
          <cell r="C168" t="str">
            <v>26-02-2025</v>
          </cell>
          <cell r="D168" t="str">
            <v>CUST-7215</v>
          </cell>
          <cell r="E168" t="str">
            <v>Karan Malhotra</v>
          </cell>
          <cell r="F168" t="str">
            <v>Small Business</v>
          </cell>
          <cell r="G168" t="str">
            <v>West</v>
          </cell>
          <cell r="H168" t="str">
            <v>Gujarat</v>
          </cell>
          <cell r="I168" t="str">
            <v>Ahmedabad</v>
          </cell>
          <cell r="J168" t="str">
            <v>OFFICE SUPPLIES</v>
          </cell>
          <cell r="K168" t="str">
            <v>Labels</v>
          </cell>
          <cell r="L168" t="str">
            <v>Basic Labels 671</v>
          </cell>
          <cell r="M168" t="str">
            <v>First Class</v>
          </cell>
          <cell r="N168">
            <v>1</v>
          </cell>
          <cell r="O168">
            <v>2557.85</v>
          </cell>
          <cell r="P168">
            <v>0.2</v>
          </cell>
          <cell r="S168">
            <v>596.74</v>
          </cell>
          <cell r="T168" t="str">
            <v>Paid</v>
          </cell>
          <cell r="U168" t="str">
            <v>Completed</v>
          </cell>
        </row>
        <row r="169">
          <cell r="A169" t="str">
            <v>ORD-2025-10168</v>
          </cell>
          <cell r="B169" t="str">
            <v>2025-08-18</v>
          </cell>
          <cell r="C169" t="str">
            <v>08/18/2025</v>
          </cell>
          <cell r="D169" t="str">
            <v>CUST-7770</v>
          </cell>
          <cell r="E169" t="str">
            <v>Arjun Bose</v>
          </cell>
          <cell r="F169" t="str">
            <v>Home Office</v>
          </cell>
          <cell r="G169" t="str">
            <v>South</v>
          </cell>
          <cell r="H169" t="str">
            <v>Karnataka</v>
          </cell>
          <cell r="I169" t="str">
            <v>Bengaluru</v>
          </cell>
          <cell r="J169" t="str">
            <v>Office Supplies</v>
          </cell>
          <cell r="K169" t="str">
            <v>Storage</v>
          </cell>
          <cell r="L169" t="str">
            <v>Elite Storage 628</v>
          </cell>
          <cell r="M169" t="str">
            <v>First Class</v>
          </cell>
          <cell r="N169">
            <v>9</v>
          </cell>
          <cell r="O169">
            <v>3030.93</v>
          </cell>
          <cell r="P169">
            <v>0.15</v>
          </cell>
          <cell r="S169">
            <v>5280.07</v>
          </cell>
          <cell r="T169" t="str">
            <v>Paid</v>
          </cell>
          <cell r="U169" t="str">
            <v>Returned</v>
          </cell>
        </row>
        <row r="170">
          <cell r="A170" t="str">
            <v>ORD-2025-10169</v>
          </cell>
          <cell r="B170" t="str">
            <v>01/20/2025</v>
          </cell>
          <cell r="C170" t="str">
            <v>23 Jan 2025</v>
          </cell>
          <cell r="D170" t="str">
            <v>CUST-9756</v>
          </cell>
          <cell r="E170" t="str">
            <v>Kabir Singh</v>
          </cell>
          <cell r="F170" t="str">
            <v>Consumer</v>
          </cell>
          <cell r="G170" t="str">
            <v>West</v>
          </cell>
          <cell r="H170" t="str">
            <v>Maharashtra</v>
          </cell>
          <cell r="I170" t="str">
            <v>Mumbai</v>
          </cell>
          <cell r="J170" t="str">
            <v>Technology</v>
          </cell>
          <cell r="K170" t="str">
            <v>Accessories</v>
          </cell>
          <cell r="L170" t="str">
            <v>Eco Accessories 590</v>
          </cell>
          <cell r="M170" t="str">
            <v>Same Day</v>
          </cell>
          <cell r="N170">
            <v>5</v>
          </cell>
          <cell r="O170">
            <v>639.27</v>
          </cell>
          <cell r="P170">
            <v>0.2</v>
          </cell>
          <cell r="S170">
            <v>531.39</v>
          </cell>
          <cell r="T170" t="str">
            <v>Paid</v>
          </cell>
          <cell r="U170" t="str">
            <v>Cancelled</v>
          </cell>
        </row>
        <row r="171">
          <cell r="A171" t="str">
            <v>ORD-2025-10170</v>
          </cell>
          <cell r="B171" t="str">
            <v>2025-09-13</v>
          </cell>
          <cell r="C171" t="str">
            <v>09/13/2025</v>
          </cell>
          <cell r="D171" t="str">
            <v>CUST-2261</v>
          </cell>
          <cell r="E171" t="str">
            <v>Diya Patel</v>
          </cell>
          <cell r="F171" t="str">
            <v>Consumer</v>
          </cell>
          <cell r="G171" t="str">
            <v>East</v>
          </cell>
          <cell r="H171" t="str">
            <v>Assam</v>
          </cell>
          <cell r="I171" t="str">
            <v>Guwahati</v>
          </cell>
          <cell r="J171" t="str">
            <v>Office Supplies</v>
          </cell>
          <cell r="K171" t="str">
            <v>Art</v>
          </cell>
          <cell r="L171" t="str">
            <v>Pro Art 734</v>
          </cell>
          <cell r="M171" t="str">
            <v>Standard Class</v>
          </cell>
          <cell r="N171">
            <v>8</v>
          </cell>
          <cell r="O171">
            <v>733.9</v>
          </cell>
          <cell r="P171">
            <v>0.05</v>
          </cell>
          <cell r="S171">
            <v>2036.35</v>
          </cell>
          <cell r="T171" t="str">
            <v>Pending</v>
          </cell>
          <cell r="U171" t="str">
            <v>Returned</v>
          </cell>
        </row>
        <row r="172">
          <cell r="A172" t="str">
            <v>ORD-2025-10171</v>
          </cell>
          <cell r="B172" t="str">
            <v>07-09-2025</v>
          </cell>
          <cell r="C172" t="str">
            <v>09/15/2025</v>
          </cell>
          <cell r="D172" t="str">
            <v>CUST-3734</v>
          </cell>
          <cell r="E172" t="str">
            <v>Rohan Mehta</v>
          </cell>
          <cell r="F172" t="str">
            <v>Corporate</v>
          </cell>
          <cell r="G172" t="str">
            <v>East</v>
          </cell>
          <cell r="H172" t="str">
            <v>Bihar</v>
          </cell>
          <cell r="I172" t="str">
            <v>Patna</v>
          </cell>
          <cell r="J172" t="str">
            <v>Technology</v>
          </cell>
          <cell r="K172" t="str">
            <v>Copiers</v>
          </cell>
          <cell r="L172" t="str">
            <v>Eco Copiers 102</v>
          </cell>
          <cell r="M172" t="str">
            <v>Standard Class</v>
          </cell>
          <cell r="N172">
            <v>3</v>
          </cell>
          <cell r="O172">
            <v>1711.32</v>
          </cell>
          <cell r="P172">
            <v>0</v>
          </cell>
          <cell r="S172">
            <v>1203.96</v>
          </cell>
          <cell r="T172" t="str">
            <v>Paid</v>
          </cell>
          <cell r="U172" t="str">
            <v>Completed</v>
          </cell>
        </row>
        <row r="173">
          <cell r="A173" t="str">
            <v>ORD-2025-10172</v>
          </cell>
          <cell r="B173" t="str">
            <v>2025-02-23</v>
          </cell>
          <cell r="C173" t="str">
            <v>02/25/2025</v>
          </cell>
          <cell r="D173" t="str">
            <v>CUST-3436</v>
          </cell>
          <cell r="E173" t="str">
            <v>Karan Malhotra</v>
          </cell>
          <cell r="F173" t="str">
            <v>Corporate</v>
          </cell>
          <cell r="G173" t="str">
            <v>East</v>
          </cell>
          <cell r="H173" t="str">
            <v>Bihar</v>
          </cell>
          <cell r="I173" t="str">
            <v>Patna</v>
          </cell>
          <cell r="J173" t="str">
            <v>Office Supplies</v>
          </cell>
          <cell r="K173" t="str">
            <v>Labels</v>
          </cell>
          <cell r="L173" t="str">
            <v>Basic Labels 876</v>
          </cell>
          <cell r="M173" t="str">
            <v>Same Day</v>
          </cell>
          <cell r="N173">
            <v>5</v>
          </cell>
          <cell r="O173">
            <v>4246.2700000000004</v>
          </cell>
          <cell r="P173">
            <v>0.25</v>
          </cell>
          <cell r="S173">
            <v>4631.71</v>
          </cell>
          <cell r="T173" t="str">
            <v>Paid</v>
          </cell>
          <cell r="U173" t="str">
            <v>Completed</v>
          </cell>
        </row>
        <row r="174">
          <cell r="A174" t="str">
            <v>ORD-2025-10173</v>
          </cell>
          <cell r="B174" t="str">
            <v>02-08-2025</v>
          </cell>
          <cell r="C174" t="str">
            <v>10-08-2025</v>
          </cell>
          <cell r="D174" t="str">
            <v>CUST-4845</v>
          </cell>
          <cell r="E174" t="str">
            <v>Karan Malhotra</v>
          </cell>
          <cell r="F174" t="str">
            <v>Corporate</v>
          </cell>
          <cell r="G174" t="str">
            <v>North</v>
          </cell>
          <cell r="H174" t="str">
            <v>Delhi</v>
          </cell>
          <cell r="I174" t="str">
            <v>New Delhi</v>
          </cell>
          <cell r="J174" t="str">
            <v>Furniture</v>
          </cell>
          <cell r="K174" t="str">
            <v>Furnishings</v>
          </cell>
          <cell r="L174" t="str">
            <v>Prime Furnishings 381</v>
          </cell>
          <cell r="M174" t="str">
            <v>Same Day</v>
          </cell>
          <cell r="N174">
            <v>9</v>
          </cell>
          <cell r="O174">
            <v>2962.62</v>
          </cell>
          <cell r="P174">
            <v>0.1</v>
          </cell>
          <cell r="S174">
            <v>7862.59</v>
          </cell>
          <cell r="T174" t="str">
            <v>Refunded</v>
          </cell>
          <cell r="U174" t="str">
            <v>Returned</v>
          </cell>
        </row>
        <row r="175">
          <cell r="A175" t="str">
            <v>ORD-2024-10174</v>
          </cell>
          <cell r="B175" t="str">
            <v>02-05-2024</v>
          </cell>
          <cell r="C175" t="str">
            <v>08 May 2024</v>
          </cell>
          <cell r="D175" t="str">
            <v>CUST-6153</v>
          </cell>
          <cell r="E175" t="str">
            <v>PRIYA MENON</v>
          </cell>
          <cell r="F175" t="str">
            <v>Home Office</v>
          </cell>
          <cell r="G175" t="str">
            <v>North</v>
          </cell>
          <cell r="H175" t="str">
            <v>Punjab</v>
          </cell>
          <cell r="I175" t="str">
            <v>Ludhiana</v>
          </cell>
          <cell r="J175" t="str">
            <v>Technology</v>
          </cell>
          <cell r="K175" t="str">
            <v>Copiers</v>
          </cell>
          <cell r="L175" t="str">
            <v>Prime Copiers 440</v>
          </cell>
          <cell r="M175" t="str">
            <v>Second Class</v>
          </cell>
          <cell r="N175">
            <v>1</v>
          </cell>
          <cell r="O175">
            <v>2312.25</v>
          </cell>
          <cell r="P175">
            <v>0.25</v>
          </cell>
          <cell r="S175">
            <v>348.12</v>
          </cell>
          <cell r="T175" t="str">
            <v>Paid</v>
          </cell>
          <cell r="U175" t="str">
            <v>Completed</v>
          </cell>
        </row>
        <row r="176">
          <cell r="A176" t="str">
            <v>ORD-2025-10175</v>
          </cell>
          <cell r="B176" t="str">
            <v>28 Sep 2025</v>
          </cell>
          <cell r="C176" t="str">
            <v>04-10-2025</v>
          </cell>
          <cell r="D176" t="str">
            <v>CUST-5475</v>
          </cell>
          <cell r="E176" t="str">
            <v>Karan Malhotra</v>
          </cell>
          <cell r="F176" t="str">
            <v>Small Business</v>
          </cell>
          <cell r="G176" t="str">
            <v>South</v>
          </cell>
          <cell r="H176" t="str">
            <v>Karnataka</v>
          </cell>
          <cell r="I176" t="str">
            <v>Bengaluru</v>
          </cell>
          <cell r="J176" t="str">
            <v>Furniture</v>
          </cell>
          <cell r="K176" t="str">
            <v>Bookcases</v>
          </cell>
          <cell r="L176" t="str">
            <v>Pro Bookcases 319</v>
          </cell>
          <cell r="M176" t="str">
            <v>First Class</v>
          </cell>
          <cell r="N176">
            <v>6</v>
          </cell>
          <cell r="O176">
            <v>1620.53</v>
          </cell>
          <cell r="P176">
            <v>0.15</v>
          </cell>
          <cell r="S176">
            <v>3495.95</v>
          </cell>
          <cell r="T176" t="str">
            <v>Pending</v>
          </cell>
          <cell r="U176" t="str">
            <v>Returned</v>
          </cell>
        </row>
        <row r="177">
          <cell r="A177" t="str">
            <v>ORD-2024-10176</v>
          </cell>
          <cell r="B177" t="str">
            <v>2024-01-27</v>
          </cell>
          <cell r="C177" t="str">
            <v>2024-02-03</v>
          </cell>
          <cell r="D177" t="str">
            <v>CUST-5580</v>
          </cell>
          <cell r="E177" t="str">
            <v>Arjun Bose</v>
          </cell>
          <cell r="F177" t="str">
            <v>Small Business</v>
          </cell>
          <cell r="G177" t="str">
            <v>East</v>
          </cell>
          <cell r="H177" t="str">
            <v>Bihar</v>
          </cell>
          <cell r="I177" t="str">
            <v>Patna</v>
          </cell>
          <cell r="J177" t="str">
            <v>Technology</v>
          </cell>
          <cell r="K177" t="str">
            <v>Machines</v>
          </cell>
          <cell r="L177" t="str">
            <v>Basic Machines 584</v>
          </cell>
          <cell r="M177" t="str">
            <v>Same Day</v>
          </cell>
          <cell r="N177">
            <v>7</v>
          </cell>
          <cell r="O177">
            <v>2673.42</v>
          </cell>
          <cell r="P177">
            <v>0.15</v>
          </cell>
          <cell r="S177">
            <v>4892.3900000000003</v>
          </cell>
          <cell r="T177" t="str">
            <v>Paid</v>
          </cell>
          <cell r="U177" t="str">
            <v>Returned</v>
          </cell>
        </row>
        <row r="178">
          <cell r="A178" t="str">
            <v>ORD-2025-10177</v>
          </cell>
          <cell r="B178" t="str">
            <v>18-03-2025</v>
          </cell>
          <cell r="C178" t="str">
            <v>03/26/2025</v>
          </cell>
          <cell r="D178" t="str">
            <v>CUST-3027</v>
          </cell>
          <cell r="E178" t="str">
            <v>Vikram Iyer</v>
          </cell>
          <cell r="F178" t="str">
            <v>Corporate</v>
          </cell>
          <cell r="G178" t="str">
            <v>East</v>
          </cell>
          <cell r="H178" t="str">
            <v>Jharkhand</v>
          </cell>
          <cell r="I178" t="str">
            <v>Ranchi</v>
          </cell>
          <cell r="J178" t="str">
            <v>Furniture</v>
          </cell>
          <cell r="K178" t="str">
            <v>Bookcases</v>
          </cell>
          <cell r="L178" t="str">
            <v>Pro Bookcases 612</v>
          </cell>
          <cell r="M178" t="str">
            <v>Standard Class</v>
          </cell>
          <cell r="N178">
            <v>8</v>
          </cell>
          <cell r="O178">
            <v>3563.09</v>
          </cell>
          <cell r="P178">
            <v>0.15</v>
          </cell>
          <cell r="S178">
            <v>10318.370000000001</v>
          </cell>
          <cell r="T178" t="str">
            <v>Paid</v>
          </cell>
          <cell r="U178" t="str">
            <v>Completed</v>
          </cell>
        </row>
        <row r="179">
          <cell r="A179" t="str">
            <v>ORD-2024-10178</v>
          </cell>
          <cell r="B179" t="str">
            <v>01-06-2024</v>
          </cell>
          <cell r="C179" t="str">
            <v>06/03/2024</v>
          </cell>
          <cell r="D179" t="str">
            <v>CUST-4399</v>
          </cell>
          <cell r="E179" t="str">
            <v>Sneha Kapoor</v>
          </cell>
          <cell r="F179" t="str">
            <v>Home Office</v>
          </cell>
          <cell r="H179" t="str">
            <v>Bihar</v>
          </cell>
          <cell r="I179" t="str">
            <v>Patna</v>
          </cell>
          <cell r="J179" t="str">
            <v>Office Supplies</v>
          </cell>
          <cell r="K179" t="str">
            <v>Art</v>
          </cell>
          <cell r="L179" t="str">
            <v>Classic Art 573</v>
          </cell>
          <cell r="M179" t="str">
            <v>Same Day</v>
          </cell>
          <cell r="N179">
            <v>8</v>
          </cell>
          <cell r="O179">
            <v>3879.95</v>
          </cell>
          <cell r="P179">
            <v>0</v>
          </cell>
          <cell r="S179">
            <v>10172.879999999999</v>
          </cell>
          <cell r="T179" t="str">
            <v>Paid</v>
          </cell>
          <cell r="U179" t="str">
            <v>Completed</v>
          </cell>
        </row>
        <row r="180">
          <cell r="A180" t="str">
            <v>ORD-2024-10179</v>
          </cell>
          <cell r="B180" t="str">
            <v>30-09-2024</v>
          </cell>
          <cell r="C180" t="str">
            <v>2024-09-30</v>
          </cell>
          <cell r="D180" t="str">
            <v>CUST-3092</v>
          </cell>
          <cell r="E180" t="str">
            <v>Isha Nair</v>
          </cell>
          <cell r="F180" t="str">
            <v>Corporate</v>
          </cell>
          <cell r="G180" t="str">
            <v>South</v>
          </cell>
          <cell r="H180" t="str">
            <v>Telangana</v>
          </cell>
          <cell r="I180" t="str">
            <v>Hyderabad</v>
          </cell>
          <cell r="J180" t="str">
            <v>Office Supplies</v>
          </cell>
          <cell r="K180" t="str">
            <v>Art</v>
          </cell>
          <cell r="L180" t="str">
            <v>Eco Art 854</v>
          </cell>
          <cell r="M180" t="str">
            <v>Standard Class</v>
          </cell>
          <cell r="N180">
            <v>4</v>
          </cell>
          <cell r="O180">
            <v>3281.74</v>
          </cell>
          <cell r="P180">
            <v>0</v>
          </cell>
          <cell r="S180">
            <v>2394.52</v>
          </cell>
          <cell r="T180" t="str">
            <v>Paid</v>
          </cell>
          <cell r="U180" t="str">
            <v>Completed</v>
          </cell>
        </row>
        <row r="181">
          <cell r="A181" t="str">
            <v>ORD-2024-10180</v>
          </cell>
          <cell r="B181" t="str">
            <v>2024-03-15</v>
          </cell>
          <cell r="C181" t="str">
            <v>03/19/2024</v>
          </cell>
          <cell r="D181" t="str">
            <v>CUST-1778</v>
          </cell>
          <cell r="E181" t="str">
            <v>Ananya Rao</v>
          </cell>
          <cell r="F181" t="str">
            <v>Small Business</v>
          </cell>
          <cell r="G181" t="str">
            <v>South</v>
          </cell>
          <cell r="H181" t="str">
            <v>Tamil Nadu</v>
          </cell>
          <cell r="I181" t="str">
            <v>Chennai</v>
          </cell>
          <cell r="J181" t="str">
            <v>Furniture</v>
          </cell>
          <cell r="K181" t="str">
            <v>Furnishings</v>
          </cell>
          <cell r="L181" t="str">
            <v>Classic Furnishings 996</v>
          </cell>
          <cell r="M181" t="str">
            <v>Standard Class</v>
          </cell>
          <cell r="N181">
            <v>4</v>
          </cell>
          <cell r="O181">
            <v>3186.3</v>
          </cell>
          <cell r="P181">
            <v>0.25</v>
          </cell>
          <cell r="S181">
            <v>4042.14</v>
          </cell>
          <cell r="T181" t="str">
            <v>Refunded</v>
          </cell>
          <cell r="U181" t="str">
            <v>Returned</v>
          </cell>
        </row>
        <row r="182">
          <cell r="A182" t="str">
            <v>ORD-2024-10181</v>
          </cell>
          <cell r="B182" t="str">
            <v>2024-08-26</v>
          </cell>
          <cell r="C182" t="str">
            <v>26-08-2024</v>
          </cell>
          <cell r="D182" t="str">
            <v>CUST-3787</v>
          </cell>
          <cell r="E182" t="str">
            <v>Mira Das</v>
          </cell>
          <cell r="F182" t="str">
            <v>Home Office</v>
          </cell>
          <cell r="G182" t="str">
            <v>North</v>
          </cell>
          <cell r="H182" t="str">
            <v>Uttar Pradesh</v>
          </cell>
          <cell r="I182" t="str">
            <v>Noida</v>
          </cell>
          <cell r="J182" t="str">
            <v>OFFICE SUPPLIES</v>
          </cell>
          <cell r="K182" t="str">
            <v>Binders</v>
          </cell>
          <cell r="L182" t="str">
            <v>Prime Binders 735</v>
          </cell>
          <cell r="M182" t="str">
            <v>First Class</v>
          </cell>
          <cell r="N182">
            <v>7</v>
          </cell>
          <cell r="O182">
            <v>844.59</v>
          </cell>
          <cell r="P182">
            <v>0.1</v>
          </cell>
          <cell r="S182">
            <v>2279.42</v>
          </cell>
          <cell r="T182" t="str">
            <v>Paid</v>
          </cell>
          <cell r="U182" t="str">
            <v>Completed</v>
          </cell>
        </row>
        <row r="183">
          <cell r="A183" t="str">
            <v>ORD-2025-10182</v>
          </cell>
          <cell r="B183" t="str">
            <v>09/09/2025</v>
          </cell>
          <cell r="C183" t="str">
            <v>10-09-2025</v>
          </cell>
          <cell r="D183" t="str">
            <v>CUST-5119</v>
          </cell>
          <cell r="E183" t="str">
            <v>Priya Menon</v>
          </cell>
          <cell r="F183" t="str">
            <v>Home Office</v>
          </cell>
          <cell r="G183" t="str">
            <v>South</v>
          </cell>
          <cell r="H183" t="str">
            <v>Tamil Nadu</v>
          </cell>
          <cell r="I183" t="str">
            <v>Chennai</v>
          </cell>
          <cell r="J183" t="str">
            <v>Office Supplies</v>
          </cell>
          <cell r="K183" t="str">
            <v>Art</v>
          </cell>
          <cell r="L183" t="str">
            <v>Pro Art 587</v>
          </cell>
          <cell r="M183" t="str">
            <v>Second Class</v>
          </cell>
          <cell r="N183">
            <v>4</v>
          </cell>
          <cell r="O183">
            <v>2551.4499999999998</v>
          </cell>
          <cell r="P183">
            <v>0</v>
          </cell>
          <cell r="S183">
            <v>4219.49</v>
          </cell>
          <cell r="T183" t="str">
            <v>Paid</v>
          </cell>
          <cell r="U183" t="str">
            <v>Completed</v>
          </cell>
        </row>
        <row r="184">
          <cell r="A184" t="str">
            <v>ORD-2024-10183</v>
          </cell>
          <cell r="B184" t="str">
            <v>16 Oct 2024</v>
          </cell>
          <cell r="C184" t="str">
            <v>16 Oct 2024</v>
          </cell>
          <cell r="D184" t="str">
            <v>CUST-4121</v>
          </cell>
          <cell r="E184" t="str">
            <v>Ananya Rao</v>
          </cell>
          <cell r="F184" t="str">
            <v>Home Office</v>
          </cell>
          <cell r="G184" t="str">
            <v>East</v>
          </cell>
          <cell r="H184" t="str">
            <v>Bihar</v>
          </cell>
          <cell r="I184" t="str">
            <v>Patna</v>
          </cell>
          <cell r="J184" t="str">
            <v>Technology</v>
          </cell>
          <cell r="K184" t="str">
            <v>Machines</v>
          </cell>
          <cell r="L184" t="str">
            <v>Basic Machines 575</v>
          </cell>
          <cell r="M184" t="str">
            <v>Standard Class</v>
          </cell>
          <cell r="N184">
            <v>7</v>
          </cell>
          <cell r="O184">
            <v>775.77</v>
          </cell>
          <cell r="P184">
            <v>0</v>
          </cell>
          <cell r="S184">
            <v>1722.73</v>
          </cell>
          <cell r="T184" t="str">
            <v>Paid</v>
          </cell>
          <cell r="U184" t="str">
            <v>Completed</v>
          </cell>
        </row>
        <row r="185">
          <cell r="A185" t="str">
            <v>ORD-2025-10184</v>
          </cell>
          <cell r="B185" t="str">
            <v>2025-06-24</v>
          </cell>
          <cell r="C185" t="str">
            <v>27-06-2025</v>
          </cell>
          <cell r="D185" t="str">
            <v>CUST-3366</v>
          </cell>
          <cell r="E185" t="str">
            <v>Vikram Iyer</v>
          </cell>
          <cell r="F185" t="str">
            <v>Home Office</v>
          </cell>
          <cell r="G185" t="str">
            <v>South</v>
          </cell>
          <cell r="H185" t="str">
            <v>Telangana</v>
          </cell>
          <cell r="I185" t="str">
            <v>Hyderabad</v>
          </cell>
          <cell r="J185" t="str">
            <v>Technology</v>
          </cell>
          <cell r="K185" t="str">
            <v>Copiers</v>
          </cell>
          <cell r="L185" t="str">
            <v>Elite Copiers 788</v>
          </cell>
          <cell r="M185" t="str">
            <v>Standard Class</v>
          </cell>
          <cell r="N185">
            <v>7</v>
          </cell>
          <cell r="O185">
            <v>2304.86</v>
          </cell>
          <cell r="P185">
            <v>0.2</v>
          </cell>
          <cell r="S185">
            <v>4579.33</v>
          </cell>
          <cell r="T185" t="str">
            <v>Paid</v>
          </cell>
          <cell r="U185" t="str">
            <v>Returned</v>
          </cell>
        </row>
        <row r="186">
          <cell r="A186" t="str">
            <v>ORD-2024-10185</v>
          </cell>
          <cell r="B186" t="str">
            <v>2024-04-02</v>
          </cell>
          <cell r="C186" t="str">
            <v>2024-04-06</v>
          </cell>
          <cell r="D186" t="str">
            <v>CUST-1358</v>
          </cell>
          <cell r="E186" t="str">
            <v>Vikram Iyer</v>
          </cell>
          <cell r="F186" t="str">
            <v>Corporate</v>
          </cell>
          <cell r="G186" t="str">
            <v>West</v>
          </cell>
          <cell r="H186" t="str">
            <v>Madhya Pradesh</v>
          </cell>
          <cell r="I186" t="str">
            <v>Indore</v>
          </cell>
          <cell r="J186" t="str">
            <v>Furniture</v>
          </cell>
          <cell r="K186" t="str">
            <v>Bookcases</v>
          </cell>
          <cell r="L186" t="str">
            <v>Max Bookcases 472</v>
          </cell>
          <cell r="M186" t="str">
            <v>Standard Class</v>
          </cell>
          <cell r="N186">
            <v>2</v>
          </cell>
          <cell r="O186">
            <v>888.98</v>
          </cell>
          <cell r="P186">
            <v>0</v>
          </cell>
          <cell r="S186">
            <v>756.8</v>
          </cell>
          <cell r="T186" t="str">
            <v>Refunded</v>
          </cell>
          <cell r="U186" t="str">
            <v>Returned</v>
          </cell>
        </row>
        <row r="187">
          <cell r="A187" t="str">
            <v>ORD-2024-10186</v>
          </cell>
          <cell r="B187" t="str">
            <v>11/05/2024</v>
          </cell>
          <cell r="C187" t="str">
            <v>2024-11-13</v>
          </cell>
          <cell r="D187" t="str">
            <v>CUST-4968</v>
          </cell>
          <cell r="E187" t="str">
            <v>Arjun Bose</v>
          </cell>
          <cell r="F187" t="str">
            <v>Consumer</v>
          </cell>
          <cell r="H187" t="str">
            <v>Punjab</v>
          </cell>
          <cell r="I187" t="str">
            <v>Ludhiana</v>
          </cell>
          <cell r="J187" t="str">
            <v>Office Supplies</v>
          </cell>
          <cell r="K187" t="str">
            <v>Labels</v>
          </cell>
          <cell r="L187" t="str">
            <v>Smart Labels 475</v>
          </cell>
          <cell r="M187" t="str">
            <v>Second Class</v>
          </cell>
          <cell r="N187">
            <v>2</v>
          </cell>
          <cell r="O187">
            <v>1003.17</v>
          </cell>
          <cell r="P187">
            <v>0.2</v>
          </cell>
          <cell r="S187">
            <v>267.79000000000002</v>
          </cell>
          <cell r="T187" t="str">
            <v>Paid</v>
          </cell>
          <cell r="U187" t="str">
            <v>Completed</v>
          </cell>
        </row>
        <row r="188">
          <cell r="A188" t="str">
            <v>ORD-2024-10187</v>
          </cell>
          <cell r="B188" t="str">
            <v>19-07-2024</v>
          </cell>
          <cell r="C188" t="str">
            <v>20 Jul 2024</v>
          </cell>
          <cell r="D188" t="str">
            <v>CUST-2778</v>
          </cell>
          <cell r="E188" t="str">
            <v>Vikram Iyer</v>
          </cell>
          <cell r="F188" t="str">
            <v>Consumer</v>
          </cell>
          <cell r="G188" t="str">
            <v>South</v>
          </cell>
          <cell r="H188" t="str">
            <v>Tamil Nadu</v>
          </cell>
          <cell r="I188" t="str">
            <v>Chennai</v>
          </cell>
          <cell r="J188" t="str">
            <v>Furniture</v>
          </cell>
          <cell r="K188" t="str">
            <v>Tables</v>
          </cell>
          <cell r="L188" t="str">
            <v>Basic Tables 417</v>
          </cell>
          <cell r="M188" t="str">
            <v>First Class</v>
          </cell>
          <cell r="N188">
            <v>7</v>
          </cell>
          <cell r="O188">
            <v>3608.43</v>
          </cell>
          <cell r="P188">
            <v>0.05</v>
          </cell>
          <cell r="S188">
            <v>3828.78</v>
          </cell>
          <cell r="T188" t="str">
            <v>Paid</v>
          </cell>
          <cell r="U188" t="str">
            <v>Completed</v>
          </cell>
        </row>
        <row r="189">
          <cell r="A189" t="str">
            <v>ORD-2025-10188</v>
          </cell>
          <cell r="B189" t="str">
            <v>2025-05-01</v>
          </cell>
          <cell r="C189" t="str">
            <v>02 May 2025</v>
          </cell>
          <cell r="D189" t="str">
            <v>CUST-3109</v>
          </cell>
          <cell r="E189" t="str">
            <v>Mira Das</v>
          </cell>
          <cell r="F189" t="str">
            <v>Consumer</v>
          </cell>
          <cell r="G189" t="str">
            <v>West</v>
          </cell>
          <cell r="H189" t="str">
            <v>Madhya Pradesh</v>
          </cell>
          <cell r="I189" t="str">
            <v>Indore</v>
          </cell>
          <cell r="J189" t="str">
            <v>Furniture</v>
          </cell>
          <cell r="K189" t="str">
            <v>Chairs</v>
          </cell>
          <cell r="L189" t="str">
            <v>Pro Chairs 844</v>
          </cell>
          <cell r="M189" t="str">
            <v>Same Day</v>
          </cell>
          <cell r="N189">
            <v>3</v>
          </cell>
          <cell r="O189">
            <v>2905.74</v>
          </cell>
          <cell r="P189">
            <v>0</v>
          </cell>
          <cell r="S189">
            <v>2501.2600000000002</v>
          </cell>
          <cell r="T189" t="str">
            <v>Paid</v>
          </cell>
          <cell r="U189" t="str">
            <v>Returned</v>
          </cell>
        </row>
        <row r="190">
          <cell r="A190" t="str">
            <v>ORD-2025-10189</v>
          </cell>
          <cell r="B190" t="str">
            <v>2025-05-21</v>
          </cell>
          <cell r="C190" t="str">
            <v>28 May 2025</v>
          </cell>
          <cell r="D190" t="str">
            <v>CUST-3422</v>
          </cell>
          <cell r="E190" t="str">
            <v>Priya Menon</v>
          </cell>
          <cell r="F190" t="str">
            <v>Corporate</v>
          </cell>
          <cell r="G190" t="str">
            <v>East</v>
          </cell>
          <cell r="H190" t="str">
            <v>West Bengal</v>
          </cell>
          <cell r="I190" t="str">
            <v>Kolkata</v>
          </cell>
          <cell r="J190" t="str">
            <v>Furniture</v>
          </cell>
          <cell r="K190" t="str">
            <v>Bookcases</v>
          </cell>
          <cell r="L190" t="str">
            <v>Elite Bookcases 883</v>
          </cell>
          <cell r="M190" t="str">
            <v>Same Day</v>
          </cell>
          <cell r="N190">
            <v>2</v>
          </cell>
          <cell r="O190">
            <v>3559.57</v>
          </cell>
          <cell r="P190">
            <v>0.1</v>
          </cell>
          <cell r="S190">
            <v>1484.14</v>
          </cell>
          <cell r="T190" t="str">
            <v>Paid</v>
          </cell>
          <cell r="U190" t="str">
            <v>Completed</v>
          </cell>
        </row>
        <row r="191">
          <cell r="A191" t="str">
            <v>ORD-2025-10190</v>
          </cell>
          <cell r="B191" t="str">
            <v>2025-05-06</v>
          </cell>
          <cell r="C191" t="str">
            <v>07 May 2025</v>
          </cell>
          <cell r="D191" t="str">
            <v>CUST-3375</v>
          </cell>
          <cell r="E191" t="str">
            <v>Arjun Bose</v>
          </cell>
          <cell r="F191" t="str">
            <v>Consumer</v>
          </cell>
          <cell r="G191" t="str">
            <v>West</v>
          </cell>
          <cell r="H191" t="str">
            <v>Rajasthan</v>
          </cell>
          <cell r="I191" t="str">
            <v>Udaipur</v>
          </cell>
          <cell r="J191" t="str">
            <v>Furniture</v>
          </cell>
          <cell r="K191" t="str">
            <v>Bookcases</v>
          </cell>
          <cell r="L191" t="str">
            <v>Basic Bookcases 754</v>
          </cell>
          <cell r="M191" t="str">
            <v>First Class</v>
          </cell>
          <cell r="N191">
            <v>9</v>
          </cell>
          <cell r="O191">
            <v>3318.24</v>
          </cell>
          <cell r="S191">
            <v>8512.15</v>
          </cell>
          <cell r="T191" t="str">
            <v>Paid</v>
          </cell>
          <cell r="U191" t="str">
            <v>completed</v>
          </cell>
        </row>
        <row r="192">
          <cell r="A192" t="str">
            <v>ORD-2025-10191</v>
          </cell>
          <cell r="B192" t="str">
            <v>20-04-2025</v>
          </cell>
          <cell r="C192" t="str">
            <v>04/21/2025</v>
          </cell>
          <cell r="D192" t="str">
            <v>CUST-5138</v>
          </cell>
          <cell r="E192" t="str">
            <v>Aditi Sen</v>
          </cell>
          <cell r="F192" t="str">
            <v>Consumer</v>
          </cell>
          <cell r="G192" t="str">
            <v>South</v>
          </cell>
          <cell r="H192" t="str">
            <v>Tamil Nadu</v>
          </cell>
          <cell r="I192" t="str">
            <v>Chennai</v>
          </cell>
          <cell r="J192" t="str">
            <v>Office Supplies</v>
          </cell>
          <cell r="K192" t="str">
            <v>Storage</v>
          </cell>
          <cell r="L192" t="str">
            <v>Eco Storage 158</v>
          </cell>
          <cell r="M192" t="str">
            <v>First Class</v>
          </cell>
          <cell r="N192">
            <v>3</v>
          </cell>
          <cell r="O192">
            <v>540.09</v>
          </cell>
          <cell r="P192">
            <v>0.1</v>
          </cell>
          <cell r="S192">
            <v>514.91999999999996</v>
          </cell>
          <cell r="T192" t="str">
            <v>Paid</v>
          </cell>
          <cell r="U192" t="str">
            <v>Completed</v>
          </cell>
        </row>
        <row r="193">
          <cell r="A193" t="str">
            <v>ORD-2024-10192</v>
          </cell>
          <cell r="B193" t="str">
            <v>19-10-2024</v>
          </cell>
          <cell r="C193" t="str">
            <v>2024-10-24</v>
          </cell>
          <cell r="D193" t="str">
            <v>CUST-7410</v>
          </cell>
          <cell r="E193" t="str">
            <v>Sneha Kapoor</v>
          </cell>
          <cell r="F193" t="str">
            <v>Small Business</v>
          </cell>
          <cell r="G193" t="str">
            <v>South</v>
          </cell>
          <cell r="H193" t="str">
            <v>Tamil Nadu</v>
          </cell>
          <cell r="I193" t="str">
            <v>Chennai</v>
          </cell>
          <cell r="J193" t="str">
            <v>Furniture</v>
          </cell>
          <cell r="K193" t="str">
            <v>Bookcases</v>
          </cell>
          <cell r="L193" t="str">
            <v>Prime Bookcases 602</v>
          </cell>
          <cell r="M193" t="str">
            <v>Second Class</v>
          </cell>
          <cell r="N193">
            <v>6</v>
          </cell>
          <cell r="O193">
            <v>4308.3999999999996</v>
          </cell>
          <cell r="P193">
            <v>0.65</v>
          </cell>
          <cell r="S193">
            <v>6452.72</v>
          </cell>
          <cell r="T193" t="str">
            <v>Paid</v>
          </cell>
          <cell r="U193" t="str">
            <v>Completed</v>
          </cell>
        </row>
        <row r="194">
          <cell r="A194" t="str">
            <v>ORD-2024-10193</v>
          </cell>
          <cell r="B194" t="str">
            <v>2024-12-09</v>
          </cell>
          <cell r="C194" t="str">
            <v>12/16/2024</v>
          </cell>
          <cell r="D194" t="str">
            <v>CUST-7115</v>
          </cell>
          <cell r="E194" t="str">
            <v>Isha Nair</v>
          </cell>
          <cell r="F194" t="str">
            <v>Home Office</v>
          </cell>
          <cell r="G194" t="str">
            <v>West</v>
          </cell>
          <cell r="H194" t="str">
            <v>Gujarat</v>
          </cell>
          <cell r="I194" t="str">
            <v>Ahmedabad</v>
          </cell>
          <cell r="J194" t="str">
            <v>Furniture</v>
          </cell>
          <cell r="K194" t="str">
            <v>Chairs</v>
          </cell>
          <cell r="L194" t="str">
            <v>Eco Chairs 438</v>
          </cell>
          <cell r="M194" t="str">
            <v>First Class</v>
          </cell>
          <cell r="N194">
            <v>4</v>
          </cell>
          <cell r="O194">
            <v>2191.0300000000002</v>
          </cell>
          <cell r="P194">
            <v>0</v>
          </cell>
          <cell r="S194">
            <v>1544.07</v>
          </cell>
          <cell r="T194" t="str">
            <v>Paid</v>
          </cell>
          <cell r="U194" t="str">
            <v>Completed</v>
          </cell>
        </row>
        <row r="195">
          <cell r="A195" t="str">
            <v>ORD-2024-10194</v>
          </cell>
          <cell r="B195" t="str">
            <v>2024-06-23</v>
          </cell>
          <cell r="C195" t="str">
            <v>28-06-2024</v>
          </cell>
          <cell r="D195" t="str">
            <v>CUST-9853</v>
          </cell>
          <cell r="E195" t="str">
            <v>Priya Menon</v>
          </cell>
          <cell r="F195" t="str">
            <v>Small Business</v>
          </cell>
          <cell r="G195" t="str">
            <v>North</v>
          </cell>
          <cell r="H195" t="str">
            <v>Punjab</v>
          </cell>
          <cell r="I195" t="str">
            <v>Ludhiana</v>
          </cell>
          <cell r="J195" t="str">
            <v>Technology</v>
          </cell>
          <cell r="K195" t="str">
            <v>Copiers</v>
          </cell>
          <cell r="L195" t="str">
            <v>Prime Copiers 142</v>
          </cell>
          <cell r="M195" t="str">
            <v>Same Day</v>
          </cell>
          <cell r="N195">
            <v>6</v>
          </cell>
          <cell r="O195">
            <v>1956.63</v>
          </cell>
          <cell r="P195">
            <v>0.2</v>
          </cell>
          <cell r="S195">
            <v>3378.6</v>
          </cell>
          <cell r="T195" t="str">
            <v>Refunded</v>
          </cell>
          <cell r="U195" t="str">
            <v>Returned</v>
          </cell>
        </row>
        <row r="196">
          <cell r="A196" t="str">
            <v>ORD-2025-10195</v>
          </cell>
          <cell r="B196" t="str">
            <v>2025-01-28</v>
          </cell>
          <cell r="C196" t="str">
            <v>01/31/2025</v>
          </cell>
          <cell r="D196" t="str">
            <v>CUST-3637</v>
          </cell>
          <cell r="E196" t="str">
            <v>Priya Menon</v>
          </cell>
          <cell r="F196" t="str">
            <v>Consumer</v>
          </cell>
          <cell r="G196" t="str">
            <v>WEST</v>
          </cell>
          <cell r="H196" t="str">
            <v>Maharashtra</v>
          </cell>
          <cell r="I196" t="str">
            <v>Mumbai</v>
          </cell>
          <cell r="J196" t="str">
            <v>Furniture</v>
          </cell>
          <cell r="K196" t="str">
            <v>Furnishings</v>
          </cell>
          <cell r="L196" t="str">
            <v>Prime Furnishings 433</v>
          </cell>
          <cell r="M196" t="str">
            <v>First Class</v>
          </cell>
          <cell r="N196">
            <v>9</v>
          </cell>
          <cell r="O196">
            <v>858.39</v>
          </cell>
          <cell r="P196">
            <v>0.05</v>
          </cell>
          <cell r="S196">
            <v>1905.11</v>
          </cell>
          <cell r="T196" t="str">
            <v>Pending</v>
          </cell>
          <cell r="U196" t="str">
            <v>Returned</v>
          </cell>
        </row>
        <row r="197">
          <cell r="A197" t="str">
            <v>ORD-2025-10196</v>
          </cell>
          <cell r="B197" t="str">
            <v>22 Jul 2025</v>
          </cell>
          <cell r="C197" t="str">
            <v>07/24/2025</v>
          </cell>
          <cell r="D197" t="str">
            <v>CUST-4328</v>
          </cell>
          <cell r="E197" t="str">
            <v>Neha Gupta</v>
          </cell>
          <cell r="F197" t="str">
            <v>Home Office</v>
          </cell>
          <cell r="G197" t="str">
            <v>South</v>
          </cell>
          <cell r="H197" t="str">
            <v>Andhra Pradesh</v>
          </cell>
          <cell r="I197" t="str">
            <v>Vijayawada</v>
          </cell>
          <cell r="J197" t="str">
            <v>Furniture</v>
          </cell>
          <cell r="K197" t="str">
            <v>Furnishings</v>
          </cell>
          <cell r="L197" t="str">
            <v>Smart Furnishings 685</v>
          </cell>
          <cell r="M197" t="str">
            <v>Same Day</v>
          </cell>
          <cell r="N197">
            <v>5</v>
          </cell>
          <cell r="O197">
            <v>1922.83</v>
          </cell>
          <cell r="P197">
            <v>0</v>
          </cell>
          <cell r="S197">
            <v>2037.31</v>
          </cell>
          <cell r="T197" t="str">
            <v>Paid</v>
          </cell>
          <cell r="U197" t="str">
            <v>Completed</v>
          </cell>
        </row>
        <row r="198">
          <cell r="A198" t="str">
            <v>ORD-2024-10197</v>
          </cell>
          <cell r="B198" t="str">
            <v>22-01-2024</v>
          </cell>
          <cell r="C198" t="str">
            <v>25 Jan 2024</v>
          </cell>
          <cell r="D198" t="str">
            <v>CUST-8028</v>
          </cell>
          <cell r="E198" t="str">
            <v>Kabir Singh</v>
          </cell>
          <cell r="F198" t="str">
            <v>Home Office</v>
          </cell>
          <cell r="G198" t="str">
            <v>North</v>
          </cell>
          <cell r="H198" t="str">
            <v>Uttar Pradesh</v>
          </cell>
          <cell r="I198" t="str">
            <v>Noida</v>
          </cell>
          <cell r="J198" t="str">
            <v>Office Supplies</v>
          </cell>
          <cell r="K198" t="str">
            <v>Storage</v>
          </cell>
          <cell r="L198" t="str">
            <v>Elite Storage 915</v>
          </cell>
          <cell r="M198" t="str">
            <v>First Class</v>
          </cell>
          <cell r="N198">
            <v>3</v>
          </cell>
          <cell r="O198">
            <v>1212.03</v>
          </cell>
          <cell r="P198">
            <v>0.1</v>
          </cell>
          <cell r="S198">
            <v>755.04</v>
          </cell>
          <cell r="T198" t="str">
            <v>Paid</v>
          </cell>
          <cell r="U198" t="str">
            <v>Completed</v>
          </cell>
        </row>
        <row r="199">
          <cell r="A199" t="str">
            <v>ORD-2025-10198</v>
          </cell>
          <cell r="B199" t="str">
            <v>31 Mar 2025</v>
          </cell>
          <cell r="C199" t="str">
            <v>07-04-2025</v>
          </cell>
          <cell r="D199" t="str">
            <v>CUST-6106</v>
          </cell>
          <cell r="E199" t="str">
            <v>Rahul Verma</v>
          </cell>
          <cell r="F199" t="str">
            <v>Small  Business</v>
          </cell>
          <cell r="G199" t="str">
            <v>East</v>
          </cell>
          <cell r="H199" t="str">
            <v>Bihar</v>
          </cell>
          <cell r="I199" t="str">
            <v>Patna</v>
          </cell>
          <cell r="J199" t="str">
            <v>Office Supplies</v>
          </cell>
          <cell r="K199" t="str">
            <v>Storage</v>
          </cell>
          <cell r="L199" t="str">
            <v>Basic Storage 961</v>
          </cell>
          <cell r="M199" t="str">
            <v>Second Class</v>
          </cell>
          <cell r="N199">
            <v>5</v>
          </cell>
          <cell r="O199">
            <v>4096.4399999999996</v>
          </cell>
          <cell r="P199">
            <v>0.15</v>
          </cell>
          <cell r="S199">
            <v>3333.62</v>
          </cell>
          <cell r="T199" t="str">
            <v>Paid</v>
          </cell>
          <cell r="U199" t="str">
            <v>Completed</v>
          </cell>
        </row>
        <row r="200">
          <cell r="A200" t="str">
            <v>ORD-2024-10199</v>
          </cell>
          <cell r="B200" t="str">
            <v>05-06-2024</v>
          </cell>
          <cell r="C200" t="str">
            <v>06/06/2024</v>
          </cell>
          <cell r="D200" t="str">
            <v>CUST-7820</v>
          </cell>
          <cell r="E200" t="str">
            <v>Sneha Kapoor</v>
          </cell>
          <cell r="F200" t="str">
            <v>Consumer</v>
          </cell>
          <cell r="G200" t="str">
            <v>West</v>
          </cell>
          <cell r="H200" t="str">
            <v>Gujarat</v>
          </cell>
          <cell r="I200" t="str">
            <v>Ahmedabad</v>
          </cell>
          <cell r="J200" t="str">
            <v>Office Supplies</v>
          </cell>
          <cell r="K200" t="str">
            <v>Art</v>
          </cell>
          <cell r="L200" t="str">
            <v>Classic Art 968</v>
          </cell>
          <cell r="M200" t="str">
            <v>Second Class</v>
          </cell>
          <cell r="N200">
            <v>1</v>
          </cell>
          <cell r="O200">
            <v>1184.58</v>
          </cell>
          <cell r="P200">
            <v>0.05</v>
          </cell>
          <cell r="S200">
            <v>448.38</v>
          </cell>
          <cell r="T200" t="str">
            <v>Failed</v>
          </cell>
          <cell r="U200" t="str">
            <v>Cancelled</v>
          </cell>
        </row>
        <row r="201">
          <cell r="A201" t="str">
            <v>ORD-2024-10200</v>
          </cell>
          <cell r="B201" t="str">
            <v>03/12/2024</v>
          </cell>
          <cell r="C201" t="str">
            <v>12-03-2024</v>
          </cell>
          <cell r="D201" t="str">
            <v>CUST-4536</v>
          </cell>
          <cell r="E201" t="str">
            <v>Rahul Verma</v>
          </cell>
          <cell r="F201" t="str">
            <v>Home Office</v>
          </cell>
          <cell r="G201" t="str">
            <v>East</v>
          </cell>
          <cell r="H201" t="str">
            <v>Bihar</v>
          </cell>
          <cell r="I201" t="str">
            <v>Patna</v>
          </cell>
          <cell r="J201" t="str">
            <v>Technology</v>
          </cell>
          <cell r="K201" t="str">
            <v>Machines</v>
          </cell>
          <cell r="L201" t="str">
            <v>Prime Machines 806</v>
          </cell>
          <cell r="N201">
            <v>6</v>
          </cell>
          <cell r="O201">
            <v>2185.58</v>
          </cell>
          <cell r="P201">
            <v>0.25</v>
          </cell>
          <cell r="S201">
            <v>4397.47</v>
          </cell>
          <cell r="T201" t="str">
            <v>Paid</v>
          </cell>
          <cell r="U201" t="str">
            <v>Completed</v>
          </cell>
        </row>
        <row r="202">
          <cell r="A202" t="str">
            <v>ORD-2025-10201</v>
          </cell>
          <cell r="B202" t="str">
            <v>27-06-2025</v>
          </cell>
          <cell r="C202" t="str">
            <v>05 Jul 2025</v>
          </cell>
          <cell r="D202" t="str">
            <v>CUST-7047</v>
          </cell>
          <cell r="E202" t="str">
            <v>Priya Menon</v>
          </cell>
          <cell r="F202" t="str">
            <v>Small Business</v>
          </cell>
          <cell r="G202" t="str">
            <v>North</v>
          </cell>
          <cell r="H202" t="str">
            <v>Rajasthan</v>
          </cell>
          <cell r="I202" t="str">
            <v>Jaipur</v>
          </cell>
          <cell r="J202" t="str">
            <v>Technology</v>
          </cell>
          <cell r="K202" t="str">
            <v>Copiers</v>
          </cell>
          <cell r="L202" t="str">
            <v>Classic Copiers 479</v>
          </cell>
          <cell r="M202" t="str">
            <v>First Class</v>
          </cell>
          <cell r="N202">
            <v>5</v>
          </cell>
          <cell r="O202">
            <v>2868.44</v>
          </cell>
          <cell r="P202">
            <v>0.1</v>
          </cell>
          <cell r="S202">
            <v>3710.9</v>
          </cell>
          <cell r="T202" t="str">
            <v>Pending</v>
          </cell>
          <cell r="U202" t="str">
            <v>Cancelled</v>
          </cell>
        </row>
        <row r="203">
          <cell r="A203" t="str">
            <v>ORD-2025-10202</v>
          </cell>
          <cell r="B203" t="str">
            <v>26-07-2025</v>
          </cell>
          <cell r="C203" t="str">
            <v>08/03/2025</v>
          </cell>
          <cell r="D203" t="str">
            <v>CUST-8005</v>
          </cell>
          <cell r="E203" t="str">
            <v>Vikram Iyer</v>
          </cell>
          <cell r="F203" t="str">
            <v>Consumer</v>
          </cell>
          <cell r="G203" t="str">
            <v>West</v>
          </cell>
          <cell r="H203" t="str">
            <v>Madhya Pradesh</v>
          </cell>
          <cell r="I203" t="str">
            <v>Indore</v>
          </cell>
          <cell r="J203" t="str">
            <v>Office Supplies</v>
          </cell>
          <cell r="K203" t="str">
            <v>Labels</v>
          </cell>
          <cell r="L203" t="str">
            <v>Basic Labels 511</v>
          </cell>
          <cell r="M203" t="str">
            <v>Second Class</v>
          </cell>
          <cell r="N203">
            <v>2</v>
          </cell>
          <cell r="O203">
            <v>2503.5300000000002</v>
          </cell>
          <cell r="P203">
            <v>-0.16</v>
          </cell>
          <cell r="S203">
            <v>1801.85</v>
          </cell>
          <cell r="T203" t="str">
            <v>Refunded</v>
          </cell>
          <cell r="U203" t="str">
            <v>Cancelled</v>
          </cell>
        </row>
        <row r="204">
          <cell r="A204" t="str">
            <v>ORD-2025-10203</v>
          </cell>
          <cell r="B204" t="str">
            <v>2025-03-28</v>
          </cell>
          <cell r="C204" t="str">
            <v>28 Mar 2025</v>
          </cell>
          <cell r="D204" t="str">
            <v>CUST-9378</v>
          </cell>
          <cell r="E204" t="str">
            <v>Sneha Kapoor</v>
          </cell>
          <cell r="F204" t="str">
            <v>Corporate</v>
          </cell>
          <cell r="G204" t="str">
            <v>West</v>
          </cell>
          <cell r="H204" t="str">
            <v>Goa</v>
          </cell>
          <cell r="I204" t="str">
            <v>Panaji</v>
          </cell>
          <cell r="J204" t="str">
            <v>Technology</v>
          </cell>
          <cell r="K204" t="str">
            <v>Accessories</v>
          </cell>
          <cell r="L204" t="str">
            <v>Prime Accessories 733</v>
          </cell>
          <cell r="M204" t="str">
            <v>Standard Class</v>
          </cell>
          <cell r="N204">
            <v>8</v>
          </cell>
          <cell r="O204">
            <v>1740.94</v>
          </cell>
          <cell r="P204">
            <v>0.05</v>
          </cell>
          <cell r="S204">
            <v>1941.08</v>
          </cell>
          <cell r="T204" t="str">
            <v>Paid</v>
          </cell>
          <cell r="U204" t="str">
            <v>Completed</v>
          </cell>
        </row>
        <row r="205">
          <cell r="A205" t="str">
            <v>ORD-2024-10204</v>
          </cell>
          <cell r="B205" t="str">
            <v>28 Mar 2024</v>
          </cell>
          <cell r="C205" t="str">
            <v>2024-03-30</v>
          </cell>
          <cell r="D205" t="str">
            <v>CUST-3384</v>
          </cell>
          <cell r="E205" t="str">
            <v>Sneha Kapoor</v>
          </cell>
          <cell r="F205" t="str">
            <v>Corporate</v>
          </cell>
          <cell r="G205" t="str">
            <v>West</v>
          </cell>
          <cell r="H205" t="str">
            <v>Rajasthan</v>
          </cell>
          <cell r="I205" t="str">
            <v>Udaipur</v>
          </cell>
          <cell r="J205" t="str">
            <v>Technology</v>
          </cell>
          <cell r="K205" t="str">
            <v>Accessories</v>
          </cell>
          <cell r="L205" t="str">
            <v>Max Accessories 186</v>
          </cell>
          <cell r="M205" t="str">
            <v>Second Class</v>
          </cell>
          <cell r="N205">
            <v>1</v>
          </cell>
          <cell r="O205">
            <v>570.34</v>
          </cell>
          <cell r="P205">
            <v>0.15</v>
          </cell>
          <cell r="S205">
            <v>151.25</v>
          </cell>
          <cell r="T205" t="str">
            <v>Paid</v>
          </cell>
          <cell r="U205" t="str">
            <v>Completed</v>
          </cell>
        </row>
        <row r="206">
          <cell r="A206" t="str">
            <v>ORD-2025-10205</v>
          </cell>
          <cell r="B206" t="str">
            <v>20-07-2025</v>
          </cell>
          <cell r="C206" t="str">
            <v>2025-07-23</v>
          </cell>
          <cell r="D206" t="str">
            <v>CUST-1986</v>
          </cell>
          <cell r="E206" t="str">
            <v>Mira Das</v>
          </cell>
          <cell r="F206" t="str">
            <v>Home Office</v>
          </cell>
          <cell r="G206" t="str">
            <v>East</v>
          </cell>
          <cell r="H206" t="str">
            <v>West Bengal</v>
          </cell>
          <cell r="I206" t="str">
            <v>Kolkata</v>
          </cell>
          <cell r="J206" t="str">
            <v>Furniture</v>
          </cell>
          <cell r="K206" t="str">
            <v>Tables</v>
          </cell>
          <cell r="L206" t="str">
            <v>Elite Tables 318</v>
          </cell>
          <cell r="M206" t="str">
            <v>Second Class</v>
          </cell>
          <cell r="N206">
            <v>4</v>
          </cell>
          <cell r="O206">
            <v>477.69</v>
          </cell>
          <cell r="P206">
            <v>0.15</v>
          </cell>
          <cell r="S206">
            <v>406.16</v>
          </cell>
          <cell r="T206" t="str">
            <v>Paid</v>
          </cell>
          <cell r="U206" t="str">
            <v>Completed</v>
          </cell>
        </row>
        <row r="207">
          <cell r="A207" t="str">
            <v>ORD-2025-10206</v>
          </cell>
          <cell r="B207" t="str">
            <v>21-04-2025</v>
          </cell>
          <cell r="C207" t="str">
            <v>04/26/2025</v>
          </cell>
          <cell r="D207" t="str">
            <v>CUST-3338</v>
          </cell>
          <cell r="E207" t="str">
            <v>Ananya Rao</v>
          </cell>
          <cell r="F207" t="str">
            <v>Consumer</v>
          </cell>
          <cell r="G207" t="str">
            <v>West</v>
          </cell>
          <cell r="H207" t="str">
            <v>Maharashtra</v>
          </cell>
          <cell r="I207" t="str">
            <v>Mumbai</v>
          </cell>
          <cell r="J207" t="str">
            <v>OFFICE SUPPLIES</v>
          </cell>
          <cell r="K207" t="str">
            <v>Labels</v>
          </cell>
          <cell r="L207" t="str">
            <v>Smart Labels 354</v>
          </cell>
          <cell r="M207" t="str">
            <v>Same Day</v>
          </cell>
          <cell r="N207">
            <v>6</v>
          </cell>
          <cell r="O207">
            <v>873.59</v>
          </cell>
          <cell r="P207">
            <v>0.2</v>
          </cell>
          <cell r="S207">
            <v>863.24</v>
          </cell>
          <cell r="T207" t="str">
            <v>Paid</v>
          </cell>
          <cell r="U207" t="str">
            <v>Completed</v>
          </cell>
        </row>
        <row r="208">
          <cell r="A208" t="str">
            <v>ORD-2025-10207</v>
          </cell>
          <cell r="B208" t="str">
            <v>05/18/2025</v>
          </cell>
          <cell r="C208" t="str">
            <v>20 May 2025</v>
          </cell>
          <cell r="D208" t="str">
            <v>CUST-2343</v>
          </cell>
          <cell r="E208" t="str">
            <v>Diya Patel</v>
          </cell>
          <cell r="F208" t="str">
            <v>Small Business</v>
          </cell>
          <cell r="G208" t="str">
            <v>North</v>
          </cell>
          <cell r="H208" t="str">
            <v>Uttar Pradesh</v>
          </cell>
          <cell r="I208" t="str">
            <v>Noida</v>
          </cell>
          <cell r="J208" t="str">
            <v>Furniture</v>
          </cell>
          <cell r="K208" t="str">
            <v>Furnishings</v>
          </cell>
          <cell r="L208" t="str">
            <v>Pro Furnishings 981</v>
          </cell>
          <cell r="M208" t="str">
            <v>First Class</v>
          </cell>
          <cell r="N208">
            <v>2</v>
          </cell>
          <cell r="O208">
            <v>215.13</v>
          </cell>
          <cell r="P208">
            <v>0</v>
          </cell>
          <cell r="S208">
            <v>143.88</v>
          </cell>
          <cell r="T208" t="str">
            <v>Paid</v>
          </cell>
          <cell r="U208" t="str">
            <v>Completed</v>
          </cell>
        </row>
        <row r="209">
          <cell r="A209" t="str">
            <v>ORD-2024-10208</v>
          </cell>
          <cell r="B209" t="str">
            <v>10 Jul 2024</v>
          </cell>
          <cell r="C209" t="str">
            <v>2024-07-16</v>
          </cell>
          <cell r="D209" t="str">
            <v>CUST-3362</v>
          </cell>
          <cell r="E209" t="str">
            <v>Aarav Sharma</v>
          </cell>
          <cell r="F209" t="str">
            <v>Home Office</v>
          </cell>
          <cell r="G209" t="str">
            <v>West</v>
          </cell>
          <cell r="H209" t="str">
            <v>Goa</v>
          </cell>
          <cell r="I209" t="str">
            <v>Panaji</v>
          </cell>
          <cell r="J209" t="str">
            <v>Furniture</v>
          </cell>
          <cell r="K209" t="str">
            <v>Bookcases</v>
          </cell>
          <cell r="L209" t="str">
            <v>Eco Bookcases 671</v>
          </cell>
          <cell r="M209" t="str">
            <v>Second Class</v>
          </cell>
          <cell r="N209">
            <v>2</v>
          </cell>
          <cell r="O209">
            <v>1095.45</v>
          </cell>
          <cell r="P209">
            <v>0.2</v>
          </cell>
          <cell r="S209">
            <v>756.31</v>
          </cell>
          <cell r="T209" t="str">
            <v>Paid</v>
          </cell>
          <cell r="U209" t="str">
            <v>Completed</v>
          </cell>
        </row>
        <row r="210">
          <cell r="A210" t="str">
            <v>ORD-2025-10209</v>
          </cell>
          <cell r="B210" t="str">
            <v>06/29/2025</v>
          </cell>
          <cell r="C210" t="str">
            <v>05-07-2025</v>
          </cell>
          <cell r="D210" t="str">
            <v>CUST-3662</v>
          </cell>
          <cell r="E210" t="str">
            <v>Diya Patel</v>
          </cell>
          <cell r="F210" t="str">
            <v>Consumer</v>
          </cell>
          <cell r="G210" t="str">
            <v>North</v>
          </cell>
          <cell r="H210" t="str">
            <v>Punjab</v>
          </cell>
          <cell r="I210" t="str">
            <v>Ludhiana</v>
          </cell>
          <cell r="J210" t="str">
            <v>Furniture</v>
          </cell>
          <cell r="K210" t="str">
            <v>Chairs</v>
          </cell>
          <cell r="L210" t="str">
            <v>Max Chairs 151</v>
          </cell>
          <cell r="M210" t="str">
            <v>Same Day</v>
          </cell>
          <cell r="N210">
            <v>1</v>
          </cell>
          <cell r="O210">
            <v>999.83</v>
          </cell>
          <cell r="P210">
            <v>0</v>
          </cell>
          <cell r="S210">
            <v>364.92</v>
          </cell>
          <cell r="T210" t="str">
            <v>Paid</v>
          </cell>
          <cell r="U210" t="str">
            <v>Completed</v>
          </cell>
        </row>
        <row r="211">
          <cell r="A211" t="str">
            <v>ORD-2025-10210</v>
          </cell>
          <cell r="B211" t="str">
            <v>08/13/2025</v>
          </cell>
          <cell r="C211" t="str">
            <v>08/14/2025</v>
          </cell>
          <cell r="D211" t="str">
            <v>CUST-4947</v>
          </cell>
          <cell r="E211" t="str">
            <v>Rohan Mehta</v>
          </cell>
          <cell r="F211" t="str">
            <v>Small Business</v>
          </cell>
          <cell r="G211" t="str">
            <v>South</v>
          </cell>
          <cell r="H211" t="str">
            <v>Andhra Pradesh</v>
          </cell>
          <cell r="I211" t="str">
            <v>Vijayawada</v>
          </cell>
          <cell r="J211" t="str">
            <v>Office Supplies</v>
          </cell>
          <cell r="K211" t="str">
            <v>Paper</v>
          </cell>
          <cell r="L211" t="str">
            <v>Prime Paper 903</v>
          </cell>
          <cell r="M211" t="str">
            <v>First Class</v>
          </cell>
          <cell r="N211">
            <v>9</v>
          </cell>
          <cell r="O211">
            <v>864.98</v>
          </cell>
          <cell r="P211">
            <v>0.1</v>
          </cell>
          <cell r="S211">
            <v>2365.46</v>
          </cell>
          <cell r="T211" t="str">
            <v>Paid</v>
          </cell>
          <cell r="U211" t="str">
            <v>Completed</v>
          </cell>
        </row>
        <row r="212">
          <cell r="A212" t="str">
            <v>ORD-2024-10211</v>
          </cell>
          <cell r="B212" t="str">
            <v>03/15/2024</v>
          </cell>
          <cell r="C212" t="str">
            <v>18-03-2024</v>
          </cell>
          <cell r="D212" t="str">
            <v>CUST-3076</v>
          </cell>
          <cell r="E212" t="str">
            <v>Kabir Singh</v>
          </cell>
          <cell r="F212" t="str">
            <v>Home Office</v>
          </cell>
          <cell r="G212" t="str">
            <v>South</v>
          </cell>
          <cell r="H212" t="str">
            <v>Karnataka</v>
          </cell>
          <cell r="I212" t="str">
            <v>Bengaluru</v>
          </cell>
          <cell r="J212" t="str">
            <v>Technology</v>
          </cell>
          <cell r="K212" t="str">
            <v>Machines</v>
          </cell>
          <cell r="L212" t="str">
            <v>Classic Machines 944</v>
          </cell>
          <cell r="M212" t="str">
            <v>Second Class</v>
          </cell>
          <cell r="N212">
            <v>1</v>
          </cell>
          <cell r="O212">
            <v>4131.3599999999997</v>
          </cell>
          <cell r="P212">
            <v>0</v>
          </cell>
          <cell r="S212">
            <v>1194.29</v>
          </cell>
          <cell r="T212" t="str">
            <v>Failed</v>
          </cell>
          <cell r="U212" t="str">
            <v>Returned</v>
          </cell>
        </row>
        <row r="213">
          <cell r="A213" t="str">
            <v>ORD-2024-10212</v>
          </cell>
          <cell r="B213" t="str">
            <v>05/16/2024</v>
          </cell>
          <cell r="C213" t="str">
            <v>05/17/2024</v>
          </cell>
          <cell r="D213" t="str">
            <v>CUST-2222</v>
          </cell>
          <cell r="E213" t="str">
            <v>Rohan Mehta</v>
          </cell>
          <cell r="F213" t="str">
            <v>Corporate</v>
          </cell>
          <cell r="G213" t="str">
            <v>EAST</v>
          </cell>
          <cell r="H213" t="str">
            <v>West Bengal</v>
          </cell>
          <cell r="I213" t="str">
            <v>Kolkata</v>
          </cell>
          <cell r="J213" t="str">
            <v>Technology</v>
          </cell>
          <cell r="K213" t="str">
            <v>Copiers</v>
          </cell>
          <cell r="L213" t="str">
            <v>Basic Copiers 222</v>
          </cell>
          <cell r="M213" t="str">
            <v>Second Class</v>
          </cell>
          <cell r="N213">
            <v>8</v>
          </cell>
          <cell r="O213">
            <v>4221.95</v>
          </cell>
          <cell r="P213">
            <v>0.2</v>
          </cell>
          <cell r="S213">
            <v>4135.24</v>
          </cell>
          <cell r="T213" t="str">
            <v>Paid</v>
          </cell>
          <cell r="U213" t="str">
            <v>Completed</v>
          </cell>
        </row>
        <row r="214">
          <cell r="A214" t="str">
            <v>ORD-2024-10213</v>
          </cell>
          <cell r="B214" t="str">
            <v>09/21/2024</v>
          </cell>
          <cell r="C214" t="str">
            <v>2024-09-21</v>
          </cell>
          <cell r="D214" t="str">
            <v>CUST-3610</v>
          </cell>
          <cell r="E214" t="str">
            <v>Ananya Rao</v>
          </cell>
          <cell r="F214" t="str">
            <v>Small Business</v>
          </cell>
          <cell r="G214" t="str">
            <v>East</v>
          </cell>
          <cell r="H214" t="str">
            <v>Odisha</v>
          </cell>
          <cell r="I214" t="str">
            <v>Bhubaneswar</v>
          </cell>
          <cell r="J214" t="str">
            <v>Technology</v>
          </cell>
          <cell r="K214" t="str">
            <v>Phones</v>
          </cell>
          <cell r="L214" t="str">
            <v>Max Phones 329</v>
          </cell>
          <cell r="M214" t="str">
            <v>Same Day</v>
          </cell>
          <cell r="N214">
            <v>2</v>
          </cell>
          <cell r="O214">
            <v>214.5</v>
          </cell>
          <cell r="P214">
            <v>0.15</v>
          </cell>
          <cell r="S214">
            <v>83.91</v>
          </cell>
          <cell r="T214" t="str">
            <v>Paid</v>
          </cell>
          <cell r="U214" t="str">
            <v>Completed</v>
          </cell>
        </row>
        <row r="215">
          <cell r="A215" t="str">
            <v>ORD-2024-10214</v>
          </cell>
          <cell r="B215" t="str">
            <v>15 May 2024</v>
          </cell>
          <cell r="C215" t="str">
            <v>21-05-2024</v>
          </cell>
          <cell r="D215" t="str">
            <v>CUST-9136</v>
          </cell>
          <cell r="E215" t="str">
            <v>Isha Nair</v>
          </cell>
          <cell r="F215" t="str">
            <v>Small Business</v>
          </cell>
          <cell r="G215" t="str">
            <v>East</v>
          </cell>
          <cell r="H215" t="str">
            <v>Bihar</v>
          </cell>
          <cell r="I215" t="str">
            <v>Patna</v>
          </cell>
          <cell r="J215" t="str">
            <v>Technology</v>
          </cell>
          <cell r="K215" t="str">
            <v>Accessories</v>
          </cell>
          <cell r="L215" t="str">
            <v>Classic Accessories 840</v>
          </cell>
          <cell r="M215" t="str">
            <v>Second Class</v>
          </cell>
          <cell r="N215">
            <v>4</v>
          </cell>
          <cell r="O215">
            <v>4332.7299999999996</v>
          </cell>
          <cell r="P215">
            <v>0.2</v>
          </cell>
          <cell r="S215">
            <v>2570.6799999999998</v>
          </cell>
          <cell r="T215" t="str">
            <v>Paid</v>
          </cell>
          <cell r="U215" t="str">
            <v>Completed</v>
          </cell>
        </row>
        <row r="216">
          <cell r="A216" t="str">
            <v>ORD-2024-10215</v>
          </cell>
          <cell r="B216" t="str">
            <v>17 Mar 2024</v>
          </cell>
          <cell r="C216" t="str">
            <v>23-03-2024</v>
          </cell>
          <cell r="D216" t="str">
            <v>CUST-1301</v>
          </cell>
          <cell r="E216" t="str">
            <v>Rahul Verma</v>
          </cell>
          <cell r="F216" t="str">
            <v>Consumer</v>
          </cell>
          <cell r="G216" t="str">
            <v>North</v>
          </cell>
          <cell r="H216" t="str">
            <v>Haryana</v>
          </cell>
          <cell r="I216" t="str">
            <v>Gurugram</v>
          </cell>
          <cell r="J216" t="str">
            <v>Technology</v>
          </cell>
          <cell r="K216" t="str">
            <v>Accessories</v>
          </cell>
          <cell r="L216" t="str">
            <v>Classic Accessories 757</v>
          </cell>
          <cell r="M216" t="str">
            <v>First Class</v>
          </cell>
          <cell r="N216">
            <v>3</v>
          </cell>
          <cell r="O216">
            <v>248.18</v>
          </cell>
          <cell r="P216">
            <v>0.05</v>
          </cell>
          <cell r="S216">
            <v>138.31</v>
          </cell>
          <cell r="T216" t="str">
            <v>Paid</v>
          </cell>
          <cell r="U216" t="str">
            <v>Completed</v>
          </cell>
        </row>
        <row r="217">
          <cell r="A217" t="str">
            <v>ORD-2024-10216</v>
          </cell>
          <cell r="B217" t="str">
            <v>01-03-2024</v>
          </cell>
          <cell r="C217" t="str">
            <v>2024-03-04</v>
          </cell>
          <cell r="D217" t="str">
            <v>CUST-8603</v>
          </cell>
          <cell r="E217" t="str">
            <v>Mira Das</v>
          </cell>
          <cell r="F217" t="str">
            <v>Consumer</v>
          </cell>
          <cell r="G217" t="str">
            <v>West</v>
          </cell>
          <cell r="H217" t="str">
            <v>Madhya Pradesh</v>
          </cell>
          <cell r="I217" t="str">
            <v>Indore</v>
          </cell>
          <cell r="J217" t="str">
            <v>Office Supplies</v>
          </cell>
          <cell r="K217" t="str">
            <v>Paper</v>
          </cell>
          <cell r="L217" t="str">
            <v>Prime Paper 286</v>
          </cell>
          <cell r="M217" t="str">
            <v>First Class</v>
          </cell>
          <cell r="N217">
            <v>8</v>
          </cell>
          <cell r="O217">
            <v>3202.4</v>
          </cell>
          <cell r="P217">
            <v>0.25</v>
          </cell>
          <cell r="S217">
            <v>8298.39</v>
          </cell>
          <cell r="T217" t="str">
            <v>Paid</v>
          </cell>
          <cell r="U217" t="str">
            <v>Completed</v>
          </cell>
        </row>
        <row r="218">
          <cell r="A218" t="str">
            <v>ORD-2025-10217</v>
          </cell>
          <cell r="B218" t="str">
            <v>04/10/2025</v>
          </cell>
          <cell r="C218" t="str">
            <v>15 Apr 2025</v>
          </cell>
          <cell r="D218" t="str">
            <v>CUST-4330</v>
          </cell>
          <cell r="E218" t="str">
            <v>Isha Nair</v>
          </cell>
          <cell r="F218" t="str">
            <v>Consumer</v>
          </cell>
          <cell r="G218" t="str">
            <v>West</v>
          </cell>
          <cell r="H218" t="str">
            <v>Gujarat</v>
          </cell>
          <cell r="I218" t="str">
            <v>Ahmedabad</v>
          </cell>
          <cell r="J218" t="str">
            <v>Furniture</v>
          </cell>
          <cell r="K218" t="str">
            <v>Tables</v>
          </cell>
          <cell r="L218" t="str">
            <v>Basic Tables 400</v>
          </cell>
          <cell r="M218" t="str">
            <v>Standard Class</v>
          </cell>
          <cell r="N218">
            <v>8</v>
          </cell>
          <cell r="O218">
            <v>1839.87</v>
          </cell>
          <cell r="P218">
            <v>0.25</v>
          </cell>
          <cell r="S218">
            <v>3396.31</v>
          </cell>
          <cell r="T218" t="str">
            <v>Failed</v>
          </cell>
          <cell r="U218" t="str">
            <v>Returned</v>
          </cell>
        </row>
        <row r="219">
          <cell r="A219" t="str">
            <v>ORD-2025-10218</v>
          </cell>
          <cell r="B219" t="str">
            <v>01-04-2025</v>
          </cell>
          <cell r="C219" t="str">
            <v>04/08/2025</v>
          </cell>
          <cell r="D219" t="str">
            <v>CUST-4533</v>
          </cell>
          <cell r="E219" t="str">
            <v>Aditi Sen</v>
          </cell>
          <cell r="F219" t="str">
            <v>Consumer</v>
          </cell>
          <cell r="G219" t="str">
            <v>East</v>
          </cell>
          <cell r="H219" t="str">
            <v>Odisha</v>
          </cell>
          <cell r="I219" t="str">
            <v>Bhubaneswar</v>
          </cell>
          <cell r="J219" t="str">
            <v>Furniture</v>
          </cell>
          <cell r="K219" t="str">
            <v>Bookcases</v>
          </cell>
          <cell r="L219" t="str">
            <v>Basic Bookcases 405</v>
          </cell>
          <cell r="M219" t="str">
            <v>Second Class</v>
          </cell>
          <cell r="N219">
            <v>5</v>
          </cell>
          <cell r="O219">
            <v>1021.28</v>
          </cell>
          <cell r="P219">
            <v>0.1</v>
          </cell>
          <cell r="S219">
            <v>1198.96</v>
          </cell>
          <cell r="T219" t="str">
            <v>Refunded</v>
          </cell>
          <cell r="U219" t="str">
            <v>Cancelled</v>
          </cell>
        </row>
        <row r="220">
          <cell r="A220" t="str">
            <v>ORD-2025-10219</v>
          </cell>
          <cell r="B220" t="str">
            <v>26 Feb 2025</v>
          </cell>
          <cell r="C220" t="str">
            <v>27-02-2025</v>
          </cell>
          <cell r="D220" t="str">
            <v>CUST-8270</v>
          </cell>
          <cell r="E220" t="str">
            <v>Priya Menon</v>
          </cell>
          <cell r="F220" t="str">
            <v>Corporate</v>
          </cell>
          <cell r="G220" t="str">
            <v>West</v>
          </cell>
          <cell r="H220" t="str">
            <v>Gujarat</v>
          </cell>
          <cell r="I220" t="str">
            <v>Ahmedabad</v>
          </cell>
          <cell r="J220" t="str">
            <v>Furniture</v>
          </cell>
          <cell r="K220" t="str">
            <v>Bookcases</v>
          </cell>
          <cell r="L220" t="str">
            <v>Classic Bookcases 139</v>
          </cell>
          <cell r="M220" t="str">
            <v>Standard Class</v>
          </cell>
          <cell r="N220">
            <v>5</v>
          </cell>
          <cell r="O220">
            <v>258.27999999999997</v>
          </cell>
          <cell r="P220">
            <v>0</v>
          </cell>
          <cell r="S220">
            <v>534.47</v>
          </cell>
          <cell r="T220" t="str">
            <v>Paid</v>
          </cell>
          <cell r="U220" t="str">
            <v>Completed</v>
          </cell>
        </row>
        <row r="221">
          <cell r="A221" t="str">
            <v>ORD-2024-10220</v>
          </cell>
          <cell r="B221" t="str">
            <v>2024-06-18</v>
          </cell>
          <cell r="C221" t="str">
            <v>06/19/2024</v>
          </cell>
          <cell r="D221" t="str">
            <v>CUST-1472</v>
          </cell>
          <cell r="E221" t="str">
            <v>Rahul Verma</v>
          </cell>
          <cell r="F221" t="str">
            <v>Consumer</v>
          </cell>
          <cell r="G221" t="str">
            <v>East</v>
          </cell>
          <cell r="H221" t="str">
            <v>Bihar</v>
          </cell>
          <cell r="I221" t="str">
            <v>Patna</v>
          </cell>
          <cell r="J221" t="str">
            <v>Technology</v>
          </cell>
          <cell r="K221" t="str">
            <v>Machines</v>
          </cell>
          <cell r="L221" t="str">
            <v>Elite Machines 290</v>
          </cell>
          <cell r="M221" t="str">
            <v>First Class</v>
          </cell>
          <cell r="N221">
            <v>2</v>
          </cell>
          <cell r="O221">
            <v>121.49</v>
          </cell>
          <cell r="P221" t="str">
            <v>85%</v>
          </cell>
          <cell r="S221">
            <v>81.56</v>
          </cell>
          <cell r="T221" t="str">
            <v>Paid</v>
          </cell>
          <cell r="U221" t="str">
            <v>Completed</v>
          </cell>
        </row>
        <row r="222">
          <cell r="A222" t="str">
            <v>ORD-2024-10221</v>
          </cell>
          <cell r="B222" t="str">
            <v>09/03/2024</v>
          </cell>
          <cell r="C222" t="str">
            <v>09/03/2024</v>
          </cell>
          <cell r="D222" t="str">
            <v>CUST-1031</v>
          </cell>
          <cell r="E222" t="str">
            <v>Sneha Kapoor</v>
          </cell>
          <cell r="F222" t="str">
            <v>Consumer</v>
          </cell>
          <cell r="G222" t="str">
            <v>South</v>
          </cell>
          <cell r="H222" t="str">
            <v>Kerala</v>
          </cell>
          <cell r="I222" t="str">
            <v>Kochi</v>
          </cell>
          <cell r="J222" t="str">
            <v>Office Supplies</v>
          </cell>
          <cell r="K222" t="str">
            <v>Storage</v>
          </cell>
          <cell r="L222" t="str">
            <v>Elite Storage 925</v>
          </cell>
          <cell r="M222" t="str">
            <v>First Class</v>
          </cell>
          <cell r="N222">
            <v>4</v>
          </cell>
          <cell r="O222">
            <v>2810.17</v>
          </cell>
          <cell r="P222">
            <v>0.15</v>
          </cell>
          <cell r="S222">
            <v>3486.11</v>
          </cell>
          <cell r="T222" t="str">
            <v>Refunded</v>
          </cell>
          <cell r="U222" t="str">
            <v>Cancelled</v>
          </cell>
        </row>
        <row r="223">
          <cell r="A223" t="str">
            <v>ORD-2025-10222</v>
          </cell>
          <cell r="B223" t="str">
            <v>12-01-2025</v>
          </cell>
          <cell r="C223" t="str">
            <v>2025-01-15</v>
          </cell>
          <cell r="D223" t="str">
            <v>CUST-2495</v>
          </cell>
          <cell r="E223" t="str">
            <v>Mira Das</v>
          </cell>
          <cell r="F223" t="str">
            <v>Corporate</v>
          </cell>
          <cell r="G223" t="str">
            <v>South</v>
          </cell>
          <cell r="H223" t="str">
            <v>Karnataka</v>
          </cell>
          <cell r="I223" t="str">
            <v>Bengaluru</v>
          </cell>
          <cell r="J223" t="str">
            <v>Furniture</v>
          </cell>
          <cell r="K223" t="str">
            <v>Chairs</v>
          </cell>
          <cell r="L223" t="str">
            <v>Classic Chairs 231</v>
          </cell>
          <cell r="M223" t="str">
            <v>Same Day</v>
          </cell>
          <cell r="N223">
            <v>4</v>
          </cell>
          <cell r="O223">
            <v>1531.53</v>
          </cell>
          <cell r="P223">
            <v>0.2</v>
          </cell>
          <cell r="S223">
            <v>1348.21</v>
          </cell>
          <cell r="T223" t="str">
            <v>Paid</v>
          </cell>
          <cell r="U223" t="str">
            <v>Completed</v>
          </cell>
        </row>
        <row r="224">
          <cell r="A224" t="str">
            <v>ORD-2025-10223</v>
          </cell>
          <cell r="B224" t="str">
            <v>04/29/2025</v>
          </cell>
          <cell r="C224" t="str">
            <v>02 May 2025</v>
          </cell>
          <cell r="D224" t="str">
            <v>CUST-4583</v>
          </cell>
          <cell r="E224" t="str">
            <v>Vikram Iyer</v>
          </cell>
          <cell r="F224" t="str">
            <v>Small Business</v>
          </cell>
          <cell r="G224" t="str">
            <v>West</v>
          </cell>
          <cell r="H224" t="str">
            <v>Goa</v>
          </cell>
          <cell r="I224" t="str">
            <v>Panaji</v>
          </cell>
          <cell r="J224" t="str">
            <v>Office Supplies</v>
          </cell>
          <cell r="K224" t="str">
            <v>Storage</v>
          </cell>
          <cell r="L224" t="str">
            <v>Prime Storage 818</v>
          </cell>
          <cell r="M224" t="str">
            <v>First Class</v>
          </cell>
          <cell r="N224">
            <v>6</v>
          </cell>
          <cell r="O224">
            <v>4308.09</v>
          </cell>
          <cell r="P224">
            <v>0</v>
          </cell>
          <cell r="S224">
            <v>8119.45</v>
          </cell>
          <cell r="T224" t="str">
            <v>Paid</v>
          </cell>
          <cell r="U224" t="str">
            <v>Completed</v>
          </cell>
        </row>
        <row r="225">
          <cell r="A225" t="str">
            <v>ORD-2025-10224</v>
          </cell>
          <cell r="B225" t="str">
            <v>19-02-2025</v>
          </cell>
          <cell r="C225" t="str">
            <v>02/26/2025</v>
          </cell>
          <cell r="D225" t="str">
            <v>CUST-5319</v>
          </cell>
          <cell r="E225" t="str">
            <v>Mira Das</v>
          </cell>
          <cell r="F225" t="str">
            <v>Corporate</v>
          </cell>
          <cell r="G225" t="str">
            <v>West</v>
          </cell>
          <cell r="H225" t="str">
            <v>Maharashtra</v>
          </cell>
          <cell r="I225" t="str">
            <v>Mumbai</v>
          </cell>
          <cell r="J225" t="str">
            <v>Furniture</v>
          </cell>
          <cell r="K225" t="str">
            <v>Furnishings</v>
          </cell>
          <cell r="L225" t="str">
            <v>Elite Furnishings 449</v>
          </cell>
          <cell r="M225" t="str">
            <v>First Class</v>
          </cell>
          <cell r="N225">
            <v>3</v>
          </cell>
          <cell r="O225">
            <v>490.3</v>
          </cell>
          <cell r="P225">
            <v>0.2</v>
          </cell>
          <cell r="S225">
            <v>522.39</v>
          </cell>
          <cell r="T225" t="str">
            <v>Pending</v>
          </cell>
          <cell r="U225" t="str">
            <v>Returned</v>
          </cell>
        </row>
        <row r="226">
          <cell r="A226" t="str">
            <v>ORD-2025-10225</v>
          </cell>
          <cell r="B226" t="str">
            <v>10/02/2025</v>
          </cell>
          <cell r="C226" t="str">
            <v>08 Oct 2025</v>
          </cell>
          <cell r="D226" t="str">
            <v>CUST-9871</v>
          </cell>
          <cell r="E226" t="str">
            <v>Isha Nair</v>
          </cell>
          <cell r="F226" t="str">
            <v>Small Business</v>
          </cell>
          <cell r="G226" t="str">
            <v>North</v>
          </cell>
          <cell r="H226" t="str">
            <v>Punjab</v>
          </cell>
          <cell r="I226" t="str">
            <v>Ludhiana</v>
          </cell>
          <cell r="J226" t="str">
            <v>Furniture</v>
          </cell>
          <cell r="K226" t="str">
            <v>Furnishings</v>
          </cell>
          <cell r="L226" t="str">
            <v>Classic Furnishings 109</v>
          </cell>
          <cell r="M226" t="str">
            <v>Standard Class</v>
          </cell>
          <cell r="N226">
            <v>4</v>
          </cell>
          <cell r="O226">
            <v>3944.64</v>
          </cell>
          <cell r="P226">
            <v>0.25</v>
          </cell>
          <cell r="S226">
            <v>5151</v>
          </cell>
          <cell r="T226" t="str">
            <v>Paid</v>
          </cell>
          <cell r="U226" t="str">
            <v>Cancelled</v>
          </cell>
        </row>
        <row r="227">
          <cell r="A227" t="str">
            <v>ORD-2024-10226</v>
          </cell>
          <cell r="B227" t="str">
            <v>02 Sep 2024</v>
          </cell>
          <cell r="C227" t="str">
            <v>2024-09-10</v>
          </cell>
          <cell r="D227" t="str">
            <v>CUST-1266</v>
          </cell>
          <cell r="E227" t="str">
            <v>Mira Das</v>
          </cell>
          <cell r="F227" t="str">
            <v>Corporate</v>
          </cell>
          <cell r="G227" t="str">
            <v>West</v>
          </cell>
          <cell r="H227" t="str">
            <v>Goa</v>
          </cell>
          <cell r="I227" t="str">
            <v>Panaji</v>
          </cell>
          <cell r="J227" t="str">
            <v>Technology</v>
          </cell>
          <cell r="K227" t="str">
            <v>Phones</v>
          </cell>
          <cell r="L227" t="str">
            <v>Classic Phones 548</v>
          </cell>
          <cell r="M227" t="str">
            <v>Standard Class</v>
          </cell>
          <cell r="N227">
            <v>6</v>
          </cell>
          <cell r="O227">
            <v>1032.47</v>
          </cell>
          <cell r="P227">
            <v>0.15</v>
          </cell>
          <cell r="S227">
            <v>787.57</v>
          </cell>
          <cell r="T227" t="str">
            <v>Paid</v>
          </cell>
          <cell r="U227" t="str">
            <v>Completed</v>
          </cell>
        </row>
        <row r="228">
          <cell r="A228" t="str">
            <v>ORD-2025-10227</v>
          </cell>
          <cell r="B228" t="str">
            <v>10-04-2025</v>
          </cell>
          <cell r="C228" t="str">
            <v>15 Apr 2025</v>
          </cell>
          <cell r="D228" t="str">
            <v>CUST-2545</v>
          </cell>
          <cell r="E228" t="str">
            <v>Diya Patel</v>
          </cell>
          <cell r="F228" t="str">
            <v>Home Office</v>
          </cell>
          <cell r="H228" t="str">
            <v>Kerala</v>
          </cell>
          <cell r="I228" t="str">
            <v>Kochi</v>
          </cell>
          <cell r="J228" t="str">
            <v>Technology</v>
          </cell>
          <cell r="K228" t="str">
            <v>Copiers</v>
          </cell>
          <cell r="L228" t="str">
            <v>Max Copiers 363</v>
          </cell>
          <cell r="M228" t="str">
            <v>Same Day</v>
          </cell>
          <cell r="N228">
            <v>1</v>
          </cell>
          <cell r="O228">
            <v>2208.27</v>
          </cell>
          <cell r="P228">
            <v>0.1</v>
          </cell>
          <cell r="S228">
            <v>877.21</v>
          </cell>
          <cell r="T228" t="str">
            <v>Paid</v>
          </cell>
          <cell r="U228" t="str">
            <v>Completed</v>
          </cell>
        </row>
        <row r="229">
          <cell r="A229" t="str">
            <v>ORD-2024-10228</v>
          </cell>
          <cell r="B229" t="str">
            <v>2024-07-05</v>
          </cell>
          <cell r="C229" t="str">
            <v>12 Jul 2024</v>
          </cell>
          <cell r="D229" t="str">
            <v>CUST-2819</v>
          </cell>
          <cell r="E229" t="str">
            <v>Ananya Rao</v>
          </cell>
          <cell r="F229" t="str">
            <v>SMALL BUSINESS</v>
          </cell>
          <cell r="G229" t="str">
            <v>West</v>
          </cell>
          <cell r="H229" t="str">
            <v>Goa</v>
          </cell>
          <cell r="I229" t="str">
            <v>Panaji</v>
          </cell>
          <cell r="J229" t="str">
            <v>Office Supplies</v>
          </cell>
          <cell r="K229" t="str">
            <v>Binders</v>
          </cell>
          <cell r="L229" t="str">
            <v>Prime Binders 507</v>
          </cell>
          <cell r="M229" t="str">
            <v>First Class</v>
          </cell>
          <cell r="N229">
            <v>3</v>
          </cell>
          <cell r="O229">
            <v>577.75</v>
          </cell>
          <cell r="P229">
            <v>0.15</v>
          </cell>
          <cell r="S229">
            <v>573.4</v>
          </cell>
          <cell r="T229" t="str">
            <v>Paid</v>
          </cell>
          <cell r="U229" t="str">
            <v>Completed</v>
          </cell>
        </row>
        <row r="230">
          <cell r="A230" t="str">
            <v>ORD-2024-10229</v>
          </cell>
          <cell r="B230" t="str">
            <v>24-04-2024</v>
          </cell>
          <cell r="C230" t="str">
            <v>28 Apr 2024</v>
          </cell>
          <cell r="D230" t="str">
            <v>CUST-1076</v>
          </cell>
          <cell r="E230" t="str">
            <v>Karan Malhotra</v>
          </cell>
          <cell r="F230" t="str">
            <v>Small Business</v>
          </cell>
          <cell r="G230" t="str">
            <v>South</v>
          </cell>
          <cell r="H230" t="str">
            <v>Telangana</v>
          </cell>
          <cell r="I230" t="str">
            <v>Hyderabad</v>
          </cell>
          <cell r="J230" t="str">
            <v>Office Supplies</v>
          </cell>
          <cell r="K230" t="str">
            <v>Labels</v>
          </cell>
          <cell r="L230" t="str">
            <v>Smart Labels 914</v>
          </cell>
          <cell r="M230" t="str">
            <v>Second Class</v>
          </cell>
          <cell r="N230">
            <v>1</v>
          </cell>
          <cell r="O230">
            <v>3194.37</v>
          </cell>
          <cell r="P230">
            <v>0.15</v>
          </cell>
          <cell r="S230">
            <v>1163.6600000000001</v>
          </cell>
          <cell r="T230" t="str">
            <v>Paid</v>
          </cell>
          <cell r="U230" t="str">
            <v>Completed</v>
          </cell>
        </row>
        <row r="231">
          <cell r="A231" t="str">
            <v>ORD-2025-10230</v>
          </cell>
          <cell r="B231" t="str">
            <v>2025-06-28</v>
          </cell>
          <cell r="C231" t="str">
            <v>07/04/2025</v>
          </cell>
          <cell r="D231" t="str">
            <v>CUST-1943</v>
          </cell>
          <cell r="E231" t="str">
            <v>Rohan Mehta</v>
          </cell>
          <cell r="F231" t="str">
            <v>Consumer</v>
          </cell>
          <cell r="G231" t="str">
            <v>South</v>
          </cell>
          <cell r="H231" t="str">
            <v>Telangana</v>
          </cell>
          <cell r="I231" t="str">
            <v>Hyderabad</v>
          </cell>
          <cell r="J231" t="str">
            <v>Furniture</v>
          </cell>
          <cell r="K231" t="str">
            <v>Bookcases</v>
          </cell>
          <cell r="L231" t="str">
            <v>Smart Bookcases 662</v>
          </cell>
          <cell r="M231" t="str">
            <v>First Class</v>
          </cell>
          <cell r="N231">
            <v>3</v>
          </cell>
          <cell r="O231">
            <v>2886.23</v>
          </cell>
          <cell r="P231">
            <v>0</v>
          </cell>
          <cell r="S231">
            <v>3122.75</v>
          </cell>
          <cell r="T231" t="str">
            <v>Refunded</v>
          </cell>
          <cell r="U231" t="str">
            <v>Returned</v>
          </cell>
        </row>
        <row r="232">
          <cell r="A232" t="str">
            <v>ORD-2024-10231</v>
          </cell>
          <cell r="B232" t="str">
            <v>28-05-2024</v>
          </cell>
          <cell r="C232" t="str">
            <v>03-06-2024</v>
          </cell>
          <cell r="D232" t="str">
            <v>CUST-3434</v>
          </cell>
          <cell r="E232" t="str">
            <v>Neha Gupta</v>
          </cell>
          <cell r="F232" t="str">
            <v>Small Business</v>
          </cell>
          <cell r="G232" t="str">
            <v>North</v>
          </cell>
          <cell r="H232" t="str">
            <v>Rajasthan</v>
          </cell>
          <cell r="I232" t="str">
            <v>Jaipur</v>
          </cell>
          <cell r="J232" t="str">
            <v>Office Supplies</v>
          </cell>
          <cell r="K232" t="str">
            <v>Paper</v>
          </cell>
          <cell r="L232" t="str">
            <v>Eco Paper 937</v>
          </cell>
          <cell r="M232" t="str">
            <v>Standard Class</v>
          </cell>
          <cell r="N232">
            <v>8</v>
          </cell>
          <cell r="O232">
            <v>1540.33</v>
          </cell>
          <cell r="P232">
            <v>0.1</v>
          </cell>
          <cell r="S232">
            <v>2249.4299999999998</v>
          </cell>
          <cell r="T232" t="str">
            <v>Paid</v>
          </cell>
          <cell r="U232" t="str">
            <v>Completed</v>
          </cell>
        </row>
        <row r="233">
          <cell r="A233" t="str">
            <v>ORD-2024-10232</v>
          </cell>
          <cell r="B233" t="str">
            <v>2024-05-02</v>
          </cell>
          <cell r="C233" t="str">
            <v>05/02/2024</v>
          </cell>
          <cell r="D233" t="str">
            <v>CUST-9139</v>
          </cell>
          <cell r="E233" t="str">
            <v>Ananya Rao</v>
          </cell>
          <cell r="F233" t="str">
            <v>Corporate</v>
          </cell>
          <cell r="G233" t="str">
            <v>North</v>
          </cell>
          <cell r="H233" t="str">
            <v>Rajasthan</v>
          </cell>
          <cell r="I233" t="str">
            <v>Jaipur</v>
          </cell>
          <cell r="J233" t="str">
            <v>Office  Supplies</v>
          </cell>
          <cell r="K233" t="str">
            <v>Labels</v>
          </cell>
          <cell r="L233" t="str">
            <v>Max Labels 370</v>
          </cell>
          <cell r="M233" t="str">
            <v>First Class</v>
          </cell>
          <cell r="N233">
            <v>7</v>
          </cell>
          <cell r="O233">
            <v>2183.38</v>
          </cell>
          <cell r="P233">
            <v>0.25</v>
          </cell>
          <cell r="S233">
            <v>4299.2</v>
          </cell>
          <cell r="T233" t="str">
            <v>Refunded</v>
          </cell>
          <cell r="U233" t="str">
            <v>Cancelled</v>
          </cell>
        </row>
        <row r="234">
          <cell r="A234" t="str">
            <v>ORD-2025-10233</v>
          </cell>
          <cell r="B234" t="str">
            <v>2025-06-04</v>
          </cell>
          <cell r="C234" t="str">
            <v>2025-06-10</v>
          </cell>
          <cell r="D234" t="str">
            <v>CUST-5341</v>
          </cell>
          <cell r="E234" t="str">
            <v>Rahul Verma</v>
          </cell>
          <cell r="F234" t="str">
            <v>Consumer</v>
          </cell>
          <cell r="G234" t="str">
            <v>South</v>
          </cell>
          <cell r="H234" t="str">
            <v>Andhra Pradesh</v>
          </cell>
          <cell r="I234" t="str">
            <v>Vijayawada</v>
          </cell>
          <cell r="J234" t="str">
            <v>Technology</v>
          </cell>
          <cell r="K234" t="str">
            <v>Phones</v>
          </cell>
          <cell r="L234" t="str">
            <v>Classic Phones 530</v>
          </cell>
          <cell r="M234" t="str">
            <v>Standard Class</v>
          </cell>
          <cell r="N234">
            <v>4</v>
          </cell>
          <cell r="O234">
            <v>223.37</v>
          </cell>
          <cell r="P234">
            <v>0.25</v>
          </cell>
          <cell r="S234">
            <v>110.54</v>
          </cell>
          <cell r="T234" t="str">
            <v>Paid</v>
          </cell>
          <cell r="U234" t="str">
            <v>Completed</v>
          </cell>
        </row>
        <row r="235">
          <cell r="A235" t="str">
            <v>ORD-2024-10234</v>
          </cell>
          <cell r="B235" t="str">
            <v>14-10-2024</v>
          </cell>
          <cell r="C235" t="str">
            <v>10/14/2024</v>
          </cell>
          <cell r="D235" t="str">
            <v>CUST-3710</v>
          </cell>
          <cell r="E235" t="str">
            <v>Vikram Iyer</v>
          </cell>
          <cell r="F235" t="str">
            <v>Corporate</v>
          </cell>
          <cell r="G235" t="str">
            <v>South</v>
          </cell>
          <cell r="H235" t="str">
            <v>Karnataka</v>
          </cell>
          <cell r="I235" t="str">
            <v>Bengaluru</v>
          </cell>
          <cell r="J235" t="str">
            <v>Furniture</v>
          </cell>
          <cell r="K235" t="str">
            <v>Bookcases</v>
          </cell>
          <cell r="L235" t="str">
            <v>Smart Bookcases 328</v>
          </cell>
          <cell r="N235">
            <v>8</v>
          </cell>
          <cell r="O235">
            <v>3904.59</v>
          </cell>
          <cell r="P235">
            <v>0</v>
          </cell>
          <cell r="S235">
            <v>4859.0200000000004</v>
          </cell>
          <cell r="T235" t="str">
            <v>Paid</v>
          </cell>
          <cell r="U235" t="str">
            <v>Completed</v>
          </cell>
        </row>
        <row r="236">
          <cell r="A236" t="str">
            <v>ORD-2024-10235</v>
          </cell>
          <cell r="B236" t="str">
            <v>09/02/2024</v>
          </cell>
          <cell r="C236" t="str">
            <v>03 Sep 2024</v>
          </cell>
          <cell r="D236" t="str">
            <v>CUST-9754</v>
          </cell>
          <cell r="E236" t="str">
            <v>Kabir Singh</v>
          </cell>
          <cell r="F236" t="str">
            <v>Home Office</v>
          </cell>
          <cell r="G236" t="str">
            <v>North</v>
          </cell>
          <cell r="H236" t="str">
            <v>Delhi</v>
          </cell>
          <cell r="I236" t="str">
            <v>New Delhi</v>
          </cell>
          <cell r="J236" t="str">
            <v>Furniture</v>
          </cell>
          <cell r="K236" t="str">
            <v>Furnishings</v>
          </cell>
          <cell r="L236" t="str">
            <v>Eco Furnishings 981</v>
          </cell>
          <cell r="M236" t="str">
            <v>First Class</v>
          </cell>
          <cell r="N236">
            <v>9</v>
          </cell>
          <cell r="O236">
            <v>1353.61</v>
          </cell>
          <cell r="P236">
            <v>0.1</v>
          </cell>
          <cell r="S236">
            <v>1701.77</v>
          </cell>
          <cell r="T236" t="str">
            <v>Paid</v>
          </cell>
          <cell r="U236" t="str">
            <v>Completed</v>
          </cell>
        </row>
        <row r="237">
          <cell r="A237" t="str">
            <v>ORD-2024-10236</v>
          </cell>
          <cell r="B237" t="str">
            <v>11/02/2024</v>
          </cell>
          <cell r="C237" t="str">
            <v>11/03/2024</v>
          </cell>
          <cell r="D237" t="str">
            <v>CUST-6256</v>
          </cell>
          <cell r="E237" t="str">
            <v>Rahul Verma</v>
          </cell>
          <cell r="F237" t="str">
            <v>Small Business</v>
          </cell>
          <cell r="G237" t="str">
            <v>West</v>
          </cell>
          <cell r="H237" t="str">
            <v>Rajasthan</v>
          </cell>
          <cell r="I237" t="str">
            <v>Udaipur</v>
          </cell>
          <cell r="J237" t="str">
            <v>Office Supplies</v>
          </cell>
          <cell r="K237" t="str">
            <v>Storage</v>
          </cell>
          <cell r="L237" t="str">
            <v>Basic Storage 195</v>
          </cell>
          <cell r="M237" t="str">
            <v>Standard Class</v>
          </cell>
          <cell r="N237">
            <v>6</v>
          </cell>
          <cell r="O237">
            <v>2671.29</v>
          </cell>
          <cell r="P237">
            <v>0.05</v>
          </cell>
          <cell r="S237">
            <v>4081.07</v>
          </cell>
          <cell r="T237" t="str">
            <v>Paid</v>
          </cell>
          <cell r="U237" t="str">
            <v>Completed</v>
          </cell>
        </row>
        <row r="238">
          <cell r="A238" t="str">
            <v>ORD-2024-10237</v>
          </cell>
          <cell r="B238" t="str">
            <v>10/14/2024</v>
          </cell>
          <cell r="C238" t="str">
            <v>21 Oct 2024</v>
          </cell>
          <cell r="D238" t="str">
            <v>CUST-7113</v>
          </cell>
          <cell r="E238" t="str">
            <v>Priya Menon</v>
          </cell>
          <cell r="F238" t="str">
            <v>Corporate</v>
          </cell>
          <cell r="G238" t="str">
            <v>North</v>
          </cell>
          <cell r="H238" t="str">
            <v>Uttar Pradesh</v>
          </cell>
          <cell r="I238" t="str">
            <v>Noida</v>
          </cell>
          <cell r="J238" t="str">
            <v>Furniture</v>
          </cell>
          <cell r="K238" t="str">
            <v>Bookcases</v>
          </cell>
          <cell r="L238" t="str">
            <v>Elite Bookcases 907</v>
          </cell>
          <cell r="M238" t="str">
            <v>First Class</v>
          </cell>
          <cell r="N238">
            <v>6</v>
          </cell>
          <cell r="O238">
            <v>4062.78</v>
          </cell>
          <cell r="P238">
            <v>0</v>
          </cell>
          <cell r="S238">
            <v>5843.29</v>
          </cell>
          <cell r="T238" t="str">
            <v>Paid</v>
          </cell>
          <cell r="U238" t="str">
            <v>Completed</v>
          </cell>
        </row>
        <row r="239">
          <cell r="A239" t="str">
            <v>ORD-2024-10238</v>
          </cell>
          <cell r="B239" t="str">
            <v>2024-08-27</v>
          </cell>
          <cell r="C239" t="str">
            <v>2024-08-27</v>
          </cell>
          <cell r="D239" t="str">
            <v>CUST-3827</v>
          </cell>
          <cell r="E239" t="str">
            <v>Mira Das</v>
          </cell>
          <cell r="F239" t="str">
            <v>Consumer</v>
          </cell>
          <cell r="G239" t="str">
            <v>North</v>
          </cell>
          <cell r="H239" t="str">
            <v>Haryana</v>
          </cell>
          <cell r="I239" t="str">
            <v>Gurugram</v>
          </cell>
          <cell r="J239" t="str">
            <v>Technology</v>
          </cell>
          <cell r="K239" t="str">
            <v>Copiers</v>
          </cell>
          <cell r="L239" t="str">
            <v>Smart Copiers 471</v>
          </cell>
          <cell r="M239" t="str">
            <v>Standard Class</v>
          </cell>
          <cell r="N239">
            <v>9</v>
          </cell>
          <cell r="O239">
            <v>2330.3000000000002</v>
          </cell>
          <cell r="P239">
            <v>0</v>
          </cell>
          <cell r="S239">
            <v>7467.82</v>
          </cell>
          <cell r="T239" t="str">
            <v>Paid</v>
          </cell>
          <cell r="U239" t="str">
            <v>Completed</v>
          </cell>
        </row>
        <row r="240">
          <cell r="A240" t="str">
            <v>ORD-2024-10239</v>
          </cell>
          <cell r="B240" t="str">
            <v>01/12/2024</v>
          </cell>
          <cell r="C240" t="str">
            <v>01/17/2024</v>
          </cell>
          <cell r="D240" t="str">
            <v>CUST-2375</v>
          </cell>
          <cell r="E240" t="str">
            <v>Arjun Bose</v>
          </cell>
          <cell r="F240" t="str">
            <v>Consumer</v>
          </cell>
          <cell r="G240" t="str">
            <v>South</v>
          </cell>
          <cell r="H240" t="str">
            <v>Andhra Pradesh</v>
          </cell>
          <cell r="I240" t="str">
            <v>Vijayawada</v>
          </cell>
          <cell r="J240" t="str">
            <v>Office Supplies</v>
          </cell>
          <cell r="K240" t="str">
            <v>Storage</v>
          </cell>
          <cell r="L240" t="str">
            <v>Prime Storage 625</v>
          </cell>
          <cell r="M240" t="str">
            <v>First Class</v>
          </cell>
          <cell r="N240">
            <v>7</v>
          </cell>
          <cell r="O240">
            <v>4005.05</v>
          </cell>
          <cell r="P240">
            <v>0.55000000000000004</v>
          </cell>
          <cell r="S240">
            <v>7794.83</v>
          </cell>
          <cell r="T240" t="str">
            <v>Paid</v>
          </cell>
          <cell r="U240" t="str">
            <v>Completed</v>
          </cell>
        </row>
        <row r="241">
          <cell r="A241" t="str">
            <v>ORD-2024-10240</v>
          </cell>
          <cell r="B241" t="str">
            <v>21-09-2024</v>
          </cell>
          <cell r="C241" t="str">
            <v>09/21/2024</v>
          </cell>
          <cell r="D241" t="str">
            <v>CUST-2233</v>
          </cell>
          <cell r="E241" t="str">
            <v>Kabir Singh</v>
          </cell>
          <cell r="F241" t="str">
            <v>Corporate</v>
          </cell>
          <cell r="G241" t="str">
            <v>South</v>
          </cell>
          <cell r="H241" t="str">
            <v>Karnataka</v>
          </cell>
          <cell r="I241" t="str">
            <v>Bengaluru</v>
          </cell>
          <cell r="J241" t="str">
            <v>Technology</v>
          </cell>
          <cell r="K241" t="str">
            <v>Machines</v>
          </cell>
          <cell r="L241" t="str">
            <v>Smart Machines 801</v>
          </cell>
          <cell r="M241" t="str">
            <v>First Class</v>
          </cell>
          <cell r="N241">
            <v>2</v>
          </cell>
          <cell r="O241">
            <v>1960.06</v>
          </cell>
          <cell r="P241">
            <v>0.2</v>
          </cell>
          <cell r="S241">
            <v>856.61</v>
          </cell>
          <cell r="T241" t="str">
            <v>Paid</v>
          </cell>
          <cell r="U241" t="str">
            <v>Completed</v>
          </cell>
        </row>
        <row r="242">
          <cell r="A242" t="str">
            <v>ORD-2024-10241</v>
          </cell>
          <cell r="B242" t="str">
            <v>17 Dec 2024</v>
          </cell>
          <cell r="C242" t="str">
            <v>23-12-2024</v>
          </cell>
          <cell r="D242" t="str">
            <v>CUST-9778</v>
          </cell>
          <cell r="E242" t="str">
            <v>Aarav Sharma</v>
          </cell>
          <cell r="F242" t="str">
            <v>Corporate</v>
          </cell>
          <cell r="G242" t="str">
            <v>South</v>
          </cell>
          <cell r="H242" t="str">
            <v>Telangana</v>
          </cell>
          <cell r="I242" t="str">
            <v>Hyderabad</v>
          </cell>
          <cell r="J242" t="str">
            <v>Office Supplies</v>
          </cell>
          <cell r="K242" t="str">
            <v>Binders</v>
          </cell>
          <cell r="L242" t="str">
            <v>Max Binders 170</v>
          </cell>
          <cell r="M242" t="str">
            <v>First Class</v>
          </cell>
          <cell r="N242">
            <v>9</v>
          </cell>
          <cell r="O242">
            <v>2315.1</v>
          </cell>
          <cell r="P242">
            <v>0</v>
          </cell>
          <cell r="S242">
            <v>6907.71</v>
          </cell>
          <cell r="T242" t="str">
            <v>Paid</v>
          </cell>
          <cell r="U242" t="str">
            <v>Completed</v>
          </cell>
        </row>
        <row r="243">
          <cell r="A243" t="str">
            <v>ORD-2025-10242</v>
          </cell>
          <cell r="B243" t="str">
            <v>07/06/2025</v>
          </cell>
          <cell r="C243" t="str">
            <v>06-07-2025</v>
          </cell>
          <cell r="D243" t="str">
            <v>CUST-6949</v>
          </cell>
          <cell r="E243" t="str">
            <v>Sneha Kapoor</v>
          </cell>
          <cell r="F243" t="str">
            <v>Corporate</v>
          </cell>
          <cell r="G243" t="str">
            <v>North</v>
          </cell>
          <cell r="H243" t="str">
            <v>Haryana</v>
          </cell>
          <cell r="I243" t="str">
            <v>Gurugram</v>
          </cell>
          <cell r="J243" t="str">
            <v>Office Supplies</v>
          </cell>
          <cell r="K243" t="str">
            <v>Storage</v>
          </cell>
          <cell r="L243" t="str">
            <v>Basic Storage 737</v>
          </cell>
          <cell r="M243" t="str">
            <v>Standard Class</v>
          </cell>
          <cell r="N243">
            <v>1</v>
          </cell>
          <cell r="O243">
            <v>1617.2</v>
          </cell>
          <cell r="P243">
            <v>0.25</v>
          </cell>
          <cell r="S243">
            <v>522.38</v>
          </cell>
          <cell r="T243" t="str">
            <v>Pending</v>
          </cell>
          <cell r="U243" t="str">
            <v>Returned</v>
          </cell>
        </row>
        <row r="244">
          <cell r="A244" t="str">
            <v>ORD-2025-10243</v>
          </cell>
          <cell r="B244" t="str">
            <v>07 Feb 2025</v>
          </cell>
          <cell r="C244" t="str">
            <v>2025-02-07</v>
          </cell>
          <cell r="D244" t="str">
            <v>CUST-3430</v>
          </cell>
          <cell r="E244" t="str">
            <v>Arjun Bose</v>
          </cell>
          <cell r="F244" t="str">
            <v>Consumer</v>
          </cell>
          <cell r="G244" t="str">
            <v>North</v>
          </cell>
          <cell r="H244" t="str">
            <v>Uttar Pradesh</v>
          </cell>
          <cell r="I244" t="str">
            <v>Noida</v>
          </cell>
          <cell r="J244" t="str">
            <v>Office Supplies</v>
          </cell>
          <cell r="K244" t="str">
            <v>Art</v>
          </cell>
          <cell r="L244" t="str">
            <v>Classic Art 126</v>
          </cell>
          <cell r="M244" t="str">
            <v>Second Class</v>
          </cell>
          <cell r="N244">
            <v>3</v>
          </cell>
          <cell r="O244">
            <v>1999.24</v>
          </cell>
          <cell r="P244">
            <v>0.05</v>
          </cell>
          <cell r="S244">
            <v>1446.33</v>
          </cell>
          <cell r="T244" t="str">
            <v>Paid</v>
          </cell>
          <cell r="U244" t="str">
            <v>Completed</v>
          </cell>
        </row>
        <row r="245">
          <cell r="A245" t="str">
            <v>ORD-2025-10244</v>
          </cell>
          <cell r="B245" t="str">
            <v>29-07-2025</v>
          </cell>
          <cell r="C245" t="str">
            <v>02 Aug 2025</v>
          </cell>
          <cell r="D245" t="str">
            <v>CUST-6310</v>
          </cell>
          <cell r="E245" t="str">
            <v>Sneha Kapoor</v>
          </cell>
          <cell r="F245" t="str">
            <v>Small Business</v>
          </cell>
          <cell r="H245" t="str">
            <v>Madhya Pradesh</v>
          </cell>
          <cell r="I245" t="str">
            <v>Indore</v>
          </cell>
          <cell r="J245" t="str">
            <v>Technology</v>
          </cell>
          <cell r="K245" t="str">
            <v>Accessories</v>
          </cell>
          <cell r="L245" t="str">
            <v>Prime Accessories 243</v>
          </cell>
          <cell r="M245" t="str">
            <v>First Class</v>
          </cell>
          <cell r="N245">
            <v>1</v>
          </cell>
          <cell r="O245">
            <v>4499.46</v>
          </cell>
          <cell r="P245">
            <v>0.1</v>
          </cell>
          <cell r="S245">
            <v>1540.31</v>
          </cell>
          <cell r="T245" t="str">
            <v>Paid</v>
          </cell>
          <cell r="U245" t="str">
            <v>completed</v>
          </cell>
        </row>
        <row r="246">
          <cell r="A246" t="str">
            <v>ORD-2024-10245</v>
          </cell>
          <cell r="B246" t="str">
            <v>08/23/2024</v>
          </cell>
          <cell r="C246" t="str">
            <v>2024-08-24</v>
          </cell>
          <cell r="D246" t="str">
            <v>CUST-6008</v>
          </cell>
          <cell r="E246" t="str">
            <v>Neha Gupta</v>
          </cell>
          <cell r="F246" t="str">
            <v>Consumer</v>
          </cell>
          <cell r="G246" t="str">
            <v>South</v>
          </cell>
          <cell r="H246" t="str">
            <v>Telangana</v>
          </cell>
          <cell r="I246" t="str">
            <v>Hyderabad</v>
          </cell>
          <cell r="J246" t="str">
            <v>Furniture</v>
          </cell>
          <cell r="K246" t="str">
            <v>Bookcases</v>
          </cell>
          <cell r="L246" t="str">
            <v>Eco Bookcases 768</v>
          </cell>
          <cell r="M246" t="str">
            <v>Same Day</v>
          </cell>
          <cell r="N246">
            <v>6</v>
          </cell>
          <cell r="O246">
            <v>1021.89</v>
          </cell>
          <cell r="P246">
            <v>0</v>
          </cell>
          <cell r="S246">
            <v>2070.46</v>
          </cell>
          <cell r="T246" t="str">
            <v>Paid</v>
          </cell>
          <cell r="U246" t="str">
            <v>Completed</v>
          </cell>
        </row>
        <row r="247">
          <cell r="A247" t="str">
            <v>ORD-2024-10246</v>
          </cell>
          <cell r="B247" t="str">
            <v>10/18/2024</v>
          </cell>
          <cell r="C247" t="str">
            <v>24-10-2024</v>
          </cell>
          <cell r="D247" t="str">
            <v>CUST-1704</v>
          </cell>
          <cell r="E247" t="str">
            <v>Neha Gupta</v>
          </cell>
          <cell r="F247" t="str">
            <v>Home Office</v>
          </cell>
          <cell r="G247" t="str">
            <v>South</v>
          </cell>
          <cell r="H247" t="str">
            <v>Kerala</v>
          </cell>
          <cell r="I247" t="str">
            <v>Kochi</v>
          </cell>
          <cell r="J247" t="str">
            <v>FURNITURE</v>
          </cell>
          <cell r="K247" t="str">
            <v>Chairs</v>
          </cell>
          <cell r="L247" t="str">
            <v>Pro Chairs 316</v>
          </cell>
          <cell r="M247" t="str">
            <v>Second Class</v>
          </cell>
          <cell r="N247">
            <v>3</v>
          </cell>
          <cell r="O247">
            <v>3275.93</v>
          </cell>
          <cell r="P247">
            <v>0</v>
          </cell>
          <cell r="S247">
            <v>4349.51</v>
          </cell>
          <cell r="T247" t="str">
            <v>Paid</v>
          </cell>
          <cell r="U247" t="str">
            <v>Completed</v>
          </cell>
        </row>
        <row r="248">
          <cell r="A248" t="str">
            <v>ORD-2024-10247</v>
          </cell>
          <cell r="B248" t="str">
            <v>04 May 2024</v>
          </cell>
          <cell r="C248" t="str">
            <v>09 May 2024</v>
          </cell>
          <cell r="D248" t="str">
            <v>CUST-1827</v>
          </cell>
          <cell r="E248" t="str">
            <v>Ananya Rao</v>
          </cell>
          <cell r="F248" t="str">
            <v>Corporate</v>
          </cell>
          <cell r="G248" t="str">
            <v>North</v>
          </cell>
          <cell r="H248" t="str">
            <v>Punjab</v>
          </cell>
          <cell r="I248" t="str">
            <v>Ludhiana</v>
          </cell>
          <cell r="J248" t="str">
            <v>Technology</v>
          </cell>
          <cell r="K248" t="str">
            <v>Machines</v>
          </cell>
          <cell r="L248" t="str">
            <v>Classic Machines 819</v>
          </cell>
          <cell r="M248" t="str">
            <v>Same Day</v>
          </cell>
          <cell r="N248">
            <v>3</v>
          </cell>
          <cell r="O248">
            <v>231.95</v>
          </cell>
          <cell r="P248">
            <v>0.25</v>
          </cell>
          <cell r="S248">
            <v>77.37</v>
          </cell>
          <cell r="T248" t="str">
            <v>Refunded</v>
          </cell>
          <cell r="U248" t="str">
            <v>Cancelled</v>
          </cell>
        </row>
        <row r="249">
          <cell r="A249" t="str">
            <v>ORD-2024-10248</v>
          </cell>
          <cell r="B249" t="str">
            <v>07/25/2024</v>
          </cell>
          <cell r="C249" t="str">
            <v>01 Aug 2024</v>
          </cell>
          <cell r="D249" t="str">
            <v>CUST-6663</v>
          </cell>
          <cell r="E249" t="str">
            <v>Rahul Verma</v>
          </cell>
          <cell r="F249" t="str">
            <v>Corporate</v>
          </cell>
          <cell r="G249" t="str">
            <v>North</v>
          </cell>
          <cell r="H249" t="str">
            <v>Rajasthan</v>
          </cell>
          <cell r="I249" t="str">
            <v>Jaipur</v>
          </cell>
          <cell r="J249" t="str">
            <v>Technology</v>
          </cell>
          <cell r="K249" t="str">
            <v>Accessories</v>
          </cell>
          <cell r="L249" t="str">
            <v>Smart Accessories 572</v>
          </cell>
          <cell r="M249" t="str">
            <v>Second Class</v>
          </cell>
          <cell r="N249">
            <v>8</v>
          </cell>
          <cell r="O249">
            <v>2493.4</v>
          </cell>
          <cell r="P249">
            <v>0.25</v>
          </cell>
          <cell r="S249">
            <v>2459.56</v>
          </cell>
          <cell r="T249" t="str">
            <v>Paid</v>
          </cell>
          <cell r="U249" t="str">
            <v>Completed</v>
          </cell>
        </row>
        <row r="250">
          <cell r="A250" t="str">
            <v>ORD-2024-10249</v>
          </cell>
          <cell r="B250" t="str">
            <v>06/02/2024</v>
          </cell>
          <cell r="C250" t="str">
            <v>07-06-2024</v>
          </cell>
          <cell r="D250" t="str">
            <v>CUST-6278</v>
          </cell>
          <cell r="E250" t="str">
            <v>Rohan Mehta</v>
          </cell>
          <cell r="F250" t="str">
            <v>Home Office</v>
          </cell>
          <cell r="G250" t="str">
            <v>East</v>
          </cell>
          <cell r="H250" t="str">
            <v>Odisha</v>
          </cell>
          <cell r="I250" t="str">
            <v>Bhubaneswar</v>
          </cell>
          <cell r="J250" t="str">
            <v>Office Supplies</v>
          </cell>
          <cell r="K250" t="str">
            <v>Labels</v>
          </cell>
          <cell r="L250" t="str">
            <v>Basic Labels 432</v>
          </cell>
          <cell r="M250" t="str">
            <v>Second Class</v>
          </cell>
          <cell r="N250">
            <v>9</v>
          </cell>
          <cell r="O250">
            <v>787.91</v>
          </cell>
          <cell r="P250">
            <v>0.15</v>
          </cell>
          <cell r="S250">
            <v>1143.69</v>
          </cell>
          <cell r="T250" t="str">
            <v>Paid</v>
          </cell>
          <cell r="U250" t="str">
            <v>Completed</v>
          </cell>
        </row>
        <row r="251">
          <cell r="A251" t="str">
            <v>ORD-2025-10250</v>
          </cell>
          <cell r="B251" t="str">
            <v>08/01/2025</v>
          </cell>
          <cell r="C251" t="str">
            <v>08/02/2025</v>
          </cell>
          <cell r="D251" t="str">
            <v>CUST-2305</v>
          </cell>
          <cell r="E251" t="str">
            <v>Mira Das</v>
          </cell>
          <cell r="F251" t="str">
            <v>Corporate</v>
          </cell>
          <cell r="G251" t="str">
            <v>North</v>
          </cell>
          <cell r="H251" t="str">
            <v>Rajasthan</v>
          </cell>
          <cell r="I251" t="str">
            <v>Jaipur</v>
          </cell>
          <cell r="J251" t="str">
            <v>Furniture</v>
          </cell>
          <cell r="K251" t="str">
            <v>Furnishings</v>
          </cell>
          <cell r="L251" t="str">
            <v>Classic Furnishings 378</v>
          </cell>
          <cell r="M251" t="str">
            <v>First Class</v>
          </cell>
          <cell r="N251">
            <v>4</v>
          </cell>
          <cell r="O251">
            <v>2790.29</v>
          </cell>
          <cell r="P251">
            <v>0.2</v>
          </cell>
          <cell r="S251">
            <v>3294.55</v>
          </cell>
          <cell r="T251" t="str">
            <v>Paid</v>
          </cell>
          <cell r="U251" t="str">
            <v>Completed</v>
          </cell>
        </row>
        <row r="252">
          <cell r="A252" t="str">
            <v>ORD-2024-10251</v>
          </cell>
          <cell r="B252" t="str">
            <v>02/21/2024</v>
          </cell>
          <cell r="C252" t="str">
            <v>02/27/2024</v>
          </cell>
          <cell r="D252" t="str">
            <v>CUST-5351</v>
          </cell>
          <cell r="E252" t="str">
            <v>Arjun Bose</v>
          </cell>
          <cell r="F252" t="str">
            <v>Small Business</v>
          </cell>
          <cell r="G252" t="str">
            <v>East</v>
          </cell>
          <cell r="H252" t="str">
            <v>West Bengal</v>
          </cell>
          <cell r="I252" t="str">
            <v>Kolkata</v>
          </cell>
          <cell r="J252" t="str">
            <v>Furniture</v>
          </cell>
          <cell r="K252" t="str">
            <v>Furnishings</v>
          </cell>
          <cell r="L252" t="str">
            <v>Prime Furnishings 781</v>
          </cell>
          <cell r="M252" t="str">
            <v>Standard Class</v>
          </cell>
          <cell r="N252">
            <v>5</v>
          </cell>
          <cell r="O252">
            <v>3373.86</v>
          </cell>
          <cell r="P252">
            <v>0.15</v>
          </cell>
          <cell r="S252">
            <v>2441.25</v>
          </cell>
          <cell r="T252" t="str">
            <v>Pending</v>
          </cell>
          <cell r="U252" t="str">
            <v>Returned</v>
          </cell>
        </row>
        <row r="253">
          <cell r="A253" t="str">
            <v>ORD-2025-10252</v>
          </cell>
          <cell r="B253" t="str">
            <v>2025-04-06</v>
          </cell>
          <cell r="C253" t="str">
            <v>04/10/2025</v>
          </cell>
          <cell r="D253" t="str">
            <v>CUST-6268</v>
          </cell>
          <cell r="E253" t="str">
            <v>Ananya Rao</v>
          </cell>
          <cell r="F253" t="str">
            <v>Corporate</v>
          </cell>
          <cell r="G253" t="str">
            <v>West</v>
          </cell>
          <cell r="H253" t="str">
            <v>Gujarat</v>
          </cell>
          <cell r="I253" t="str">
            <v>Ahmedabad</v>
          </cell>
          <cell r="J253" t="str">
            <v>Furniture</v>
          </cell>
          <cell r="K253" t="str">
            <v>Tables</v>
          </cell>
          <cell r="L253" t="str">
            <v>Prime Tables 263</v>
          </cell>
          <cell r="M253" t="str">
            <v>Second Class</v>
          </cell>
          <cell r="N253">
            <v>6</v>
          </cell>
          <cell r="O253">
            <v>1022.16</v>
          </cell>
          <cell r="P253">
            <v>0</v>
          </cell>
          <cell r="S253">
            <v>1251.8599999999999</v>
          </cell>
          <cell r="T253" t="str">
            <v>Paid</v>
          </cell>
          <cell r="U253" t="str">
            <v>Completed</v>
          </cell>
        </row>
        <row r="254">
          <cell r="A254" t="str">
            <v>ORD-2025-10253</v>
          </cell>
          <cell r="B254" t="str">
            <v>25-06-2025</v>
          </cell>
          <cell r="C254" t="str">
            <v>2025-06-28</v>
          </cell>
          <cell r="D254" t="str">
            <v>CUST-2103</v>
          </cell>
          <cell r="E254" t="str">
            <v>Arjun Bose</v>
          </cell>
          <cell r="F254" t="str">
            <v>Corporate</v>
          </cell>
          <cell r="G254" t="str">
            <v>North</v>
          </cell>
          <cell r="H254" t="str">
            <v>Haryana</v>
          </cell>
          <cell r="I254" t="str">
            <v>Gurugram</v>
          </cell>
          <cell r="J254" t="str">
            <v>Office Supplies</v>
          </cell>
          <cell r="K254" t="str">
            <v>Storage</v>
          </cell>
          <cell r="L254" t="str">
            <v>Basic Storage 269</v>
          </cell>
          <cell r="M254" t="str">
            <v>First Class</v>
          </cell>
          <cell r="N254">
            <v>2</v>
          </cell>
          <cell r="O254">
            <v>1455.92</v>
          </cell>
          <cell r="P254">
            <v>0.2</v>
          </cell>
          <cell r="S254">
            <v>725.85</v>
          </cell>
          <cell r="T254" t="str">
            <v>Pending</v>
          </cell>
          <cell r="U254" t="str">
            <v>Returned</v>
          </cell>
        </row>
        <row r="255">
          <cell r="A255" t="str">
            <v>ORD-2024-10254</v>
          </cell>
          <cell r="B255" t="str">
            <v>2024-09-12</v>
          </cell>
          <cell r="C255" t="str">
            <v>09/13/2024</v>
          </cell>
          <cell r="D255" t="str">
            <v>CUST-5394</v>
          </cell>
          <cell r="E255" t="str">
            <v>Priya Menon</v>
          </cell>
          <cell r="F255" t="str">
            <v>Small Business</v>
          </cell>
          <cell r="G255" t="str">
            <v>North</v>
          </cell>
          <cell r="H255" t="str">
            <v>Rajasthan</v>
          </cell>
          <cell r="I255" t="str">
            <v>Jaipur</v>
          </cell>
          <cell r="J255" t="str">
            <v>Technology</v>
          </cell>
          <cell r="K255" t="str">
            <v>Phones</v>
          </cell>
          <cell r="L255" t="str">
            <v>Classic Phones 442</v>
          </cell>
          <cell r="M255" t="str">
            <v>Same Day</v>
          </cell>
          <cell r="N255">
            <v>6</v>
          </cell>
          <cell r="O255">
            <v>832.79</v>
          </cell>
          <cell r="P255">
            <v>0.05</v>
          </cell>
          <cell r="S255">
            <v>1472.89</v>
          </cell>
          <cell r="T255" t="str">
            <v>Refunded</v>
          </cell>
          <cell r="U255" t="str">
            <v>Cancelled</v>
          </cell>
        </row>
        <row r="256">
          <cell r="A256" t="str">
            <v>ORD-2025-10255</v>
          </cell>
          <cell r="B256" t="str">
            <v>01/01/2025</v>
          </cell>
          <cell r="C256" t="str">
            <v>03-01-2025</v>
          </cell>
          <cell r="D256" t="str">
            <v>CUST-6853</v>
          </cell>
          <cell r="E256" t="str">
            <v>Ananya Rao</v>
          </cell>
          <cell r="F256" t="str">
            <v>Consumer</v>
          </cell>
          <cell r="G256" t="str">
            <v>West</v>
          </cell>
          <cell r="H256" t="str">
            <v>Madhya Pradesh</v>
          </cell>
          <cell r="I256" t="str">
            <v>Indore</v>
          </cell>
          <cell r="J256" t="str">
            <v>Technology</v>
          </cell>
          <cell r="K256" t="str">
            <v>Accessories</v>
          </cell>
          <cell r="L256" t="str">
            <v>Elite Accessories 978</v>
          </cell>
          <cell r="M256" t="str">
            <v>Same Day</v>
          </cell>
          <cell r="N256">
            <v>7</v>
          </cell>
          <cell r="O256">
            <v>1000.55</v>
          </cell>
          <cell r="P256">
            <v>0.2</v>
          </cell>
          <cell r="S256">
            <v>2470.56</v>
          </cell>
          <cell r="T256" t="str">
            <v>Paid</v>
          </cell>
          <cell r="U256" t="str">
            <v>Returned</v>
          </cell>
        </row>
        <row r="257">
          <cell r="A257" t="str">
            <v>ORD-2025-10256</v>
          </cell>
          <cell r="B257" t="str">
            <v>2025-02-04</v>
          </cell>
          <cell r="C257" t="str">
            <v>02/10/2025</v>
          </cell>
          <cell r="D257" t="str">
            <v>CUST-1549</v>
          </cell>
          <cell r="E257" t="str">
            <v>Isha Nair</v>
          </cell>
          <cell r="F257" t="str">
            <v>Corporate</v>
          </cell>
          <cell r="G257" t="str">
            <v>West</v>
          </cell>
          <cell r="H257" t="str">
            <v>Maharashtra</v>
          </cell>
          <cell r="I257" t="str">
            <v>Mumbai</v>
          </cell>
          <cell r="J257" t="str">
            <v>Technology</v>
          </cell>
          <cell r="K257" t="str">
            <v>Phones</v>
          </cell>
          <cell r="L257" t="str">
            <v>Eco Phones 132</v>
          </cell>
          <cell r="M257" t="str">
            <v>First Class</v>
          </cell>
          <cell r="N257">
            <v>7</v>
          </cell>
          <cell r="O257">
            <v>1830</v>
          </cell>
          <cell r="P257">
            <v>0</v>
          </cell>
          <cell r="S257">
            <v>3475.88</v>
          </cell>
          <cell r="T257" t="str">
            <v>Paid</v>
          </cell>
          <cell r="U257" t="str">
            <v>Completed</v>
          </cell>
        </row>
        <row r="258">
          <cell r="A258" t="str">
            <v>ORD-2024-10257</v>
          </cell>
          <cell r="B258" t="str">
            <v>2024-11-05</v>
          </cell>
          <cell r="C258" t="str">
            <v>03 Nov 2024</v>
          </cell>
          <cell r="D258" t="str">
            <v>CUST-8411</v>
          </cell>
          <cell r="E258" t="str">
            <v>Ananya Rao</v>
          </cell>
          <cell r="F258" t="str">
            <v>Consumer</v>
          </cell>
          <cell r="G258" t="str">
            <v>East</v>
          </cell>
          <cell r="H258" t="str">
            <v>West Bengal</v>
          </cell>
          <cell r="I258" t="str">
            <v>Kolkata</v>
          </cell>
          <cell r="J258" t="str">
            <v>Furniture</v>
          </cell>
          <cell r="K258" t="str">
            <v>Tables</v>
          </cell>
          <cell r="L258" t="str">
            <v>Prime Tables 481</v>
          </cell>
          <cell r="M258" t="str">
            <v>First Class</v>
          </cell>
          <cell r="N258">
            <v>9</v>
          </cell>
          <cell r="O258">
            <v>2260.61</v>
          </cell>
          <cell r="P258">
            <v>0.05</v>
          </cell>
          <cell r="S258">
            <v>7288.72</v>
          </cell>
          <cell r="T258" t="str">
            <v>Paid</v>
          </cell>
          <cell r="U258" t="str">
            <v>Completed</v>
          </cell>
        </row>
        <row r="259">
          <cell r="A259" t="str">
            <v>ORD-2025-10258</v>
          </cell>
          <cell r="B259" t="str">
            <v>2025-08-09</v>
          </cell>
          <cell r="C259" t="str">
            <v>2025-08-12</v>
          </cell>
          <cell r="D259" t="str">
            <v>CUST-5615</v>
          </cell>
          <cell r="E259" t="str">
            <v>Diya Patel</v>
          </cell>
          <cell r="F259" t="str">
            <v>Corporate</v>
          </cell>
          <cell r="G259" t="str">
            <v>South</v>
          </cell>
          <cell r="H259" t="str">
            <v>Karnataka</v>
          </cell>
          <cell r="I259" t="str">
            <v>Bengaluru</v>
          </cell>
          <cell r="J259" t="str">
            <v>Technology</v>
          </cell>
          <cell r="K259" t="str">
            <v>Accessories</v>
          </cell>
          <cell r="L259" t="str">
            <v>Smart Accessories 180</v>
          </cell>
          <cell r="M259" t="str">
            <v>Second Class</v>
          </cell>
          <cell r="N259">
            <v>2</v>
          </cell>
          <cell r="O259">
            <v>3237.27</v>
          </cell>
          <cell r="P259">
            <v>0</v>
          </cell>
          <cell r="S259">
            <v>1378.63</v>
          </cell>
          <cell r="T259" t="str">
            <v>Paid</v>
          </cell>
          <cell r="U259" t="str">
            <v>Cancelled</v>
          </cell>
        </row>
        <row r="260">
          <cell r="A260" t="str">
            <v>ORD-2024-10259</v>
          </cell>
          <cell r="B260" t="str">
            <v>2024-12-30</v>
          </cell>
          <cell r="C260" t="str">
            <v>2025-01-04</v>
          </cell>
          <cell r="D260" t="str">
            <v>CUST-8467</v>
          </cell>
          <cell r="E260" t="str">
            <v>Sneha Kapoor</v>
          </cell>
          <cell r="F260" t="str">
            <v>Corporate</v>
          </cell>
          <cell r="G260" t="str">
            <v>South</v>
          </cell>
          <cell r="H260" t="str">
            <v>Tamil Nadu</v>
          </cell>
          <cell r="I260" t="str">
            <v>Chennai</v>
          </cell>
          <cell r="J260" t="str">
            <v>Furniture</v>
          </cell>
          <cell r="K260" t="str">
            <v>Tables</v>
          </cell>
          <cell r="L260" t="str">
            <v>Smart Tables 774</v>
          </cell>
          <cell r="M260" t="str">
            <v>Same Day</v>
          </cell>
          <cell r="N260">
            <v>2</v>
          </cell>
          <cell r="O260">
            <v>3720.07</v>
          </cell>
          <cell r="P260">
            <v>0.25</v>
          </cell>
          <cell r="S260">
            <v>1273.0999999999999</v>
          </cell>
          <cell r="T260" t="str">
            <v>Paid</v>
          </cell>
          <cell r="U260" t="str">
            <v>Completed</v>
          </cell>
        </row>
        <row r="261">
          <cell r="A261" t="str">
            <v>ORD-2024-10260</v>
          </cell>
          <cell r="B261" t="str">
            <v>06/21/2024</v>
          </cell>
          <cell r="C261" t="str">
            <v>29 Jun 2024</v>
          </cell>
          <cell r="D261" t="str">
            <v>CUST-5174</v>
          </cell>
          <cell r="E261" t="str">
            <v>Neha Gupta</v>
          </cell>
          <cell r="F261" t="str">
            <v>Consumer</v>
          </cell>
          <cell r="G261" t="str">
            <v>South</v>
          </cell>
          <cell r="H261" t="str">
            <v>Tamil Nadu</v>
          </cell>
          <cell r="I261" t="str">
            <v>Chennai</v>
          </cell>
          <cell r="J261" t="str">
            <v>Technology</v>
          </cell>
          <cell r="K261" t="str">
            <v>Machines</v>
          </cell>
          <cell r="L261" t="str">
            <v>Prime Machines 793</v>
          </cell>
          <cell r="M261" t="str">
            <v>Standard Class</v>
          </cell>
          <cell r="N261">
            <v>8</v>
          </cell>
          <cell r="O261">
            <v>2853.92</v>
          </cell>
          <cell r="P261">
            <v>0.2</v>
          </cell>
          <cell r="S261">
            <v>7827.95</v>
          </cell>
          <cell r="T261" t="str">
            <v>Paid</v>
          </cell>
          <cell r="U261" t="str">
            <v>Completed</v>
          </cell>
        </row>
        <row r="262">
          <cell r="A262" t="str">
            <v>ORD-2025-10261</v>
          </cell>
          <cell r="B262" t="str">
            <v>2025-09-23</v>
          </cell>
          <cell r="C262" t="str">
            <v>09/27/2025</v>
          </cell>
          <cell r="D262" t="str">
            <v>CUST-3543</v>
          </cell>
          <cell r="E262" t="str">
            <v>Aditi Sen</v>
          </cell>
          <cell r="F262" t="str">
            <v>Corporate</v>
          </cell>
          <cell r="G262" t="str">
            <v>East</v>
          </cell>
          <cell r="H262" t="str">
            <v>West Bengal</v>
          </cell>
          <cell r="I262" t="str">
            <v>Kolkata</v>
          </cell>
          <cell r="J262" t="str">
            <v>Office Supplies</v>
          </cell>
          <cell r="K262" t="str">
            <v>Binders</v>
          </cell>
          <cell r="L262" t="str">
            <v>Elite Binders 827</v>
          </cell>
          <cell r="M262" t="str">
            <v>Same Day</v>
          </cell>
          <cell r="N262">
            <v>7</v>
          </cell>
          <cell r="O262">
            <v>2897.12</v>
          </cell>
          <cell r="P262">
            <v>0.25</v>
          </cell>
          <cell r="S262">
            <v>4318.7299999999996</v>
          </cell>
          <cell r="T262" t="str">
            <v>Failed</v>
          </cell>
          <cell r="U262" t="str">
            <v>Returned</v>
          </cell>
        </row>
        <row r="263">
          <cell r="A263" t="str">
            <v>ORD-2025-10262</v>
          </cell>
          <cell r="B263" t="str">
            <v>06/18/2025</v>
          </cell>
          <cell r="C263" t="str">
            <v>06/24/2025</v>
          </cell>
          <cell r="D263" t="str">
            <v>CUST-7623</v>
          </cell>
          <cell r="E263" t="str">
            <v>Sneha Kapoor</v>
          </cell>
          <cell r="F263" t="str">
            <v>Corporate</v>
          </cell>
          <cell r="G263" t="str">
            <v>North</v>
          </cell>
          <cell r="H263" t="str">
            <v>Rajasthan</v>
          </cell>
          <cell r="I263" t="str">
            <v>Jaipur</v>
          </cell>
          <cell r="J263" t="str">
            <v>Office Supplies</v>
          </cell>
          <cell r="K263" t="str">
            <v>Labels</v>
          </cell>
          <cell r="L263" t="str">
            <v>Prime Labels 326</v>
          </cell>
          <cell r="M263" t="str">
            <v>Standard Class</v>
          </cell>
          <cell r="N263">
            <v>3</v>
          </cell>
          <cell r="O263">
            <v>686.74</v>
          </cell>
          <cell r="P263">
            <v>0.2</v>
          </cell>
          <cell r="S263">
            <v>660.27</v>
          </cell>
          <cell r="T263" t="str">
            <v>Failed</v>
          </cell>
          <cell r="U263" t="str">
            <v>Cancelled</v>
          </cell>
        </row>
        <row r="264">
          <cell r="A264" t="str">
            <v>ORD-2025-10263</v>
          </cell>
          <cell r="B264" t="str">
            <v>2025-05-26</v>
          </cell>
          <cell r="C264" t="str">
            <v>01 Jun 2025</v>
          </cell>
          <cell r="D264" t="str">
            <v>CUST-6153</v>
          </cell>
          <cell r="E264" t="str">
            <v>Arjun Bose</v>
          </cell>
          <cell r="F264" t="str">
            <v>Small Business</v>
          </cell>
          <cell r="G264" t="str">
            <v>North</v>
          </cell>
          <cell r="H264" t="str">
            <v>Delhi</v>
          </cell>
          <cell r="I264" t="str">
            <v>New Delhi</v>
          </cell>
          <cell r="J264" t="str">
            <v>Technology</v>
          </cell>
          <cell r="K264" t="str">
            <v>Phones</v>
          </cell>
          <cell r="L264" t="str">
            <v>Eco Phones 245</v>
          </cell>
          <cell r="M264" t="str">
            <v>Same Day</v>
          </cell>
          <cell r="N264">
            <v>4</v>
          </cell>
          <cell r="O264">
            <v>3349.86</v>
          </cell>
          <cell r="P264">
            <v>0</v>
          </cell>
          <cell r="S264">
            <v>4818.09</v>
          </cell>
          <cell r="T264" t="str">
            <v>Pending</v>
          </cell>
          <cell r="U264" t="str">
            <v>Returned</v>
          </cell>
        </row>
        <row r="265">
          <cell r="A265" t="str">
            <v>ORD-2025-10264</v>
          </cell>
          <cell r="B265" t="str">
            <v>06 Aug 2025</v>
          </cell>
          <cell r="C265" t="str">
            <v>10-08-2025</v>
          </cell>
          <cell r="D265" t="str">
            <v>CUST-8265</v>
          </cell>
          <cell r="E265" t="str">
            <v>Rohan Mehta</v>
          </cell>
          <cell r="F265" t="str">
            <v>Small Business</v>
          </cell>
          <cell r="G265" t="str">
            <v>North</v>
          </cell>
          <cell r="H265" t="str">
            <v>Delhi</v>
          </cell>
          <cell r="I265" t="str">
            <v>New Delhi</v>
          </cell>
          <cell r="J265" t="str">
            <v>Office Supplies</v>
          </cell>
          <cell r="K265" t="str">
            <v>Binders</v>
          </cell>
          <cell r="L265" t="str">
            <v>Smart Binders 905</v>
          </cell>
          <cell r="M265" t="str">
            <v>Second Class</v>
          </cell>
          <cell r="N265">
            <v>9</v>
          </cell>
          <cell r="O265">
            <v>4042.45</v>
          </cell>
          <cell r="P265">
            <v>0.1</v>
          </cell>
          <cell r="S265">
            <v>10291.790000000001</v>
          </cell>
          <cell r="T265" t="str">
            <v>Pending</v>
          </cell>
          <cell r="U265" t="str">
            <v>Returned</v>
          </cell>
        </row>
        <row r="266">
          <cell r="A266" t="str">
            <v>ORD-2024-10265</v>
          </cell>
          <cell r="B266" t="str">
            <v>16-05-2024</v>
          </cell>
          <cell r="C266" t="str">
            <v>05/21/2024</v>
          </cell>
          <cell r="D266" t="str">
            <v>CUST-4750</v>
          </cell>
          <cell r="E266" t="str">
            <v>Diya Patel</v>
          </cell>
          <cell r="F266" t="str">
            <v>Small Business</v>
          </cell>
          <cell r="G266" t="str">
            <v>East</v>
          </cell>
          <cell r="H266" t="str">
            <v>Bihar</v>
          </cell>
          <cell r="I266" t="str">
            <v>Patna</v>
          </cell>
          <cell r="J266" t="str">
            <v>Technology</v>
          </cell>
          <cell r="K266" t="str">
            <v>Copiers</v>
          </cell>
          <cell r="L266" t="str">
            <v>Pro Copiers 599</v>
          </cell>
          <cell r="M266" t="str">
            <v>Standard Class</v>
          </cell>
          <cell r="N266">
            <v>4</v>
          </cell>
          <cell r="O266">
            <v>1503.07</v>
          </cell>
          <cell r="P266">
            <v>0</v>
          </cell>
          <cell r="S266">
            <v>2084.64</v>
          </cell>
          <cell r="T266" t="str">
            <v>Paid</v>
          </cell>
          <cell r="U266" t="str">
            <v>Completed</v>
          </cell>
        </row>
        <row r="267">
          <cell r="A267" t="str">
            <v>ORD-2024-10266</v>
          </cell>
          <cell r="B267" t="str">
            <v>14 Nov 2024</v>
          </cell>
          <cell r="C267" t="str">
            <v>11/22/2024</v>
          </cell>
          <cell r="D267" t="str">
            <v>CUST-3974</v>
          </cell>
          <cell r="E267" t="str">
            <v>Priya Menon</v>
          </cell>
          <cell r="F267" t="str">
            <v>Corporate</v>
          </cell>
          <cell r="G267" t="str">
            <v>East</v>
          </cell>
          <cell r="H267" t="str">
            <v>Bihar</v>
          </cell>
          <cell r="I267" t="str">
            <v>Patna</v>
          </cell>
          <cell r="J267" t="str">
            <v>Furniture</v>
          </cell>
          <cell r="K267" t="str">
            <v>Bookcases</v>
          </cell>
          <cell r="L267" t="str">
            <v>Basic Bookcases 570</v>
          </cell>
          <cell r="M267" t="str">
            <v>Same Day</v>
          </cell>
          <cell r="N267">
            <v>1</v>
          </cell>
          <cell r="O267">
            <v>582.37</v>
          </cell>
          <cell r="P267">
            <v>0.15</v>
          </cell>
          <cell r="S267">
            <v>209.88</v>
          </cell>
          <cell r="T267" t="str">
            <v>Refunded</v>
          </cell>
          <cell r="U267" t="str">
            <v>Cancelled</v>
          </cell>
        </row>
        <row r="268">
          <cell r="A268" t="str">
            <v>ORD-2025-10267</v>
          </cell>
          <cell r="B268" t="str">
            <v>2025-05-03</v>
          </cell>
          <cell r="C268" t="str">
            <v>2025-05-10</v>
          </cell>
          <cell r="D268" t="str">
            <v>CUST-7114</v>
          </cell>
          <cell r="E268" t="str">
            <v>Neha Gupta</v>
          </cell>
          <cell r="F268" t="str">
            <v>Home Office</v>
          </cell>
          <cell r="G268" t="str">
            <v>West</v>
          </cell>
          <cell r="H268" t="str">
            <v>Maharashtra</v>
          </cell>
          <cell r="I268" t="str">
            <v>Mumbai</v>
          </cell>
          <cell r="J268" t="str">
            <v>Office Supplies</v>
          </cell>
          <cell r="K268" t="str">
            <v>Storage</v>
          </cell>
          <cell r="L268" t="str">
            <v>Classic Storage 926</v>
          </cell>
          <cell r="M268" t="str">
            <v>Second Class</v>
          </cell>
          <cell r="N268">
            <v>3</v>
          </cell>
          <cell r="O268">
            <v>4339.24</v>
          </cell>
          <cell r="P268">
            <v>0</v>
          </cell>
          <cell r="S268">
            <v>2847.15</v>
          </cell>
          <cell r="T268" t="str">
            <v>Paid</v>
          </cell>
          <cell r="U268" t="str">
            <v>Completed</v>
          </cell>
        </row>
        <row r="269">
          <cell r="A269" t="str">
            <v>ORD-2025-10268</v>
          </cell>
          <cell r="B269" t="str">
            <v>28 May 2025</v>
          </cell>
          <cell r="C269" t="str">
            <v>04-06-2025</v>
          </cell>
          <cell r="D269" t="str">
            <v>CUST-4431</v>
          </cell>
          <cell r="E269" t="str">
            <v>Diya Patel</v>
          </cell>
          <cell r="F269" t="str">
            <v>Corporate</v>
          </cell>
          <cell r="G269" t="str">
            <v>East</v>
          </cell>
          <cell r="H269" t="str">
            <v>Jharkhand</v>
          </cell>
          <cell r="I269" t="str">
            <v>Ranchi</v>
          </cell>
          <cell r="J269" t="str">
            <v>Furniture</v>
          </cell>
          <cell r="K269" t="str">
            <v>Furnishings</v>
          </cell>
          <cell r="L269" t="str">
            <v>Basic Furnishings 372</v>
          </cell>
          <cell r="M269" t="str">
            <v>First Class</v>
          </cell>
          <cell r="N269">
            <v>4</v>
          </cell>
          <cell r="O269">
            <v>261.8</v>
          </cell>
          <cell r="P269">
            <v>0.25</v>
          </cell>
          <cell r="S269">
            <v>228.18</v>
          </cell>
          <cell r="T269" t="str">
            <v>Paid</v>
          </cell>
          <cell r="U269" t="str">
            <v>Completed</v>
          </cell>
        </row>
        <row r="270">
          <cell r="A270" t="str">
            <v>ORD-2025-10269</v>
          </cell>
          <cell r="B270" t="str">
            <v>08/17/2025</v>
          </cell>
          <cell r="C270" t="str">
            <v>08/17/2025</v>
          </cell>
          <cell r="D270" t="str">
            <v>CUST-1488</v>
          </cell>
          <cell r="E270" t="str">
            <v>Aarav Sharma</v>
          </cell>
          <cell r="F270" t="str">
            <v>Home Office</v>
          </cell>
          <cell r="G270" t="str">
            <v>North</v>
          </cell>
          <cell r="H270" t="str">
            <v>Punjab</v>
          </cell>
          <cell r="I270" t="str">
            <v>Ludhiana</v>
          </cell>
          <cell r="J270" t="str">
            <v>Technology</v>
          </cell>
          <cell r="K270" t="str">
            <v>Accessories</v>
          </cell>
          <cell r="L270" t="str">
            <v>Prime Accessories 367</v>
          </cell>
          <cell r="M270" t="str">
            <v>First Class</v>
          </cell>
          <cell r="N270">
            <v>7</v>
          </cell>
          <cell r="O270">
            <v>632.20000000000005</v>
          </cell>
          <cell r="P270">
            <v>0.25</v>
          </cell>
          <cell r="S270">
            <v>1194.45</v>
          </cell>
          <cell r="T270" t="str">
            <v>Paid</v>
          </cell>
          <cell r="U270" t="str">
            <v>Completed</v>
          </cell>
        </row>
        <row r="271">
          <cell r="A271" t="str">
            <v>ORD-2025-10270</v>
          </cell>
          <cell r="B271" t="str">
            <v>02/10/2025</v>
          </cell>
          <cell r="C271" t="str">
            <v>02/12/2025</v>
          </cell>
          <cell r="D271" t="str">
            <v>CUST-1586</v>
          </cell>
          <cell r="E271" t="str">
            <v>Rahul Verma</v>
          </cell>
          <cell r="F271" t="str">
            <v>Small Business</v>
          </cell>
          <cell r="G271" t="str">
            <v>West</v>
          </cell>
          <cell r="H271" t="str">
            <v>Rajasthan</v>
          </cell>
          <cell r="I271" t="str">
            <v>Udaipur</v>
          </cell>
          <cell r="J271" t="str">
            <v>Furniture</v>
          </cell>
          <cell r="K271" t="str">
            <v>Tables</v>
          </cell>
          <cell r="L271" t="str">
            <v>Max Tables 526</v>
          </cell>
          <cell r="M271" t="str">
            <v>Same Day</v>
          </cell>
          <cell r="N271">
            <v>1</v>
          </cell>
          <cell r="O271">
            <v>1925.86</v>
          </cell>
          <cell r="P271">
            <v>0</v>
          </cell>
          <cell r="S271">
            <v>603.97</v>
          </cell>
          <cell r="T271" t="str">
            <v>Paid</v>
          </cell>
          <cell r="U271" t="str">
            <v>Completed</v>
          </cell>
        </row>
        <row r="272">
          <cell r="A272" t="str">
            <v>ORD-2024-10271</v>
          </cell>
          <cell r="B272" t="str">
            <v>01/12/2024</v>
          </cell>
          <cell r="C272" t="str">
            <v>13-01-2024</v>
          </cell>
          <cell r="D272" t="str">
            <v>CUST-2487</v>
          </cell>
          <cell r="E272" t="str">
            <v>Aditi Sen</v>
          </cell>
          <cell r="F272" t="str">
            <v>Corporate</v>
          </cell>
          <cell r="G272" t="str">
            <v>North</v>
          </cell>
          <cell r="H272" t="str">
            <v>Uttar Pradesh</v>
          </cell>
          <cell r="I272" t="str">
            <v>Noida</v>
          </cell>
          <cell r="J272" t="str">
            <v>Technology</v>
          </cell>
          <cell r="K272" t="str">
            <v>Machines</v>
          </cell>
          <cell r="L272" t="str">
            <v>Prime Machines 794</v>
          </cell>
          <cell r="M272" t="str">
            <v>Same Day</v>
          </cell>
          <cell r="N272">
            <v>3</v>
          </cell>
          <cell r="O272">
            <v>827.44</v>
          </cell>
          <cell r="P272">
            <v>0</v>
          </cell>
          <cell r="S272">
            <v>962.11</v>
          </cell>
          <cell r="T272" t="str">
            <v>Paid</v>
          </cell>
          <cell r="U272" t="str">
            <v>Completed</v>
          </cell>
        </row>
        <row r="273">
          <cell r="A273" t="str">
            <v>ORD-2024-10272</v>
          </cell>
          <cell r="B273" t="str">
            <v>21 Dec 2024</v>
          </cell>
          <cell r="C273" t="str">
            <v>25 Dec 2024</v>
          </cell>
          <cell r="D273" t="str">
            <v>CUST-8009</v>
          </cell>
          <cell r="E273" t="str">
            <v>Aditi Sen</v>
          </cell>
          <cell r="F273" t="str">
            <v>Consumer</v>
          </cell>
          <cell r="G273" t="str">
            <v>South</v>
          </cell>
          <cell r="H273" t="str">
            <v>Telangana</v>
          </cell>
          <cell r="I273" t="str">
            <v>Hyderabad</v>
          </cell>
          <cell r="J273" t="str">
            <v>Office Supplies</v>
          </cell>
          <cell r="K273" t="str">
            <v>Binders</v>
          </cell>
          <cell r="L273" t="str">
            <v>Max Binders 927</v>
          </cell>
          <cell r="M273" t="str">
            <v>Standard Class</v>
          </cell>
          <cell r="N273">
            <v>7</v>
          </cell>
          <cell r="O273">
            <v>1667.75</v>
          </cell>
          <cell r="P273">
            <v>0</v>
          </cell>
          <cell r="S273">
            <v>2053.06</v>
          </cell>
          <cell r="T273" t="str">
            <v>Failed</v>
          </cell>
          <cell r="U273" t="str">
            <v>Cancelled</v>
          </cell>
        </row>
        <row r="274">
          <cell r="A274" t="str">
            <v>ORD-2024-10273</v>
          </cell>
          <cell r="B274" t="str">
            <v>08/18/2024</v>
          </cell>
          <cell r="C274" t="str">
            <v>24 Aug 2024</v>
          </cell>
          <cell r="D274" t="str">
            <v>CUST-7389</v>
          </cell>
          <cell r="E274" t="str">
            <v>Arjun Bose</v>
          </cell>
          <cell r="F274" t="str">
            <v>Consumer</v>
          </cell>
          <cell r="G274" t="str">
            <v>South</v>
          </cell>
          <cell r="H274" t="str">
            <v>Andhra Pradesh</v>
          </cell>
          <cell r="I274" t="str">
            <v>Vijayawada</v>
          </cell>
          <cell r="J274" t="str">
            <v>Furniture</v>
          </cell>
          <cell r="K274" t="str">
            <v>Chairs</v>
          </cell>
          <cell r="L274" t="str">
            <v>Eco Chairs 314</v>
          </cell>
          <cell r="M274" t="str">
            <v>First Class</v>
          </cell>
          <cell r="N274">
            <v>7</v>
          </cell>
          <cell r="O274">
            <v>557.21</v>
          </cell>
          <cell r="P274">
            <v>0.1</v>
          </cell>
          <cell r="S274">
            <v>1213.48</v>
          </cell>
          <cell r="T274" t="str">
            <v>Paid</v>
          </cell>
          <cell r="U274" t="str">
            <v>Completed</v>
          </cell>
        </row>
        <row r="275">
          <cell r="A275" t="str">
            <v>ORD-2025-10274</v>
          </cell>
          <cell r="B275" t="str">
            <v>02/13/2025</v>
          </cell>
          <cell r="C275" t="str">
            <v>13 Feb 2025</v>
          </cell>
          <cell r="D275" t="str">
            <v>CUST-8249</v>
          </cell>
          <cell r="E275" t="str">
            <v>Isha Nair</v>
          </cell>
          <cell r="F275" t="str">
            <v>Consumer</v>
          </cell>
          <cell r="G275" t="str">
            <v>East</v>
          </cell>
          <cell r="H275" t="str">
            <v>Bihar</v>
          </cell>
          <cell r="I275" t="str">
            <v>Patna</v>
          </cell>
          <cell r="J275" t="str">
            <v>Office Supplies</v>
          </cell>
          <cell r="K275" t="str">
            <v>Paper</v>
          </cell>
          <cell r="L275" t="str">
            <v>Basic Paper 657</v>
          </cell>
          <cell r="M275" t="str">
            <v>Second Class</v>
          </cell>
          <cell r="N275">
            <v>9</v>
          </cell>
          <cell r="O275">
            <v>2521.63</v>
          </cell>
          <cell r="P275">
            <v>0</v>
          </cell>
          <cell r="S275">
            <v>7289.31</v>
          </cell>
          <cell r="T275" t="str">
            <v>Paid</v>
          </cell>
          <cell r="U275" t="str">
            <v>Returned</v>
          </cell>
        </row>
        <row r="276">
          <cell r="A276" t="str">
            <v>ORD-2024-10275</v>
          </cell>
          <cell r="B276" t="str">
            <v>07-04-2024</v>
          </cell>
          <cell r="C276" t="str">
            <v>14-04-2024</v>
          </cell>
          <cell r="D276" t="str">
            <v>CUST-4202</v>
          </cell>
          <cell r="E276" t="str">
            <v>Rohan Mehta</v>
          </cell>
          <cell r="F276" t="str">
            <v>Consumer</v>
          </cell>
          <cell r="G276" t="str">
            <v>South</v>
          </cell>
          <cell r="H276" t="str">
            <v>Kerala</v>
          </cell>
          <cell r="I276" t="str">
            <v>Kochi</v>
          </cell>
          <cell r="J276" t="str">
            <v>Technology</v>
          </cell>
          <cell r="K276" t="str">
            <v>Copiers</v>
          </cell>
          <cell r="L276" t="str">
            <v>Pro Copiers 406</v>
          </cell>
          <cell r="M276" t="str">
            <v>Standard Class</v>
          </cell>
          <cell r="N276">
            <v>6</v>
          </cell>
          <cell r="O276">
            <v>4246.71</v>
          </cell>
          <cell r="P276">
            <v>0.15</v>
          </cell>
          <cell r="S276">
            <v>6167.53</v>
          </cell>
          <cell r="T276" t="str">
            <v>Failed</v>
          </cell>
          <cell r="U276" t="str">
            <v>Returned</v>
          </cell>
        </row>
        <row r="277">
          <cell r="A277" t="str">
            <v>ORD-2024-10276</v>
          </cell>
          <cell r="B277" t="str">
            <v>2024-02-15</v>
          </cell>
          <cell r="C277" t="str">
            <v>02/22/2024</v>
          </cell>
          <cell r="D277" t="str">
            <v>CUST-2875</v>
          </cell>
          <cell r="E277" t="str">
            <v>Priya Menon</v>
          </cell>
          <cell r="F277" t="str">
            <v>Small Business</v>
          </cell>
          <cell r="G277" t="str">
            <v>East</v>
          </cell>
          <cell r="H277" t="str">
            <v>West Bengal</v>
          </cell>
          <cell r="I277" t="str">
            <v>Kolkata</v>
          </cell>
          <cell r="J277" t="str">
            <v>Furniture</v>
          </cell>
          <cell r="K277" t="str">
            <v>Furnishings</v>
          </cell>
          <cell r="L277" t="str">
            <v>Eco Furnishings 678</v>
          </cell>
          <cell r="M277" t="str">
            <v>Same Day</v>
          </cell>
          <cell r="N277">
            <v>1</v>
          </cell>
          <cell r="O277">
            <v>980.51</v>
          </cell>
          <cell r="P277">
            <v>0</v>
          </cell>
          <cell r="S277">
            <v>319.58999999999997</v>
          </cell>
          <cell r="T277" t="str">
            <v>Paid</v>
          </cell>
          <cell r="U277" t="str">
            <v>Completed</v>
          </cell>
        </row>
        <row r="278">
          <cell r="A278" t="str">
            <v>ORD-2024-10277</v>
          </cell>
          <cell r="B278" t="str">
            <v>22-01-2024</v>
          </cell>
          <cell r="C278" t="str">
            <v>23-01-2024</v>
          </cell>
          <cell r="D278" t="str">
            <v>CUST-7039</v>
          </cell>
          <cell r="E278" t="str">
            <v>Aarav Sharma</v>
          </cell>
          <cell r="F278" t="str">
            <v>Small Business</v>
          </cell>
          <cell r="H278" t="str">
            <v>Assam</v>
          </cell>
          <cell r="I278" t="str">
            <v>Guwahati</v>
          </cell>
          <cell r="J278" t="str">
            <v>Furniture</v>
          </cell>
          <cell r="K278" t="str">
            <v>Chairs</v>
          </cell>
          <cell r="L278" t="str">
            <v>Basic Chairs 141</v>
          </cell>
          <cell r="M278" t="str">
            <v>Second Class</v>
          </cell>
          <cell r="N278">
            <v>6</v>
          </cell>
          <cell r="O278">
            <v>3391.53</v>
          </cell>
          <cell r="P278">
            <v>-0.14000000000000001</v>
          </cell>
          <cell r="S278">
            <v>6848.36</v>
          </cell>
          <cell r="T278" t="str">
            <v>Paid</v>
          </cell>
          <cell r="U278" t="str">
            <v>Completed</v>
          </cell>
        </row>
        <row r="279">
          <cell r="A279" t="str">
            <v>ORD-2025-10278</v>
          </cell>
          <cell r="B279" t="str">
            <v>04 Jun 2025</v>
          </cell>
          <cell r="C279" t="str">
            <v>04 Jun 2025</v>
          </cell>
          <cell r="D279" t="str">
            <v>CUST-2819</v>
          </cell>
          <cell r="E279" t="str">
            <v>Isha Nair</v>
          </cell>
          <cell r="F279" t="str">
            <v>Corporate</v>
          </cell>
          <cell r="G279" t="str">
            <v>North</v>
          </cell>
          <cell r="H279" t="str">
            <v>Haryana</v>
          </cell>
          <cell r="I279" t="str">
            <v>Gurugram</v>
          </cell>
          <cell r="J279" t="str">
            <v>Technology</v>
          </cell>
          <cell r="K279" t="str">
            <v>Accessories</v>
          </cell>
          <cell r="L279" t="str">
            <v>Elite Accessories 291</v>
          </cell>
          <cell r="M279" t="str">
            <v>Second Class</v>
          </cell>
          <cell r="N279">
            <v>1</v>
          </cell>
          <cell r="O279">
            <v>2133.73</v>
          </cell>
          <cell r="P279">
            <v>0.15</v>
          </cell>
          <cell r="S279">
            <v>811.1</v>
          </cell>
          <cell r="T279" t="str">
            <v>Pending</v>
          </cell>
          <cell r="U279" t="str">
            <v>Cancelled</v>
          </cell>
        </row>
        <row r="280">
          <cell r="A280" t="str">
            <v>ORD-2025-10279</v>
          </cell>
          <cell r="B280" t="str">
            <v>07-03-2025</v>
          </cell>
          <cell r="C280" t="str">
            <v>2025-03-14</v>
          </cell>
          <cell r="D280" t="str">
            <v>CUST-8242</v>
          </cell>
          <cell r="E280" t="str">
            <v>Priya Menon</v>
          </cell>
          <cell r="F280" t="str">
            <v>Small Business</v>
          </cell>
          <cell r="G280" t="str">
            <v>North</v>
          </cell>
          <cell r="H280" t="str">
            <v>Delhi</v>
          </cell>
          <cell r="I280" t="str">
            <v>New Delhi</v>
          </cell>
          <cell r="J280" t="str">
            <v>Technology</v>
          </cell>
          <cell r="K280" t="str">
            <v>Accessories</v>
          </cell>
          <cell r="L280" t="str">
            <v>Pro Accessories 207</v>
          </cell>
          <cell r="M280" t="str">
            <v>Same Day</v>
          </cell>
          <cell r="N280">
            <v>1</v>
          </cell>
          <cell r="O280">
            <v>3979.64</v>
          </cell>
          <cell r="P280">
            <v>0.05</v>
          </cell>
          <cell r="S280">
            <v>1632.35</v>
          </cell>
          <cell r="T280" t="str">
            <v>Paid</v>
          </cell>
          <cell r="U280" t="str">
            <v>Returned</v>
          </cell>
        </row>
        <row r="281">
          <cell r="A281" t="str">
            <v>ORD-2024-10280</v>
          </cell>
          <cell r="B281" t="str">
            <v>04/09/2024</v>
          </cell>
          <cell r="C281" t="str">
            <v>10 Apr 2024</v>
          </cell>
          <cell r="D281" t="str">
            <v>CUST-4571</v>
          </cell>
          <cell r="E281" t="str">
            <v>Rohan Mehta</v>
          </cell>
          <cell r="F281" t="str">
            <v>Small Business</v>
          </cell>
          <cell r="G281" t="str">
            <v>West</v>
          </cell>
          <cell r="H281" t="str">
            <v>Maharashtra</v>
          </cell>
          <cell r="I281" t="str">
            <v>Mumbai</v>
          </cell>
          <cell r="J281" t="str">
            <v>Office Supplies</v>
          </cell>
          <cell r="K281" t="str">
            <v>Storage</v>
          </cell>
          <cell r="L281" t="str">
            <v>Max Storage 564</v>
          </cell>
          <cell r="M281" t="str">
            <v>First Class</v>
          </cell>
          <cell r="N281">
            <v>1</v>
          </cell>
          <cell r="O281">
            <v>4359.12</v>
          </cell>
          <cell r="P281">
            <v>0.05</v>
          </cell>
          <cell r="S281">
            <v>1386.99</v>
          </cell>
          <cell r="T281" t="str">
            <v>Paid</v>
          </cell>
          <cell r="U281" t="str">
            <v>Completed</v>
          </cell>
        </row>
        <row r="282">
          <cell r="A282" t="str">
            <v>ORD-2024-10281</v>
          </cell>
          <cell r="B282" t="str">
            <v>12/23/2024</v>
          </cell>
          <cell r="C282" t="str">
            <v>26-12-2024</v>
          </cell>
          <cell r="D282" t="str">
            <v>CUST-4098</v>
          </cell>
          <cell r="E282" t="str">
            <v>Aditi Sen</v>
          </cell>
          <cell r="F282" t="str">
            <v>Consumer</v>
          </cell>
          <cell r="G282" t="str">
            <v>South</v>
          </cell>
          <cell r="H282" t="str">
            <v>Karnataka</v>
          </cell>
          <cell r="I282" t="str">
            <v>Bengaluru</v>
          </cell>
          <cell r="J282" t="str">
            <v>Technology</v>
          </cell>
          <cell r="K282" t="str">
            <v>Copiers</v>
          </cell>
          <cell r="L282" t="str">
            <v>Prime Copiers 961</v>
          </cell>
          <cell r="M282" t="str">
            <v>Standard Class</v>
          </cell>
          <cell r="N282">
            <v>9</v>
          </cell>
          <cell r="O282">
            <v>993.67</v>
          </cell>
          <cell r="P282">
            <v>0</v>
          </cell>
          <cell r="S282">
            <v>3777.65</v>
          </cell>
          <cell r="T282" t="str">
            <v>Paid</v>
          </cell>
          <cell r="U282" t="str">
            <v>Completed</v>
          </cell>
        </row>
        <row r="283">
          <cell r="A283" t="str">
            <v>ORD-2025-10282</v>
          </cell>
          <cell r="B283" t="str">
            <v>25-07-2025</v>
          </cell>
          <cell r="C283" t="str">
            <v>07/27/2025</v>
          </cell>
          <cell r="D283" t="str">
            <v>CUST-2052</v>
          </cell>
          <cell r="E283" t="str">
            <v>Kabir Singh</v>
          </cell>
          <cell r="F283" t="str">
            <v>Consumer</v>
          </cell>
          <cell r="G283" t="str">
            <v>East</v>
          </cell>
          <cell r="H283" t="str">
            <v>Jharkhand</v>
          </cell>
          <cell r="I283" t="str">
            <v>Ranchi</v>
          </cell>
          <cell r="J283" t="str">
            <v>Office Supplies</v>
          </cell>
          <cell r="K283" t="str">
            <v>Binders</v>
          </cell>
          <cell r="L283" t="str">
            <v>Basic Binders 637</v>
          </cell>
          <cell r="M283" t="str">
            <v>Second Class</v>
          </cell>
          <cell r="N283">
            <v>6</v>
          </cell>
          <cell r="O283">
            <v>3438.38</v>
          </cell>
          <cell r="P283">
            <v>0.2</v>
          </cell>
          <cell r="S283">
            <v>5241.51</v>
          </cell>
          <cell r="T283" t="str">
            <v>Paid</v>
          </cell>
          <cell r="U283" t="str">
            <v>Completed</v>
          </cell>
        </row>
        <row r="284">
          <cell r="A284" t="str">
            <v>ORD-2024-10283</v>
          </cell>
          <cell r="B284" t="str">
            <v>2024-10-01</v>
          </cell>
          <cell r="C284" t="str">
            <v>10/02/2024</v>
          </cell>
          <cell r="D284" t="str">
            <v>CUST-9445</v>
          </cell>
          <cell r="E284" t="str">
            <v>Karan Malhotra</v>
          </cell>
          <cell r="F284" t="str">
            <v>Home Office</v>
          </cell>
          <cell r="G284" t="str">
            <v>East</v>
          </cell>
          <cell r="H284" t="str">
            <v>Assam</v>
          </cell>
          <cell r="I284" t="str">
            <v>Guwahati</v>
          </cell>
          <cell r="J284" t="str">
            <v>Furniture</v>
          </cell>
          <cell r="K284" t="str">
            <v>Tables</v>
          </cell>
          <cell r="L284" t="str">
            <v>Classic Tables 811</v>
          </cell>
          <cell r="M284" t="str">
            <v>Second Class</v>
          </cell>
          <cell r="N284">
            <v>2</v>
          </cell>
          <cell r="O284">
            <v>2298</v>
          </cell>
          <cell r="P284">
            <v>0</v>
          </cell>
          <cell r="S284">
            <v>1375.67</v>
          </cell>
          <cell r="T284" t="str">
            <v>Paid</v>
          </cell>
          <cell r="U284" t="str">
            <v>Completed</v>
          </cell>
        </row>
        <row r="285">
          <cell r="A285" t="str">
            <v>ORD-2025-10284</v>
          </cell>
          <cell r="B285" t="str">
            <v>03/13/2025</v>
          </cell>
          <cell r="C285" t="str">
            <v>20-03-2025</v>
          </cell>
          <cell r="D285" t="str">
            <v>CUST-6568</v>
          </cell>
          <cell r="E285" t="str">
            <v>Vikram Iyer</v>
          </cell>
          <cell r="F285" t="str">
            <v>Consumer</v>
          </cell>
          <cell r="G285" t="str">
            <v>West</v>
          </cell>
          <cell r="H285" t="str">
            <v>Maharashtra</v>
          </cell>
          <cell r="I285" t="str">
            <v>Mumbai</v>
          </cell>
          <cell r="J285" t="str">
            <v>Furniture</v>
          </cell>
          <cell r="K285" t="str">
            <v>Furnishings</v>
          </cell>
          <cell r="L285" t="str">
            <v>Classic Furnishings 819</v>
          </cell>
          <cell r="M285" t="str">
            <v>First Class</v>
          </cell>
          <cell r="N285">
            <v>1</v>
          </cell>
          <cell r="O285">
            <v>1814.01</v>
          </cell>
          <cell r="P285">
            <v>0</v>
          </cell>
          <cell r="S285">
            <v>780.54</v>
          </cell>
          <cell r="T285" t="str">
            <v>Paid</v>
          </cell>
          <cell r="U285" t="str">
            <v>Completed</v>
          </cell>
        </row>
        <row r="286">
          <cell r="A286" t="str">
            <v>ORD-2024-10285</v>
          </cell>
          <cell r="B286" t="str">
            <v>12/08/2024</v>
          </cell>
          <cell r="C286" t="str">
            <v>12/14/2024</v>
          </cell>
          <cell r="D286" t="str">
            <v>CUST-2076</v>
          </cell>
          <cell r="E286" t="str">
            <v>Karan Malhotra</v>
          </cell>
          <cell r="F286" t="str">
            <v>Consumer</v>
          </cell>
          <cell r="G286" t="str">
            <v>East</v>
          </cell>
          <cell r="H286" t="str">
            <v>Odisha</v>
          </cell>
          <cell r="I286" t="str">
            <v>Bhubaneswar</v>
          </cell>
          <cell r="J286" t="str">
            <v>Furniture</v>
          </cell>
          <cell r="K286" t="str">
            <v>Tables</v>
          </cell>
          <cell r="L286" t="str">
            <v>Prime Tables 542</v>
          </cell>
          <cell r="M286" t="str">
            <v>Same Day</v>
          </cell>
          <cell r="N286">
            <v>3</v>
          </cell>
          <cell r="O286">
            <v>1576.92</v>
          </cell>
          <cell r="P286">
            <v>0</v>
          </cell>
          <cell r="S286">
            <v>1591.03</v>
          </cell>
          <cell r="T286" t="str">
            <v>Paid</v>
          </cell>
          <cell r="U286" t="str">
            <v>Returned</v>
          </cell>
        </row>
        <row r="287">
          <cell r="A287" t="str">
            <v>ORD-2025-10286</v>
          </cell>
          <cell r="B287" t="str">
            <v>2025-08-15</v>
          </cell>
          <cell r="C287" t="str">
            <v>2025-08-20</v>
          </cell>
          <cell r="D287" t="str">
            <v>CUST-5610</v>
          </cell>
          <cell r="E287" t="str">
            <v>Neha Gupta</v>
          </cell>
          <cell r="F287" t="str">
            <v>Home Office</v>
          </cell>
          <cell r="G287" t="str">
            <v>North</v>
          </cell>
          <cell r="H287" t="str">
            <v>Rajasthan</v>
          </cell>
          <cell r="I287" t="str">
            <v>Jaipur</v>
          </cell>
          <cell r="J287" t="str">
            <v>Office Supplies</v>
          </cell>
          <cell r="K287" t="str">
            <v>Storage</v>
          </cell>
          <cell r="L287" t="str">
            <v>Basic Storage 771</v>
          </cell>
          <cell r="M287" t="str">
            <v>Standard Class</v>
          </cell>
          <cell r="N287">
            <v>9</v>
          </cell>
          <cell r="O287">
            <v>4081.77</v>
          </cell>
          <cell r="P287">
            <v>0</v>
          </cell>
          <cell r="S287">
            <v>5915.09</v>
          </cell>
          <cell r="T287" t="str">
            <v>Paid</v>
          </cell>
          <cell r="U287" t="str">
            <v>Completed</v>
          </cell>
        </row>
        <row r="288">
          <cell r="A288" t="str">
            <v>ORD-2024-10287</v>
          </cell>
          <cell r="B288" t="str">
            <v>28-02-2024</v>
          </cell>
          <cell r="C288" t="str">
            <v>03/02/2024</v>
          </cell>
          <cell r="D288" t="str">
            <v>CUST-5823</v>
          </cell>
          <cell r="E288" t="str">
            <v>Priya Menon</v>
          </cell>
          <cell r="F288" t="str">
            <v>Small Business</v>
          </cell>
          <cell r="G288" t="str">
            <v>North</v>
          </cell>
          <cell r="H288" t="str">
            <v>Delhi</v>
          </cell>
          <cell r="I288" t="str">
            <v>New Delhi</v>
          </cell>
          <cell r="J288" t="str">
            <v>Furniture</v>
          </cell>
          <cell r="K288" t="str">
            <v>Furnishings</v>
          </cell>
          <cell r="L288" t="str">
            <v>Pro Furnishings 848</v>
          </cell>
          <cell r="M288" t="str">
            <v>First Class</v>
          </cell>
          <cell r="N288">
            <v>7</v>
          </cell>
          <cell r="O288">
            <v>701.8</v>
          </cell>
          <cell r="P288">
            <v>0.1</v>
          </cell>
          <cell r="S288">
            <v>1931.36</v>
          </cell>
          <cell r="T288" t="str">
            <v>Pending</v>
          </cell>
          <cell r="U288" t="str">
            <v>Returned</v>
          </cell>
        </row>
        <row r="289">
          <cell r="A289" t="str">
            <v>ORD-2024-10288</v>
          </cell>
          <cell r="B289" t="str">
            <v>09/05/2024</v>
          </cell>
          <cell r="C289" t="str">
            <v>07-09-2024</v>
          </cell>
          <cell r="D289" t="str">
            <v>CUST-7095</v>
          </cell>
          <cell r="E289" t="str">
            <v>Neha Gupta</v>
          </cell>
          <cell r="F289" t="str">
            <v>Small Business</v>
          </cell>
          <cell r="G289" t="str">
            <v>South</v>
          </cell>
          <cell r="H289" t="str">
            <v>Tamil Nadu</v>
          </cell>
          <cell r="I289" t="str">
            <v>Chennai</v>
          </cell>
          <cell r="J289" t="str">
            <v>Technology</v>
          </cell>
          <cell r="K289" t="str">
            <v>Copiers</v>
          </cell>
          <cell r="L289" t="str">
            <v>Prime Copiers 924</v>
          </cell>
          <cell r="M289" t="str">
            <v>Standard Class</v>
          </cell>
          <cell r="N289">
            <v>3</v>
          </cell>
          <cell r="O289">
            <v>2555.66</v>
          </cell>
          <cell r="P289">
            <v>0.15</v>
          </cell>
          <cell r="S289">
            <v>2005.39</v>
          </cell>
          <cell r="T289" t="str">
            <v>Paid</v>
          </cell>
          <cell r="U289" t="str">
            <v>Cancelled</v>
          </cell>
        </row>
        <row r="290">
          <cell r="A290" t="str">
            <v>ORD-2024-10289</v>
          </cell>
          <cell r="B290" t="str">
            <v>2024-06-24</v>
          </cell>
          <cell r="C290" t="str">
            <v>2024-06-24</v>
          </cell>
          <cell r="D290" t="str">
            <v>CUST-4805</v>
          </cell>
          <cell r="E290" t="str">
            <v>Rohan Mehta</v>
          </cell>
          <cell r="F290" t="str">
            <v>Small Business</v>
          </cell>
          <cell r="G290" t="str">
            <v>East</v>
          </cell>
          <cell r="H290" t="str">
            <v>Bihar</v>
          </cell>
          <cell r="I290" t="str">
            <v>Patna</v>
          </cell>
          <cell r="J290" t="str">
            <v>Office Supplies</v>
          </cell>
          <cell r="K290" t="str">
            <v>Binders</v>
          </cell>
          <cell r="L290" t="str">
            <v>Classic Binders 721</v>
          </cell>
          <cell r="M290" t="str">
            <v>Same Day</v>
          </cell>
          <cell r="N290">
            <v>2</v>
          </cell>
          <cell r="O290">
            <v>4359.8999999999996</v>
          </cell>
          <cell r="P290">
            <v>0.15</v>
          </cell>
          <cell r="S290">
            <v>2507.1999999999998</v>
          </cell>
          <cell r="T290" t="str">
            <v>Paid</v>
          </cell>
          <cell r="U290" t="str">
            <v>Completed</v>
          </cell>
        </row>
        <row r="291">
          <cell r="A291" t="str">
            <v>ORD-2025-10290</v>
          </cell>
          <cell r="B291" t="str">
            <v>19-06-2025</v>
          </cell>
          <cell r="C291" t="str">
            <v>06/27/2025</v>
          </cell>
          <cell r="D291" t="str">
            <v>CUST-9114</v>
          </cell>
          <cell r="E291" t="str">
            <v>Karan Malhotra</v>
          </cell>
          <cell r="F291" t="str">
            <v>Home Office</v>
          </cell>
          <cell r="G291" t="str">
            <v>South</v>
          </cell>
          <cell r="H291" t="str">
            <v>Tamil Nadu</v>
          </cell>
          <cell r="I291" t="str">
            <v>Chennai</v>
          </cell>
          <cell r="J291" t="str">
            <v>Furniture</v>
          </cell>
          <cell r="K291" t="str">
            <v>Bookcases</v>
          </cell>
          <cell r="L291" t="str">
            <v>Basic Bookcases 823</v>
          </cell>
          <cell r="M291" t="str">
            <v>First Class</v>
          </cell>
          <cell r="N291">
            <v>2</v>
          </cell>
          <cell r="O291">
            <v>4346.6899999999996</v>
          </cell>
          <cell r="P291">
            <v>0.05</v>
          </cell>
          <cell r="S291">
            <v>1239.74</v>
          </cell>
          <cell r="T291" t="str">
            <v>Paid</v>
          </cell>
          <cell r="U291" t="str">
            <v>Completed</v>
          </cell>
        </row>
        <row r="292">
          <cell r="A292" t="str">
            <v>ORD-2025-10291</v>
          </cell>
          <cell r="B292" t="str">
            <v>22 Aug 2025</v>
          </cell>
          <cell r="C292" t="str">
            <v>2025-08-26</v>
          </cell>
          <cell r="D292" t="str">
            <v>CUST-8557</v>
          </cell>
          <cell r="E292" t="str">
            <v>Diya Patel</v>
          </cell>
          <cell r="F292" t="str">
            <v>Home Office</v>
          </cell>
          <cell r="G292" t="str">
            <v>East</v>
          </cell>
          <cell r="H292" t="str">
            <v>Jharkhand</v>
          </cell>
          <cell r="I292" t="str">
            <v>Ranchi</v>
          </cell>
          <cell r="J292" t="str">
            <v>Furniture</v>
          </cell>
          <cell r="K292" t="str">
            <v>Tables</v>
          </cell>
          <cell r="L292" t="str">
            <v>Classic Tables 178</v>
          </cell>
          <cell r="M292" t="str">
            <v>Standard Class</v>
          </cell>
          <cell r="N292">
            <v>1</v>
          </cell>
          <cell r="O292">
            <v>1842.63</v>
          </cell>
          <cell r="P292">
            <v>0.1</v>
          </cell>
          <cell r="S292">
            <v>687.25</v>
          </cell>
          <cell r="T292" t="str">
            <v>Paid</v>
          </cell>
          <cell r="U292" t="str">
            <v>Completed</v>
          </cell>
        </row>
        <row r="293">
          <cell r="A293" t="str">
            <v>ORD-2024-10292</v>
          </cell>
          <cell r="B293" t="str">
            <v>04/05/2024</v>
          </cell>
          <cell r="C293" t="str">
            <v>2024-04-10</v>
          </cell>
          <cell r="D293" t="str">
            <v>CUST-2860</v>
          </cell>
          <cell r="E293" t="str">
            <v>Priya Menon</v>
          </cell>
          <cell r="F293" t="str">
            <v>Home Office</v>
          </cell>
          <cell r="G293" t="str">
            <v>North</v>
          </cell>
          <cell r="H293" t="str">
            <v>Rajasthan</v>
          </cell>
          <cell r="I293" t="str">
            <v>Jaipur</v>
          </cell>
          <cell r="J293" t="str">
            <v>Office Supplies</v>
          </cell>
          <cell r="K293" t="str">
            <v>Binders</v>
          </cell>
          <cell r="L293" t="str">
            <v>Eco Binders 153</v>
          </cell>
          <cell r="M293" t="str">
            <v>Standard Class</v>
          </cell>
          <cell r="N293">
            <v>4</v>
          </cell>
          <cell r="O293">
            <v>3228.66</v>
          </cell>
          <cell r="P293">
            <v>0.25</v>
          </cell>
          <cell r="S293">
            <v>1955.94</v>
          </cell>
          <cell r="T293" t="str">
            <v>Paid</v>
          </cell>
          <cell r="U293" t="str">
            <v>Completed</v>
          </cell>
        </row>
        <row r="294">
          <cell r="A294" t="str">
            <v>ORD-2025-10293</v>
          </cell>
          <cell r="B294" t="str">
            <v>28 Feb 2025</v>
          </cell>
          <cell r="C294" t="str">
            <v>03-03-2025</v>
          </cell>
          <cell r="D294" t="str">
            <v>CUST-7837</v>
          </cell>
          <cell r="E294" t="str">
            <v>Kabir Singh</v>
          </cell>
          <cell r="F294" t="str">
            <v>Home Office</v>
          </cell>
          <cell r="G294" t="str">
            <v>North</v>
          </cell>
          <cell r="H294" t="str">
            <v>Haryana</v>
          </cell>
          <cell r="I294" t="str">
            <v>Gurugram</v>
          </cell>
          <cell r="J294" t="str">
            <v>Office Supplies</v>
          </cell>
          <cell r="K294" t="str">
            <v>Art</v>
          </cell>
          <cell r="L294" t="str">
            <v>Classic Art 183</v>
          </cell>
          <cell r="M294" t="str">
            <v>Same Day</v>
          </cell>
          <cell r="N294">
            <v>9</v>
          </cell>
          <cell r="O294">
            <v>3748.95</v>
          </cell>
          <cell r="P294">
            <v>0</v>
          </cell>
          <cell r="S294">
            <v>9118.66</v>
          </cell>
          <cell r="T294" t="str">
            <v>Pending</v>
          </cell>
          <cell r="U294" t="str">
            <v>Cancelled</v>
          </cell>
        </row>
        <row r="295">
          <cell r="A295" t="str">
            <v>ORD-2024-10294</v>
          </cell>
          <cell r="B295" t="str">
            <v>03/07/2024</v>
          </cell>
          <cell r="C295" t="str">
            <v>11-03-2024</v>
          </cell>
          <cell r="D295" t="str">
            <v>CUST-7010</v>
          </cell>
          <cell r="E295" t="str">
            <v>Arjun Bose</v>
          </cell>
          <cell r="F295" t="str">
            <v>Home Office</v>
          </cell>
          <cell r="G295" t="str">
            <v>South</v>
          </cell>
          <cell r="H295" t="str">
            <v>Telangana</v>
          </cell>
          <cell r="I295" t="str">
            <v>Hyderabad</v>
          </cell>
          <cell r="J295" t="str">
            <v>Technology</v>
          </cell>
          <cell r="K295" t="str">
            <v>Phones</v>
          </cell>
          <cell r="L295" t="str">
            <v>Pro Phones 455</v>
          </cell>
          <cell r="M295" t="str">
            <v>First Class</v>
          </cell>
          <cell r="N295">
            <v>2</v>
          </cell>
          <cell r="O295">
            <v>4401.51</v>
          </cell>
          <cell r="P295">
            <v>0.65</v>
          </cell>
          <cell r="S295">
            <v>1821.83</v>
          </cell>
          <cell r="T295" t="str">
            <v>Paid</v>
          </cell>
          <cell r="U295" t="str">
            <v>Completed</v>
          </cell>
        </row>
        <row r="296">
          <cell r="A296" t="str">
            <v>ORD-2025-10295</v>
          </cell>
          <cell r="B296" t="str">
            <v>16 Jul 2025</v>
          </cell>
          <cell r="C296" t="str">
            <v>07/22/2025</v>
          </cell>
          <cell r="D296" t="str">
            <v>CUST-4755</v>
          </cell>
          <cell r="E296" t="str">
            <v>Priya Menon</v>
          </cell>
          <cell r="F296" t="str">
            <v>Consumer</v>
          </cell>
          <cell r="G296" t="str">
            <v>East</v>
          </cell>
          <cell r="H296" t="str">
            <v>Odisha</v>
          </cell>
          <cell r="I296" t="str">
            <v>Bhubaneswar</v>
          </cell>
          <cell r="J296" t="str">
            <v>Technology</v>
          </cell>
          <cell r="K296" t="str">
            <v>Phones</v>
          </cell>
          <cell r="L296" t="str">
            <v>Basic Phones 326</v>
          </cell>
          <cell r="M296" t="str">
            <v>Second Class</v>
          </cell>
          <cell r="N296">
            <v>6</v>
          </cell>
          <cell r="O296">
            <v>4159.33</v>
          </cell>
          <cell r="P296">
            <v>0.25</v>
          </cell>
          <cell r="S296">
            <v>6434.56</v>
          </cell>
          <cell r="T296" t="str">
            <v>Paid</v>
          </cell>
          <cell r="U296" t="str">
            <v>Returned</v>
          </cell>
        </row>
        <row r="297">
          <cell r="A297" t="str">
            <v>ORD-2025-10296</v>
          </cell>
          <cell r="B297" t="str">
            <v>25 Jun 2025</v>
          </cell>
          <cell r="C297" t="str">
            <v>28 Jun 2025</v>
          </cell>
          <cell r="D297" t="str">
            <v>CUST-6778</v>
          </cell>
          <cell r="E297" t="str">
            <v>Aditi Sen</v>
          </cell>
          <cell r="F297" t="str">
            <v>Small Business</v>
          </cell>
          <cell r="G297" t="str">
            <v>East</v>
          </cell>
          <cell r="H297" t="str">
            <v>Assam</v>
          </cell>
          <cell r="I297" t="str">
            <v>Guwahati</v>
          </cell>
          <cell r="J297" t="str">
            <v>Office Supplies</v>
          </cell>
          <cell r="K297" t="str">
            <v>Binders</v>
          </cell>
          <cell r="L297" t="str">
            <v>Max Binders 587</v>
          </cell>
          <cell r="M297" t="str">
            <v>Standard Class</v>
          </cell>
          <cell r="N297">
            <v>3</v>
          </cell>
          <cell r="O297">
            <v>3476.05</v>
          </cell>
          <cell r="P297">
            <v>0.1</v>
          </cell>
          <cell r="S297">
            <v>3556.8</v>
          </cell>
          <cell r="T297" t="str">
            <v>Paid</v>
          </cell>
          <cell r="U297" t="str">
            <v>Completed</v>
          </cell>
        </row>
        <row r="298">
          <cell r="A298" t="str">
            <v>ORD-2025-10297</v>
          </cell>
          <cell r="B298" t="str">
            <v>24 May 2025</v>
          </cell>
          <cell r="C298" t="str">
            <v>05/26/2025</v>
          </cell>
          <cell r="D298" t="str">
            <v>CUST-7629</v>
          </cell>
          <cell r="E298" t="str">
            <v>Aditi Sen</v>
          </cell>
          <cell r="F298" t="str">
            <v>Home Office</v>
          </cell>
          <cell r="G298" t="str">
            <v>North</v>
          </cell>
          <cell r="H298" t="str">
            <v>Haryana</v>
          </cell>
          <cell r="I298" t="str">
            <v>Gurugram</v>
          </cell>
          <cell r="J298" t="str">
            <v>Furniture</v>
          </cell>
          <cell r="K298" t="str">
            <v>Furnishings</v>
          </cell>
          <cell r="L298" t="str">
            <v>Basic Furnishings 617</v>
          </cell>
          <cell r="M298" t="str">
            <v>Same Day</v>
          </cell>
          <cell r="N298">
            <v>6</v>
          </cell>
          <cell r="O298">
            <v>3495.41</v>
          </cell>
          <cell r="P298">
            <v>0.15</v>
          </cell>
          <cell r="S298">
            <v>6971.24</v>
          </cell>
          <cell r="T298" t="str">
            <v>Paid</v>
          </cell>
          <cell r="U298" t="str">
            <v>Completed</v>
          </cell>
        </row>
        <row r="299">
          <cell r="A299" t="str">
            <v>ORD-2024-10298</v>
          </cell>
          <cell r="B299" t="str">
            <v>2024-10-29</v>
          </cell>
          <cell r="C299" t="str">
            <v>06-11-2024</v>
          </cell>
          <cell r="D299" t="str">
            <v>CUST-6724</v>
          </cell>
          <cell r="E299" t="str">
            <v>Sneha Kapoor</v>
          </cell>
          <cell r="F299" t="str">
            <v>Corporate</v>
          </cell>
          <cell r="G299" t="str">
            <v>South</v>
          </cell>
          <cell r="H299" t="str">
            <v>Tamil Nadu</v>
          </cell>
          <cell r="I299" t="str">
            <v>Chennai</v>
          </cell>
          <cell r="J299" t="str">
            <v>Technology</v>
          </cell>
          <cell r="K299" t="str">
            <v>Copiers</v>
          </cell>
          <cell r="L299" t="str">
            <v>Prime Copiers 669</v>
          </cell>
          <cell r="M299" t="str">
            <v>Same Day</v>
          </cell>
          <cell r="N299">
            <v>6</v>
          </cell>
          <cell r="O299">
            <v>1169.92</v>
          </cell>
          <cell r="P299">
            <v>0.15</v>
          </cell>
          <cell r="S299">
            <v>1971.87</v>
          </cell>
          <cell r="T299" t="str">
            <v>Paid</v>
          </cell>
          <cell r="U299" t="str">
            <v>Completed</v>
          </cell>
        </row>
        <row r="300">
          <cell r="A300" t="str">
            <v>ORD-2025-10299</v>
          </cell>
          <cell r="B300" t="str">
            <v>23-01-2025</v>
          </cell>
          <cell r="C300" t="str">
            <v>2025-01-26</v>
          </cell>
          <cell r="D300" t="str">
            <v>CUST-2141</v>
          </cell>
          <cell r="E300" t="str">
            <v>Isha Nair</v>
          </cell>
          <cell r="F300" t="str">
            <v>Consumer</v>
          </cell>
          <cell r="G300" t="str">
            <v>South</v>
          </cell>
          <cell r="H300" t="str">
            <v>Kerala</v>
          </cell>
          <cell r="I300" t="str">
            <v>Kochi</v>
          </cell>
          <cell r="J300" t="str">
            <v>Technology</v>
          </cell>
          <cell r="K300" t="str">
            <v>Copiers</v>
          </cell>
          <cell r="L300" t="str">
            <v>Eco Copiers 894</v>
          </cell>
          <cell r="M300" t="str">
            <v>First Class</v>
          </cell>
          <cell r="N300">
            <v>7</v>
          </cell>
          <cell r="O300">
            <v>348.49</v>
          </cell>
          <cell r="P300">
            <v>0.2</v>
          </cell>
          <cell r="S300">
            <v>341.59</v>
          </cell>
          <cell r="T300" t="str">
            <v>Failed</v>
          </cell>
          <cell r="U300" t="str">
            <v>Returned</v>
          </cell>
        </row>
        <row r="301">
          <cell r="A301" t="str">
            <v>ORD-2024-10300</v>
          </cell>
          <cell r="B301" t="str">
            <v>06-11-2024</v>
          </cell>
          <cell r="C301" t="str">
            <v>2024-11-12</v>
          </cell>
          <cell r="D301" t="str">
            <v>CUST-7264</v>
          </cell>
          <cell r="E301" t="str">
            <v>Rahul Verma</v>
          </cell>
          <cell r="F301" t="str">
            <v>Small Business</v>
          </cell>
          <cell r="G301" t="str">
            <v>West</v>
          </cell>
          <cell r="H301" t="str">
            <v>Gujarat</v>
          </cell>
          <cell r="I301" t="str">
            <v>Ahmedabad</v>
          </cell>
          <cell r="J301" t="str">
            <v>Technology</v>
          </cell>
          <cell r="K301" t="str">
            <v>Accessories</v>
          </cell>
          <cell r="L301" t="str">
            <v>Max Accessories 145</v>
          </cell>
          <cell r="M301" t="str">
            <v>Standard Class</v>
          </cell>
          <cell r="N301">
            <v>7</v>
          </cell>
          <cell r="O301">
            <v>1719.05</v>
          </cell>
          <cell r="P301">
            <v>0.1</v>
          </cell>
          <cell r="S301">
            <v>3774.71</v>
          </cell>
          <cell r="T301" t="str">
            <v>Paid</v>
          </cell>
          <cell r="U301" t="str">
            <v>Completed</v>
          </cell>
        </row>
        <row r="302">
          <cell r="A302" t="str">
            <v>ORD-2024-10301</v>
          </cell>
          <cell r="B302" t="str">
            <v>15-04-2024</v>
          </cell>
          <cell r="C302" t="str">
            <v>04/23/2024</v>
          </cell>
          <cell r="D302" t="str">
            <v>CUST-2668</v>
          </cell>
          <cell r="E302" t="str">
            <v>Diya Patel</v>
          </cell>
          <cell r="F302" t="str">
            <v>Small Business</v>
          </cell>
          <cell r="G302" t="str">
            <v>North</v>
          </cell>
          <cell r="H302" t="str">
            <v>Punjab</v>
          </cell>
          <cell r="I302" t="str">
            <v>Ludhiana</v>
          </cell>
          <cell r="J302" t="str">
            <v>Technology</v>
          </cell>
          <cell r="K302" t="str">
            <v>Accessories</v>
          </cell>
          <cell r="L302" t="str">
            <v>Classic Accessories 126</v>
          </cell>
          <cell r="M302" t="str">
            <v>Second Class</v>
          </cell>
          <cell r="N302">
            <v>9</v>
          </cell>
          <cell r="O302">
            <v>3893.74</v>
          </cell>
          <cell r="P302">
            <v>0.1</v>
          </cell>
          <cell r="S302">
            <v>9439.15</v>
          </cell>
          <cell r="T302" t="str">
            <v>Paid</v>
          </cell>
          <cell r="U302" t="str">
            <v>Completed</v>
          </cell>
        </row>
        <row r="303">
          <cell r="A303" t="str">
            <v>ORD-2025-10302</v>
          </cell>
          <cell r="B303" t="str">
            <v>28 May 2025</v>
          </cell>
          <cell r="C303" t="str">
            <v>01-06-2025</v>
          </cell>
          <cell r="D303" t="str">
            <v>CUST-5599</v>
          </cell>
          <cell r="E303" t="str">
            <v>Isha Nair</v>
          </cell>
          <cell r="F303" t="str">
            <v>Home Office</v>
          </cell>
          <cell r="G303" t="str">
            <v>East</v>
          </cell>
          <cell r="H303" t="str">
            <v>Bihar</v>
          </cell>
          <cell r="I303" t="str">
            <v>Patna</v>
          </cell>
          <cell r="J303" t="str">
            <v>Technology</v>
          </cell>
          <cell r="K303" t="str">
            <v>Phones</v>
          </cell>
          <cell r="L303" t="str">
            <v>Elite Phones 202</v>
          </cell>
          <cell r="M303" t="str">
            <v>Same Day</v>
          </cell>
          <cell r="N303">
            <v>4</v>
          </cell>
          <cell r="O303">
            <v>1654.11</v>
          </cell>
          <cell r="P303">
            <v>0.05</v>
          </cell>
          <cell r="S303">
            <v>2580.2399999999998</v>
          </cell>
          <cell r="T303" t="str">
            <v>Paid</v>
          </cell>
          <cell r="U303" t="str">
            <v>Completed</v>
          </cell>
        </row>
        <row r="304">
          <cell r="A304" t="str">
            <v>ORD-2025-10303</v>
          </cell>
          <cell r="B304" t="str">
            <v>04-06-2025</v>
          </cell>
          <cell r="C304" t="str">
            <v>2025-06-12</v>
          </cell>
          <cell r="D304" t="str">
            <v>CUST-1623</v>
          </cell>
          <cell r="E304" t="str">
            <v>Neha Gupta</v>
          </cell>
          <cell r="F304" t="str">
            <v>Consumer</v>
          </cell>
          <cell r="G304" t="str">
            <v>West</v>
          </cell>
          <cell r="H304" t="str">
            <v>Goa</v>
          </cell>
          <cell r="I304" t="str">
            <v>Panaji</v>
          </cell>
          <cell r="J304" t="str">
            <v>OFFICE SUPPLIES</v>
          </cell>
          <cell r="K304" t="str">
            <v>Storage</v>
          </cell>
          <cell r="L304" t="str">
            <v>Elite Storage 535</v>
          </cell>
          <cell r="M304" t="str">
            <v>Same Day</v>
          </cell>
          <cell r="N304">
            <v>2</v>
          </cell>
          <cell r="O304">
            <v>2703.28</v>
          </cell>
          <cell r="P304">
            <v>0.25</v>
          </cell>
          <cell r="S304">
            <v>1630.09</v>
          </cell>
          <cell r="T304" t="str">
            <v>Paid</v>
          </cell>
          <cell r="U304" t="str">
            <v>Completed</v>
          </cell>
        </row>
        <row r="305">
          <cell r="A305" t="str">
            <v>ORD-2024-10304</v>
          </cell>
          <cell r="B305" t="str">
            <v>23 Jun 2024</v>
          </cell>
          <cell r="C305" t="str">
            <v>28-06-2024</v>
          </cell>
          <cell r="D305" t="str">
            <v>CUST-9035</v>
          </cell>
          <cell r="E305" t="str">
            <v>Diya Patel</v>
          </cell>
          <cell r="F305" t="str">
            <v>Home Office</v>
          </cell>
          <cell r="G305" t="str">
            <v>West</v>
          </cell>
          <cell r="H305" t="str">
            <v>Gujarat</v>
          </cell>
          <cell r="I305" t="str">
            <v>Ahmedabad</v>
          </cell>
          <cell r="J305" t="str">
            <v>Furniture</v>
          </cell>
          <cell r="K305" t="str">
            <v>Chairs</v>
          </cell>
          <cell r="L305" t="str">
            <v>Elite Chairs 107</v>
          </cell>
          <cell r="M305" t="str">
            <v>Standard Class</v>
          </cell>
          <cell r="N305">
            <v>2</v>
          </cell>
          <cell r="O305">
            <v>1313.14</v>
          </cell>
          <cell r="P305">
            <v>0.1</v>
          </cell>
          <cell r="S305">
            <v>487.55</v>
          </cell>
          <cell r="T305" t="str">
            <v>Pending</v>
          </cell>
          <cell r="U305" t="str">
            <v>Returned</v>
          </cell>
        </row>
        <row r="306">
          <cell r="A306" t="str">
            <v>ORD-2024-10305</v>
          </cell>
          <cell r="B306" t="str">
            <v>03/06/2024</v>
          </cell>
          <cell r="C306" t="str">
            <v>2024-03-13</v>
          </cell>
          <cell r="D306" t="str">
            <v>CUST-6286</v>
          </cell>
          <cell r="E306" t="str">
            <v>Karan Malhotra</v>
          </cell>
          <cell r="F306" t="str">
            <v>Consumer</v>
          </cell>
          <cell r="G306" t="str">
            <v>North</v>
          </cell>
          <cell r="H306" t="str">
            <v>Punjab</v>
          </cell>
          <cell r="I306" t="str">
            <v>Ludhiana</v>
          </cell>
          <cell r="J306" t="str">
            <v>Furniture</v>
          </cell>
          <cell r="K306" t="str">
            <v>Furnishings</v>
          </cell>
          <cell r="L306" t="str">
            <v>Pro Furnishings 991</v>
          </cell>
          <cell r="M306" t="str">
            <v>Standard Class</v>
          </cell>
          <cell r="N306">
            <v>6</v>
          </cell>
          <cell r="O306">
            <v>2403.0500000000002</v>
          </cell>
          <cell r="P306">
            <v>0.1</v>
          </cell>
          <cell r="S306">
            <v>2956.49</v>
          </cell>
          <cell r="T306" t="str">
            <v>Paid</v>
          </cell>
          <cell r="U306" t="str">
            <v>Completed</v>
          </cell>
        </row>
        <row r="307">
          <cell r="A307" t="str">
            <v>ORD-2024-10306</v>
          </cell>
          <cell r="B307" t="str">
            <v>01 May 2024</v>
          </cell>
          <cell r="C307" t="str">
            <v>05/02/2024</v>
          </cell>
          <cell r="D307" t="str">
            <v>CUST-7246</v>
          </cell>
          <cell r="E307" t="str">
            <v>Ananya Rao</v>
          </cell>
          <cell r="F307" t="str">
            <v>Consumer</v>
          </cell>
          <cell r="G307" t="str">
            <v>East</v>
          </cell>
          <cell r="H307" t="str">
            <v>Assam</v>
          </cell>
          <cell r="I307" t="str">
            <v>Guwahati</v>
          </cell>
          <cell r="J307" t="str">
            <v>Furniture</v>
          </cell>
          <cell r="K307" t="str">
            <v>Chairs</v>
          </cell>
          <cell r="L307" t="str">
            <v>Eco Chairs 105</v>
          </cell>
          <cell r="M307" t="str">
            <v>First Class</v>
          </cell>
          <cell r="N307">
            <v>4</v>
          </cell>
          <cell r="O307">
            <v>4156.0600000000004</v>
          </cell>
          <cell r="P307">
            <v>0.55000000000000004</v>
          </cell>
          <cell r="S307">
            <v>3447.48</v>
          </cell>
          <cell r="T307" t="str">
            <v>Paid</v>
          </cell>
          <cell r="U307" t="str">
            <v>Cancelled</v>
          </cell>
        </row>
        <row r="308">
          <cell r="A308" t="str">
            <v>ORD-2025-10307</v>
          </cell>
          <cell r="B308" t="str">
            <v>20 Feb 2025</v>
          </cell>
          <cell r="C308" t="str">
            <v>2025-02-23</v>
          </cell>
          <cell r="D308" t="str">
            <v>CUST-2589</v>
          </cell>
          <cell r="E308" t="str">
            <v>Aarav Sharma</v>
          </cell>
          <cell r="F308" t="str">
            <v>Consumer</v>
          </cell>
          <cell r="G308" t="str">
            <v>North</v>
          </cell>
          <cell r="H308" t="str">
            <v>Rajasthan</v>
          </cell>
          <cell r="I308" t="str">
            <v>Jaipur</v>
          </cell>
          <cell r="J308" t="str">
            <v>Technology</v>
          </cell>
          <cell r="K308" t="str">
            <v>Phones</v>
          </cell>
          <cell r="L308" t="str">
            <v>Pro Phones 530</v>
          </cell>
          <cell r="M308" t="str">
            <v>Second Class</v>
          </cell>
          <cell r="N308">
            <v>4</v>
          </cell>
          <cell r="O308">
            <v>3673.11</v>
          </cell>
          <cell r="P308">
            <v>0</v>
          </cell>
          <cell r="S308">
            <v>4610.25</v>
          </cell>
          <cell r="T308" t="str">
            <v>Paid</v>
          </cell>
          <cell r="U308" t="str">
            <v>Completed</v>
          </cell>
        </row>
        <row r="309">
          <cell r="A309" t="str">
            <v>ORD-2025-10308</v>
          </cell>
          <cell r="B309" t="str">
            <v>2025-07-12</v>
          </cell>
          <cell r="C309" t="str">
            <v>19 Jul 2025</v>
          </cell>
          <cell r="D309" t="str">
            <v>CUST-4153</v>
          </cell>
          <cell r="E309" t="str">
            <v>Ananya Rao</v>
          </cell>
          <cell r="F309" t="str">
            <v>Corporate</v>
          </cell>
          <cell r="G309" t="str">
            <v>North</v>
          </cell>
          <cell r="H309" t="str">
            <v>Uttar Pradesh</v>
          </cell>
          <cell r="I309" t="str">
            <v>Noida</v>
          </cell>
          <cell r="J309" t="str">
            <v>Furniture</v>
          </cell>
          <cell r="K309" t="str">
            <v>Tables</v>
          </cell>
          <cell r="L309" t="str">
            <v>Basic Tables 911</v>
          </cell>
          <cell r="M309" t="str">
            <v>First Class</v>
          </cell>
          <cell r="N309">
            <v>9</v>
          </cell>
          <cell r="O309">
            <v>4093.04</v>
          </cell>
          <cell r="P309">
            <v>0.2</v>
          </cell>
          <cell r="S309">
            <v>10534.38</v>
          </cell>
          <cell r="T309" t="str">
            <v>PENDING</v>
          </cell>
          <cell r="U309" t="str">
            <v>Cancelled</v>
          </cell>
        </row>
        <row r="310">
          <cell r="A310" t="str">
            <v>ORD-2025-10309</v>
          </cell>
          <cell r="B310" t="str">
            <v>2025-06-13</v>
          </cell>
          <cell r="C310" t="str">
            <v>2025-06-19</v>
          </cell>
          <cell r="D310" t="str">
            <v>CUST-6727</v>
          </cell>
          <cell r="E310" t="str">
            <v>Rohan Mehta</v>
          </cell>
          <cell r="F310" t="str">
            <v>Consumer</v>
          </cell>
          <cell r="G310" t="str">
            <v>North</v>
          </cell>
          <cell r="H310" t="str">
            <v>Rajasthan</v>
          </cell>
          <cell r="I310" t="str">
            <v>Jaipur</v>
          </cell>
          <cell r="J310" t="str">
            <v>Furniture</v>
          </cell>
          <cell r="K310" t="str">
            <v>Tables</v>
          </cell>
          <cell r="L310" t="str">
            <v>Classic Tables 224</v>
          </cell>
          <cell r="M310" t="str">
            <v>First Class</v>
          </cell>
          <cell r="N310">
            <v>4</v>
          </cell>
          <cell r="O310">
            <v>731.57</v>
          </cell>
          <cell r="P310">
            <v>0.2</v>
          </cell>
          <cell r="S310">
            <v>775.53</v>
          </cell>
          <cell r="T310" t="str">
            <v>Paid</v>
          </cell>
          <cell r="U310" t="str">
            <v>Completed</v>
          </cell>
        </row>
        <row r="311">
          <cell r="A311" t="str">
            <v>ORD-2024-10310</v>
          </cell>
          <cell r="B311" t="str">
            <v>07/20/2024</v>
          </cell>
          <cell r="C311" t="str">
            <v>2024-07-22</v>
          </cell>
          <cell r="D311" t="str">
            <v>CUST-8860</v>
          </cell>
          <cell r="E311" t="str">
            <v>Ananya Rao</v>
          </cell>
          <cell r="F311" t="str">
            <v>Consumer</v>
          </cell>
          <cell r="G311" t="str">
            <v>South</v>
          </cell>
          <cell r="H311" t="str">
            <v>Tamil Nadu</v>
          </cell>
          <cell r="I311" t="str">
            <v>Chennai</v>
          </cell>
          <cell r="J311" t="str">
            <v>Furniture</v>
          </cell>
          <cell r="K311" t="str">
            <v>Tables</v>
          </cell>
          <cell r="L311" t="str">
            <v>Prime Tables 214</v>
          </cell>
          <cell r="M311" t="str">
            <v>First Class</v>
          </cell>
          <cell r="N311">
            <v>7</v>
          </cell>
          <cell r="O311">
            <v>2060.73</v>
          </cell>
          <cell r="P311">
            <v>0.1</v>
          </cell>
          <cell r="S311">
            <v>5736.24</v>
          </cell>
          <cell r="T311" t="str">
            <v>Paid</v>
          </cell>
          <cell r="U311" t="str">
            <v>Cancelled</v>
          </cell>
        </row>
        <row r="312">
          <cell r="A312" t="str">
            <v>ORD-2024-10311</v>
          </cell>
          <cell r="B312" t="str">
            <v>04-07-2024</v>
          </cell>
          <cell r="C312" t="str">
            <v>08-07-2024</v>
          </cell>
          <cell r="D312" t="str">
            <v>CUST-3784</v>
          </cell>
          <cell r="E312" t="str">
            <v>Rohan Mehta</v>
          </cell>
          <cell r="F312" t="str">
            <v>Small Business</v>
          </cell>
          <cell r="G312" t="str">
            <v>South</v>
          </cell>
          <cell r="H312" t="str">
            <v>Tamil Nadu</v>
          </cell>
          <cell r="I312" t="str">
            <v>Chennai</v>
          </cell>
          <cell r="J312" t="str">
            <v>Technology</v>
          </cell>
          <cell r="K312" t="str">
            <v>Machines</v>
          </cell>
          <cell r="L312" t="str">
            <v>Max Machines 988</v>
          </cell>
          <cell r="M312" t="str">
            <v>First Class</v>
          </cell>
          <cell r="N312">
            <v>8</v>
          </cell>
          <cell r="O312">
            <v>2034.25</v>
          </cell>
          <cell r="P312">
            <v>0</v>
          </cell>
          <cell r="S312">
            <v>6849.75</v>
          </cell>
          <cell r="T312" t="str">
            <v>Paid</v>
          </cell>
          <cell r="U312" t="str">
            <v>Completed</v>
          </cell>
        </row>
        <row r="313">
          <cell r="A313" t="str">
            <v>ORD-2024-10312</v>
          </cell>
          <cell r="B313" t="str">
            <v>27-04-2024</v>
          </cell>
          <cell r="C313" t="str">
            <v>02-05-2024</v>
          </cell>
          <cell r="D313" t="str">
            <v>CUST-3545</v>
          </cell>
          <cell r="E313" t="str">
            <v>Mira Das</v>
          </cell>
          <cell r="F313" t="str">
            <v>Corporate</v>
          </cell>
          <cell r="G313" t="str">
            <v>South</v>
          </cell>
          <cell r="H313" t="str">
            <v>Karnataka</v>
          </cell>
          <cell r="I313" t="str">
            <v>Bengaluru</v>
          </cell>
          <cell r="J313" t="str">
            <v>Office Supplies</v>
          </cell>
          <cell r="K313" t="str">
            <v>Binders</v>
          </cell>
          <cell r="L313" t="str">
            <v>Max Binders 425</v>
          </cell>
          <cell r="M313" t="str">
            <v>Second Class</v>
          </cell>
          <cell r="N313">
            <v>5</v>
          </cell>
          <cell r="O313">
            <v>554.04</v>
          </cell>
          <cell r="P313">
            <v>0.1</v>
          </cell>
          <cell r="S313">
            <v>729.18</v>
          </cell>
          <cell r="T313" t="str">
            <v>Paid</v>
          </cell>
          <cell r="U313" t="str">
            <v>Completed</v>
          </cell>
        </row>
        <row r="314">
          <cell r="A314" t="str">
            <v>ORD-2024-10313</v>
          </cell>
          <cell r="B314" t="str">
            <v>07/31/2024</v>
          </cell>
          <cell r="C314" t="str">
            <v>04-08-2024</v>
          </cell>
          <cell r="D314" t="str">
            <v>CUST-4851</v>
          </cell>
          <cell r="E314" t="str">
            <v>Karan Malhotra</v>
          </cell>
          <cell r="F314" t="str">
            <v>Small Business</v>
          </cell>
          <cell r="G314" t="str">
            <v>East</v>
          </cell>
          <cell r="H314" t="str">
            <v>Assam</v>
          </cell>
          <cell r="I314" t="str">
            <v>Guwahati</v>
          </cell>
          <cell r="J314" t="str">
            <v>Technology</v>
          </cell>
          <cell r="K314" t="str">
            <v>Phones</v>
          </cell>
          <cell r="L314" t="str">
            <v>Elite Phones 679</v>
          </cell>
          <cell r="M314" t="str">
            <v>Standard Class</v>
          </cell>
          <cell r="N314">
            <v>8</v>
          </cell>
          <cell r="O314">
            <v>2614.7399999999998</v>
          </cell>
          <cell r="S314">
            <v>5641.11</v>
          </cell>
          <cell r="T314" t="str">
            <v>Paid</v>
          </cell>
          <cell r="U314" t="str">
            <v>Cancelled</v>
          </cell>
        </row>
        <row r="315">
          <cell r="A315" t="str">
            <v>ORD-2025-10314</v>
          </cell>
          <cell r="B315" t="str">
            <v>2025-05-30</v>
          </cell>
          <cell r="C315" t="str">
            <v>31-05-2025</v>
          </cell>
          <cell r="D315" t="str">
            <v>CUST-4770</v>
          </cell>
          <cell r="E315" t="str">
            <v>Rahul Verma</v>
          </cell>
          <cell r="F315" t="str">
            <v>Corporate</v>
          </cell>
          <cell r="G315" t="str">
            <v>North</v>
          </cell>
          <cell r="H315" t="str">
            <v>Uttar Pradesh</v>
          </cell>
          <cell r="I315" t="str">
            <v>Noida</v>
          </cell>
          <cell r="J315" t="str">
            <v>Technology</v>
          </cell>
          <cell r="K315" t="str">
            <v>Phones</v>
          </cell>
          <cell r="L315" t="str">
            <v>Pro Phones 764</v>
          </cell>
          <cell r="M315" t="str">
            <v>First Class</v>
          </cell>
          <cell r="N315">
            <v>8</v>
          </cell>
          <cell r="O315">
            <v>2081.4299999999998</v>
          </cell>
          <cell r="P315">
            <v>0.25</v>
          </cell>
          <cell r="S315">
            <v>1771.18</v>
          </cell>
          <cell r="T315" t="str">
            <v>Refunded</v>
          </cell>
          <cell r="U315" t="str">
            <v>Cancelled</v>
          </cell>
        </row>
        <row r="316">
          <cell r="A316" t="str">
            <v>ORD-2025-10315</v>
          </cell>
          <cell r="B316" t="str">
            <v>05/18/2025</v>
          </cell>
          <cell r="C316" t="str">
            <v>20 May 2025</v>
          </cell>
          <cell r="D316" t="str">
            <v>CUST-1945</v>
          </cell>
          <cell r="E316" t="str">
            <v>Isha Nair</v>
          </cell>
          <cell r="F316" t="str">
            <v>Corporate</v>
          </cell>
          <cell r="G316" t="str">
            <v>West</v>
          </cell>
          <cell r="H316" t="str">
            <v>Madhya Pradesh</v>
          </cell>
          <cell r="I316" t="str">
            <v>Indore</v>
          </cell>
          <cell r="J316" t="str">
            <v>Office Supplies</v>
          </cell>
          <cell r="K316" t="str">
            <v>Labels</v>
          </cell>
          <cell r="L316" t="str">
            <v>Elite Labels 544</v>
          </cell>
          <cell r="M316" t="str">
            <v>Standard Class</v>
          </cell>
          <cell r="N316">
            <v>9</v>
          </cell>
          <cell r="O316">
            <v>847.76</v>
          </cell>
          <cell r="P316">
            <v>0.15</v>
          </cell>
          <cell r="S316">
            <v>1109.19</v>
          </cell>
          <cell r="T316" t="str">
            <v>Failed</v>
          </cell>
          <cell r="U316" t="str">
            <v>Returned</v>
          </cell>
        </row>
        <row r="317">
          <cell r="A317" t="str">
            <v>ORD-2024-10316</v>
          </cell>
          <cell r="B317" t="str">
            <v>2024-07-02</v>
          </cell>
          <cell r="C317" t="str">
            <v>2024-07-08</v>
          </cell>
          <cell r="D317" t="str">
            <v>CUST-7565</v>
          </cell>
          <cell r="E317" t="str">
            <v>Rohan Mehta</v>
          </cell>
          <cell r="F317" t="str">
            <v>Consumer</v>
          </cell>
          <cell r="G317" t="str">
            <v>North</v>
          </cell>
          <cell r="H317" t="str">
            <v>Delhi</v>
          </cell>
          <cell r="I317" t="str">
            <v>New Delhi</v>
          </cell>
          <cell r="J317" t="str">
            <v>Office Supplies</v>
          </cell>
          <cell r="K317" t="str">
            <v>Paper</v>
          </cell>
          <cell r="L317" t="str">
            <v>Smart Paper 817</v>
          </cell>
          <cell r="M317" t="str">
            <v>Standard Class</v>
          </cell>
          <cell r="N317">
            <v>9</v>
          </cell>
          <cell r="O317">
            <v>3450.4</v>
          </cell>
          <cell r="P317">
            <v>0.05</v>
          </cell>
          <cell r="S317">
            <v>11511.24</v>
          </cell>
          <cell r="T317" t="str">
            <v>Pending</v>
          </cell>
          <cell r="U317" t="str">
            <v>Returned</v>
          </cell>
        </row>
        <row r="318">
          <cell r="A318" t="str">
            <v>ORD-2024-10317</v>
          </cell>
          <cell r="B318" t="str">
            <v>16-02-2024</v>
          </cell>
          <cell r="C318" t="str">
            <v>02/18/2024</v>
          </cell>
          <cell r="D318" t="str">
            <v>CUST-9913</v>
          </cell>
          <cell r="E318" t="str">
            <v>Karan Malhotra</v>
          </cell>
          <cell r="F318" t="str">
            <v>Corporate</v>
          </cell>
          <cell r="G318" t="str">
            <v>North</v>
          </cell>
          <cell r="H318" t="str">
            <v>Punjab</v>
          </cell>
          <cell r="I318" t="str">
            <v>Ludhiana</v>
          </cell>
          <cell r="J318" t="str">
            <v>Office Supplies</v>
          </cell>
          <cell r="K318" t="str">
            <v>Labels</v>
          </cell>
          <cell r="L318" t="str">
            <v>Classic Labels 466</v>
          </cell>
          <cell r="M318" t="str">
            <v>Standard Class</v>
          </cell>
          <cell r="N318">
            <v>2</v>
          </cell>
          <cell r="O318">
            <v>1947.53</v>
          </cell>
          <cell r="P318">
            <v>0.2</v>
          </cell>
          <cell r="S318">
            <v>1159.42</v>
          </cell>
          <cell r="T318" t="str">
            <v>Paid</v>
          </cell>
          <cell r="U318" t="str">
            <v>Cancelled</v>
          </cell>
        </row>
        <row r="319">
          <cell r="A319" t="str">
            <v>ORD-2025-10318</v>
          </cell>
          <cell r="B319" t="str">
            <v>29-08-2025</v>
          </cell>
          <cell r="C319" t="str">
            <v>04 Sep 2025</v>
          </cell>
          <cell r="D319" t="str">
            <v>CUST-7992</v>
          </cell>
          <cell r="E319" t="str">
            <v>Neha Gupta</v>
          </cell>
          <cell r="F319" t="str">
            <v>Corporate</v>
          </cell>
          <cell r="G319" t="str">
            <v>South</v>
          </cell>
          <cell r="H319" t="str">
            <v>Kerala</v>
          </cell>
          <cell r="I319" t="str">
            <v>Kochi</v>
          </cell>
          <cell r="J319" t="str">
            <v>Furniture</v>
          </cell>
          <cell r="K319" t="str">
            <v>Tables</v>
          </cell>
          <cell r="L319" t="str">
            <v>Pro Tables 778</v>
          </cell>
          <cell r="M319" t="str">
            <v>First Class</v>
          </cell>
          <cell r="N319">
            <v>9</v>
          </cell>
          <cell r="O319">
            <v>2996.97</v>
          </cell>
          <cell r="P319">
            <v>0.15</v>
          </cell>
          <cell r="S319">
            <v>8305.23</v>
          </cell>
          <cell r="T319" t="str">
            <v>Paid</v>
          </cell>
          <cell r="U319" t="str">
            <v>Completed</v>
          </cell>
        </row>
        <row r="320">
          <cell r="A320" t="str">
            <v>ORD-2024-10319</v>
          </cell>
          <cell r="B320" t="str">
            <v>25 Apr 2024</v>
          </cell>
          <cell r="C320" t="str">
            <v>30-04-2024</v>
          </cell>
          <cell r="D320" t="str">
            <v>CUST-8877</v>
          </cell>
          <cell r="E320" t="str">
            <v>Mira Das</v>
          </cell>
          <cell r="F320" t="str">
            <v>Small Business</v>
          </cell>
          <cell r="G320" t="str">
            <v>South</v>
          </cell>
          <cell r="H320" t="str">
            <v>Karnataka</v>
          </cell>
          <cell r="I320" t="str">
            <v>Bengaluru</v>
          </cell>
          <cell r="J320" t="str">
            <v>Technology</v>
          </cell>
          <cell r="K320" t="str">
            <v>Phones</v>
          </cell>
          <cell r="L320" t="str">
            <v>Basic Phones 789</v>
          </cell>
          <cell r="M320" t="str">
            <v>Standard Class</v>
          </cell>
          <cell r="N320">
            <v>3</v>
          </cell>
          <cell r="O320">
            <v>4149.46</v>
          </cell>
          <cell r="P320">
            <v>0.1</v>
          </cell>
          <cell r="S320">
            <v>2750.61</v>
          </cell>
          <cell r="T320" t="str">
            <v>Paid</v>
          </cell>
          <cell r="U320" t="str">
            <v>Completed</v>
          </cell>
        </row>
        <row r="321">
          <cell r="A321" t="str">
            <v>ORD-2024-10320</v>
          </cell>
          <cell r="B321" t="str">
            <v>21 Aug 2024</v>
          </cell>
          <cell r="C321" t="str">
            <v>08/25/2024</v>
          </cell>
          <cell r="D321" t="str">
            <v>CUST-4589</v>
          </cell>
          <cell r="E321" t="str">
            <v>Diya Patel</v>
          </cell>
          <cell r="F321" t="str">
            <v>Consumer</v>
          </cell>
          <cell r="G321" t="str">
            <v>West</v>
          </cell>
          <cell r="H321" t="str">
            <v>Gujarat</v>
          </cell>
          <cell r="I321" t="str">
            <v>Ahmedabad</v>
          </cell>
          <cell r="J321" t="str">
            <v>Office Supplies</v>
          </cell>
          <cell r="K321" t="str">
            <v>Binders</v>
          </cell>
          <cell r="L321" t="str">
            <v>Prime Binders 554</v>
          </cell>
          <cell r="M321" t="str">
            <v>First Class</v>
          </cell>
          <cell r="N321">
            <v>1</v>
          </cell>
          <cell r="O321">
            <v>270.27999999999997</v>
          </cell>
          <cell r="P321">
            <v>0</v>
          </cell>
          <cell r="S321">
            <v>113.94</v>
          </cell>
          <cell r="T321" t="str">
            <v>Paid</v>
          </cell>
          <cell r="U321" t="str">
            <v>Completed</v>
          </cell>
        </row>
        <row r="322">
          <cell r="A322" t="str">
            <v>ORD-2024-10321</v>
          </cell>
          <cell r="B322" t="str">
            <v>12/04/2024</v>
          </cell>
          <cell r="C322" t="str">
            <v>12/06/2024</v>
          </cell>
          <cell r="D322" t="str">
            <v>CUST-4667</v>
          </cell>
          <cell r="E322" t="str">
            <v>Aarav Sharma</v>
          </cell>
          <cell r="F322" t="str">
            <v>Home Office</v>
          </cell>
          <cell r="G322" t="str">
            <v>East</v>
          </cell>
          <cell r="H322" t="str">
            <v>West Bengal</v>
          </cell>
          <cell r="I322" t="str">
            <v>Kolkata</v>
          </cell>
          <cell r="J322" t="str">
            <v>Office Supplies</v>
          </cell>
          <cell r="K322" t="str">
            <v>Art</v>
          </cell>
          <cell r="L322" t="str">
            <v>Classic Art 299</v>
          </cell>
          <cell r="M322" t="str">
            <v>Second Class</v>
          </cell>
          <cell r="N322">
            <v>3</v>
          </cell>
          <cell r="O322">
            <v>876.14</v>
          </cell>
          <cell r="P322" t="str">
            <v>70%</v>
          </cell>
          <cell r="S322">
            <v>1086.8800000000001</v>
          </cell>
          <cell r="T322" t="str">
            <v>Pending</v>
          </cell>
          <cell r="U322" t="str">
            <v>Returned</v>
          </cell>
        </row>
        <row r="323">
          <cell r="A323" t="str">
            <v>ORD-2024-10322</v>
          </cell>
          <cell r="B323" t="str">
            <v>06/23/2024</v>
          </cell>
          <cell r="C323" t="str">
            <v>30 Jun 2024</v>
          </cell>
          <cell r="D323" t="str">
            <v>CUST-7821</v>
          </cell>
          <cell r="E323" t="str">
            <v>Neha Gupta</v>
          </cell>
          <cell r="F323" t="str">
            <v>Small Business</v>
          </cell>
          <cell r="G323" t="str">
            <v>West</v>
          </cell>
          <cell r="H323" t="str">
            <v>Goa</v>
          </cell>
          <cell r="I323" t="str">
            <v>Panaji</v>
          </cell>
          <cell r="J323" t="str">
            <v>Technology</v>
          </cell>
          <cell r="K323" t="str">
            <v>Accessories</v>
          </cell>
          <cell r="L323" t="str">
            <v>Eco Accessories 220</v>
          </cell>
          <cell r="M323" t="str">
            <v>Same Day</v>
          </cell>
          <cell r="N323">
            <v>4</v>
          </cell>
          <cell r="O323">
            <v>674.82</v>
          </cell>
          <cell r="P323">
            <v>0</v>
          </cell>
          <cell r="S323">
            <v>939.52</v>
          </cell>
          <cell r="T323" t="str">
            <v>Failed</v>
          </cell>
          <cell r="U323" t="str">
            <v>Cancelled</v>
          </cell>
        </row>
        <row r="324">
          <cell r="A324" t="str">
            <v>ORD-2024-10323</v>
          </cell>
          <cell r="B324" t="str">
            <v>2024-11-12</v>
          </cell>
          <cell r="C324" t="str">
            <v>12-11-2024</v>
          </cell>
          <cell r="D324" t="str">
            <v>CUST-8579</v>
          </cell>
          <cell r="E324" t="str">
            <v>Isha Nair</v>
          </cell>
          <cell r="F324" t="str">
            <v>Consumer</v>
          </cell>
          <cell r="G324" t="str">
            <v>North</v>
          </cell>
          <cell r="H324" t="str">
            <v>Uttar Pradesh</v>
          </cell>
          <cell r="I324" t="str">
            <v>Noida</v>
          </cell>
          <cell r="J324" t="str">
            <v>Technology</v>
          </cell>
          <cell r="K324" t="str">
            <v>Phones</v>
          </cell>
          <cell r="L324" t="str">
            <v>Max Phones 422</v>
          </cell>
          <cell r="M324" t="str">
            <v>Second Class</v>
          </cell>
          <cell r="N324">
            <v>6</v>
          </cell>
          <cell r="O324">
            <v>1369.48</v>
          </cell>
          <cell r="P324">
            <v>0.15</v>
          </cell>
          <cell r="S324">
            <v>2960.72</v>
          </cell>
          <cell r="T324" t="str">
            <v>Paid</v>
          </cell>
          <cell r="U324" t="str">
            <v>Completed</v>
          </cell>
        </row>
        <row r="325">
          <cell r="A325" t="str">
            <v>ORD-2024-10324</v>
          </cell>
          <cell r="B325" t="str">
            <v>25-02-2024</v>
          </cell>
          <cell r="C325" t="str">
            <v>29 Feb 2024</v>
          </cell>
          <cell r="D325" t="str">
            <v>CUST-6909</v>
          </cell>
          <cell r="E325" t="str">
            <v>Isha Nair</v>
          </cell>
          <cell r="F325" t="str">
            <v>Small Business</v>
          </cell>
          <cell r="G325" t="str">
            <v>West</v>
          </cell>
          <cell r="H325" t="str">
            <v>Goa</v>
          </cell>
          <cell r="I325" t="str">
            <v>Panaji</v>
          </cell>
          <cell r="J325" t="str">
            <v>Furniture</v>
          </cell>
          <cell r="K325" t="str">
            <v>Furnishings</v>
          </cell>
          <cell r="L325" t="str">
            <v>Eco Furnishings 897</v>
          </cell>
          <cell r="M325" t="str">
            <v>Standard Class</v>
          </cell>
          <cell r="N325">
            <v>9</v>
          </cell>
          <cell r="O325">
            <v>1331.46</v>
          </cell>
          <cell r="P325">
            <v>0.15</v>
          </cell>
          <cell r="S325">
            <v>3706.36</v>
          </cell>
          <cell r="T325" t="str">
            <v>Paid</v>
          </cell>
          <cell r="U325" t="str">
            <v>Completed</v>
          </cell>
        </row>
        <row r="326">
          <cell r="A326" t="str">
            <v>ORD-2025-10325</v>
          </cell>
          <cell r="B326" t="str">
            <v>31 Jul 2025</v>
          </cell>
          <cell r="C326" t="str">
            <v>02-08-2025</v>
          </cell>
          <cell r="D326" t="str">
            <v>CUST-7212</v>
          </cell>
          <cell r="E326" t="str">
            <v>Rohan Mehta</v>
          </cell>
          <cell r="F326" t="str">
            <v>Home Office</v>
          </cell>
          <cell r="G326" t="str">
            <v>South</v>
          </cell>
          <cell r="H326" t="str">
            <v>Andhra Pradesh</v>
          </cell>
          <cell r="I326" t="str">
            <v>Vijayawada</v>
          </cell>
          <cell r="J326" t="str">
            <v>Office Supplies</v>
          </cell>
          <cell r="K326" t="str">
            <v>Labels</v>
          </cell>
          <cell r="L326" t="str">
            <v>Basic Labels 102</v>
          </cell>
          <cell r="M326" t="str">
            <v>Same Day</v>
          </cell>
          <cell r="N326">
            <v>1</v>
          </cell>
          <cell r="O326">
            <v>1947.88</v>
          </cell>
          <cell r="P326">
            <v>0.15</v>
          </cell>
          <cell r="S326">
            <v>300.89999999999998</v>
          </cell>
          <cell r="T326" t="str">
            <v>Paid</v>
          </cell>
          <cell r="U326" t="str">
            <v>Returned</v>
          </cell>
        </row>
        <row r="327">
          <cell r="A327" t="str">
            <v>ORD-2025-10326</v>
          </cell>
          <cell r="B327" t="str">
            <v>09/16/2025</v>
          </cell>
          <cell r="C327" t="str">
            <v>2025-09-22</v>
          </cell>
          <cell r="D327" t="str">
            <v>CUST-7980</v>
          </cell>
          <cell r="E327" t="str">
            <v>Sneha Kapoor</v>
          </cell>
          <cell r="F327" t="str">
            <v>Home Office</v>
          </cell>
          <cell r="G327" t="str">
            <v>East</v>
          </cell>
          <cell r="H327" t="str">
            <v>West Bengal</v>
          </cell>
          <cell r="I327" t="str">
            <v>Kolkata</v>
          </cell>
          <cell r="J327" t="str">
            <v>Technology</v>
          </cell>
          <cell r="K327" t="str">
            <v>Copiers</v>
          </cell>
          <cell r="L327" t="str">
            <v>Prime Copiers 170</v>
          </cell>
          <cell r="M327" t="str">
            <v>Second Class</v>
          </cell>
          <cell r="N327">
            <v>5</v>
          </cell>
          <cell r="O327">
            <v>3671.2</v>
          </cell>
          <cell r="P327">
            <v>0.15</v>
          </cell>
          <cell r="S327">
            <v>3694.08</v>
          </cell>
          <cell r="T327" t="str">
            <v>Paid</v>
          </cell>
          <cell r="U327" t="str">
            <v>Completed</v>
          </cell>
        </row>
        <row r="328">
          <cell r="A328" t="str">
            <v>ORD-2025-10327</v>
          </cell>
          <cell r="B328" t="str">
            <v>2025-07-22</v>
          </cell>
          <cell r="C328" t="str">
            <v>07/22/2025</v>
          </cell>
          <cell r="D328" t="str">
            <v>CUST-1966</v>
          </cell>
          <cell r="E328" t="str">
            <v>Sneha Kapoor</v>
          </cell>
          <cell r="F328" t="str">
            <v>Corporate</v>
          </cell>
          <cell r="G328" t="str">
            <v>East</v>
          </cell>
          <cell r="H328" t="str">
            <v>Jharkhand</v>
          </cell>
          <cell r="I328" t="str">
            <v>Ranchi</v>
          </cell>
          <cell r="J328" t="str">
            <v>Furniture</v>
          </cell>
          <cell r="K328" t="str">
            <v>Furnishings</v>
          </cell>
          <cell r="L328" t="str">
            <v>Smart Furnishings 533</v>
          </cell>
          <cell r="M328" t="str">
            <v>Same Day</v>
          </cell>
          <cell r="N328">
            <v>5</v>
          </cell>
          <cell r="O328">
            <v>3187.05</v>
          </cell>
          <cell r="P328">
            <v>0.05</v>
          </cell>
          <cell r="S328">
            <v>3902.77</v>
          </cell>
          <cell r="T328" t="str">
            <v>Paid</v>
          </cell>
          <cell r="U328" t="str">
            <v>Completed</v>
          </cell>
        </row>
        <row r="329">
          <cell r="A329" t="str">
            <v>ORD-2024-10328</v>
          </cell>
          <cell r="B329" t="str">
            <v>2024-07-24</v>
          </cell>
          <cell r="C329" t="str">
            <v>27-07-2024</v>
          </cell>
          <cell r="D329" t="str">
            <v>CUST-6163</v>
          </cell>
          <cell r="E329" t="str">
            <v>Isha Nair</v>
          </cell>
          <cell r="F329" t="str">
            <v>Consumer</v>
          </cell>
          <cell r="G329" t="str">
            <v>West</v>
          </cell>
          <cell r="H329" t="str">
            <v>Rajasthan</v>
          </cell>
          <cell r="I329" t="str">
            <v>Udaipur</v>
          </cell>
          <cell r="J329" t="str">
            <v>Technology</v>
          </cell>
          <cell r="K329" t="str">
            <v>Accessories</v>
          </cell>
          <cell r="L329" t="str">
            <v>Classic Accessories 489</v>
          </cell>
          <cell r="M329" t="str">
            <v>Second Class</v>
          </cell>
          <cell r="N329">
            <v>3</v>
          </cell>
          <cell r="O329">
            <v>1834.55</v>
          </cell>
          <cell r="P329">
            <v>0.2</v>
          </cell>
          <cell r="S329">
            <v>1408.98</v>
          </cell>
          <cell r="T329" t="str">
            <v>Pending</v>
          </cell>
          <cell r="U329" t="str">
            <v>Cancelled</v>
          </cell>
        </row>
        <row r="330">
          <cell r="A330" t="str">
            <v>ORD-2025-10329</v>
          </cell>
          <cell r="B330" t="str">
            <v>2025-05-29</v>
          </cell>
          <cell r="C330" t="str">
            <v>04 Jun 2025</v>
          </cell>
          <cell r="D330" t="str">
            <v>CUST-7239</v>
          </cell>
          <cell r="E330" t="str">
            <v>Diya Patel</v>
          </cell>
          <cell r="F330" t="str">
            <v>Consumer</v>
          </cell>
          <cell r="G330" t="str">
            <v>West</v>
          </cell>
          <cell r="H330" t="str">
            <v>Maharashtra</v>
          </cell>
          <cell r="I330" t="str">
            <v>Mumbai</v>
          </cell>
          <cell r="J330" t="str">
            <v>Office Supplies</v>
          </cell>
          <cell r="K330" t="str">
            <v>Storage</v>
          </cell>
          <cell r="L330" t="str">
            <v>Smart Storage 439</v>
          </cell>
          <cell r="M330" t="str">
            <v>First Class</v>
          </cell>
          <cell r="N330">
            <v>6</v>
          </cell>
          <cell r="O330">
            <v>3100.68</v>
          </cell>
          <cell r="P330">
            <v>0</v>
          </cell>
          <cell r="S330">
            <v>2769.78</v>
          </cell>
          <cell r="T330" t="str">
            <v>Paid</v>
          </cell>
          <cell r="U330" t="str">
            <v>Completed</v>
          </cell>
        </row>
        <row r="331">
          <cell r="A331" t="str">
            <v>ORD-2025-10330</v>
          </cell>
          <cell r="B331" t="str">
            <v>12 May 2025</v>
          </cell>
          <cell r="C331" t="str">
            <v>2025-05-18</v>
          </cell>
          <cell r="D331" t="str">
            <v>CUST-9718</v>
          </cell>
          <cell r="E331" t="str">
            <v>Neha Gupta</v>
          </cell>
          <cell r="F331" t="str">
            <v>Small Business</v>
          </cell>
          <cell r="G331" t="str">
            <v>West</v>
          </cell>
          <cell r="H331" t="str">
            <v>Maharashtra</v>
          </cell>
          <cell r="I331" t="str">
            <v>Mumbai</v>
          </cell>
          <cell r="J331" t="str">
            <v>Office Supplies</v>
          </cell>
          <cell r="K331" t="str">
            <v>Storage</v>
          </cell>
          <cell r="L331" t="str">
            <v>Prime Storage 232</v>
          </cell>
          <cell r="M331" t="str">
            <v>Standard Class</v>
          </cell>
          <cell r="N331">
            <v>4</v>
          </cell>
          <cell r="O331">
            <v>4053.03</v>
          </cell>
          <cell r="P331">
            <v>0.05</v>
          </cell>
          <cell r="S331">
            <v>6751.09</v>
          </cell>
          <cell r="T331" t="str">
            <v>Paid</v>
          </cell>
          <cell r="U331" t="str">
            <v>Completed</v>
          </cell>
        </row>
        <row r="332">
          <cell r="A332" t="str">
            <v>ORD-2024-10331</v>
          </cell>
          <cell r="B332" t="str">
            <v>05/16/2024</v>
          </cell>
          <cell r="C332" t="str">
            <v>05/24/2024</v>
          </cell>
          <cell r="D332" t="str">
            <v>CUST-1116</v>
          </cell>
          <cell r="E332" t="str">
            <v>Arjun Bose</v>
          </cell>
          <cell r="F332" t="str">
            <v>Home Office</v>
          </cell>
          <cell r="G332" t="str">
            <v>North</v>
          </cell>
          <cell r="H332" t="str">
            <v>Punjab</v>
          </cell>
          <cell r="I332" t="str">
            <v>Ludhiana</v>
          </cell>
          <cell r="J332" t="str">
            <v>Technology</v>
          </cell>
          <cell r="K332" t="str">
            <v>Accessories</v>
          </cell>
          <cell r="L332" t="str">
            <v>Prime Accessories 335</v>
          </cell>
          <cell r="M332" t="str">
            <v>Same Day</v>
          </cell>
          <cell r="N332">
            <v>1</v>
          </cell>
          <cell r="O332">
            <v>783.09</v>
          </cell>
          <cell r="P332">
            <v>0</v>
          </cell>
          <cell r="S332">
            <v>279.2</v>
          </cell>
          <cell r="T332" t="str">
            <v>Failed</v>
          </cell>
          <cell r="U332" t="str">
            <v>Cancelled</v>
          </cell>
        </row>
        <row r="333">
          <cell r="A333" t="str">
            <v>ORD-2024-10332</v>
          </cell>
          <cell r="B333" t="str">
            <v>04-12-2024</v>
          </cell>
          <cell r="C333" t="str">
            <v>2024-12-06</v>
          </cell>
          <cell r="D333" t="str">
            <v>CUST-9346</v>
          </cell>
          <cell r="E333" t="str">
            <v>Sneha Kapoor</v>
          </cell>
          <cell r="F333" t="str">
            <v>Home Office</v>
          </cell>
          <cell r="G333" t="str">
            <v>East</v>
          </cell>
          <cell r="H333" t="str">
            <v>Odisha</v>
          </cell>
          <cell r="I333" t="str">
            <v>Bhubaneswar</v>
          </cell>
          <cell r="J333" t="str">
            <v>Office Supplies</v>
          </cell>
          <cell r="K333" t="str">
            <v>Binders</v>
          </cell>
          <cell r="L333" t="str">
            <v>Smart Binders 939</v>
          </cell>
          <cell r="M333" t="str">
            <v>Second Class</v>
          </cell>
          <cell r="N333">
            <v>4</v>
          </cell>
          <cell r="O333">
            <v>2685.66</v>
          </cell>
          <cell r="P333">
            <v>0</v>
          </cell>
          <cell r="S333">
            <v>4265.2700000000004</v>
          </cell>
          <cell r="T333" t="str">
            <v>Paid</v>
          </cell>
          <cell r="U333" t="str">
            <v>Returned</v>
          </cell>
        </row>
        <row r="334">
          <cell r="A334" t="str">
            <v>ORD-2025-10333</v>
          </cell>
          <cell r="B334" t="str">
            <v>27 May 2025</v>
          </cell>
          <cell r="C334" t="str">
            <v>2025-05-28</v>
          </cell>
          <cell r="D334" t="str">
            <v>CUST-5332</v>
          </cell>
          <cell r="E334" t="str">
            <v>Aarav Sharma</v>
          </cell>
          <cell r="F334" t="str">
            <v>Consumer</v>
          </cell>
          <cell r="G334" t="str">
            <v>South</v>
          </cell>
          <cell r="H334" t="str">
            <v>Andhra Pradesh</v>
          </cell>
          <cell r="I334" t="str">
            <v>Vijayawada</v>
          </cell>
          <cell r="J334" t="str">
            <v>Technology</v>
          </cell>
          <cell r="K334" t="str">
            <v>machines</v>
          </cell>
          <cell r="L334" t="str">
            <v>Basic Machines 601</v>
          </cell>
          <cell r="M334" t="str">
            <v>Second Class</v>
          </cell>
          <cell r="N334">
            <v>2</v>
          </cell>
          <cell r="O334">
            <v>3911.96</v>
          </cell>
          <cell r="P334">
            <v>0</v>
          </cell>
          <cell r="S334">
            <v>1789.29</v>
          </cell>
          <cell r="T334" t="str">
            <v>Paid</v>
          </cell>
          <cell r="U334" t="str">
            <v>Completed</v>
          </cell>
        </row>
        <row r="335">
          <cell r="A335" t="str">
            <v>ORD-2025-10334</v>
          </cell>
          <cell r="B335" t="str">
            <v>22 Jun 2025</v>
          </cell>
          <cell r="C335" t="str">
            <v>2025-06-27</v>
          </cell>
          <cell r="D335" t="str">
            <v>CUST-8081</v>
          </cell>
          <cell r="E335" t="str">
            <v>Rohan Mehta</v>
          </cell>
          <cell r="F335" t="str">
            <v>Home Office</v>
          </cell>
          <cell r="H335" t="str">
            <v>Delhi</v>
          </cell>
          <cell r="I335" t="str">
            <v>New Delhi</v>
          </cell>
          <cell r="J335" t="str">
            <v>Technology</v>
          </cell>
          <cell r="K335" t="str">
            <v>Phones</v>
          </cell>
          <cell r="L335" t="str">
            <v>Pro Phones 968</v>
          </cell>
          <cell r="M335" t="str">
            <v>First Class</v>
          </cell>
          <cell r="N335">
            <v>2</v>
          </cell>
          <cell r="O335">
            <v>1468.05</v>
          </cell>
          <cell r="P335">
            <v>0</v>
          </cell>
          <cell r="S335">
            <v>1013</v>
          </cell>
          <cell r="T335" t="str">
            <v>Paid</v>
          </cell>
          <cell r="U335" t="str">
            <v>Completed</v>
          </cell>
        </row>
        <row r="336">
          <cell r="A336" t="str">
            <v>ORD-2024-10335</v>
          </cell>
          <cell r="B336" t="str">
            <v>12 Sep 2024</v>
          </cell>
          <cell r="C336" t="str">
            <v>17-09-2024</v>
          </cell>
          <cell r="D336" t="str">
            <v>CUST-3062</v>
          </cell>
          <cell r="E336" t="str">
            <v>Ananya Rao</v>
          </cell>
          <cell r="F336" t="str">
            <v>Consumer</v>
          </cell>
          <cell r="G336" t="str">
            <v>East</v>
          </cell>
          <cell r="H336" t="str">
            <v>Jharkhand</v>
          </cell>
          <cell r="I336" t="str">
            <v>Ranchi</v>
          </cell>
          <cell r="J336" t="str">
            <v>Office Supplies</v>
          </cell>
          <cell r="K336" t="str">
            <v>Storage</v>
          </cell>
          <cell r="L336" t="str">
            <v>Pro Storage 563</v>
          </cell>
          <cell r="M336" t="str">
            <v>First Class</v>
          </cell>
          <cell r="N336">
            <v>9</v>
          </cell>
          <cell r="O336">
            <v>1921.47</v>
          </cell>
          <cell r="P336">
            <v>0.25</v>
          </cell>
          <cell r="S336">
            <v>3571.46</v>
          </cell>
          <cell r="T336" t="str">
            <v>Paid</v>
          </cell>
          <cell r="U336" t="str">
            <v>Completed</v>
          </cell>
        </row>
        <row r="337">
          <cell r="A337" t="str">
            <v>ORD-2025-10336</v>
          </cell>
          <cell r="B337" t="str">
            <v>06/16/2025</v>
          </cell>
          <cell r="C337" t="str">
            <v>18 Jun 2025</v>
          </cell>
          <cell r="D337" t="str">
            <v>CUST-3621</v>
          </cell>
          <cell r="E337" t="str">
            <v>Rahul Verma</v>
          </cell>
          <cell r="F337" t="str">
            <v>Home Office</v>
          </cell>
          <cell r="G337" t="str">
            <v>West</v>
          </cell>
          <cell r="H337" t="str">
            <v>Madhya Pradesh</v>
          </cell>
          <cell r="I337" t="str">
            <v>Indore</v>
          </cell>
          <cell r="J337" t="str">
            <v>Office Supplies</v>
          </cell>
          <cell r="K337" t="str">
            <v>Paper</v>
          </cell>
          <cell r="L337" t="str">
            <v>Prime Paper 559</v>
          </cell>
          <cell r="M337" t="str">
            <v>First Class</v>
          </cell>
          <cell r="N337">
            <v>3</v>
          </cell>
          <cell r="O337">
            <v>4289.37</v>
          </cell>
          <cell r="P337">
            <v>0.1</v>
          </cell>
          <cell r="S337">
            <v>4751.87</v>
          </cell>
          <cell r="T337" t="str">
            <v>Paid</v>
          </cell>
          <cell r="U337" t="str">
            <v>Completed</v>
          </cell>
        </row>
        <row r="338">
          <cell r="A338" t="str">
            <v>ORD-2024-10337</v>
          </cell>
          <cell r="B338" t="str">
            <v>17-03-2024</v>
          </cell>
          <cell r="C338" t="str">
            <v>03/21/2024</v>
          </cell>
          <cell r="D338" t="str">
            <v>CUST-2103</v>
          </cell>
          <cell r="E338" t="str">
            <v>Aarav Sharma</v>
          </cell>
          <cell r="F338" t="str">
            <v>Consumer</v>
          </cell>
          <cell r="G338" t="str">
            <v>North</v>
          </cell>
          <cell r="H338" t="str">
            <v>Rajasthan</v>
          </cell>
          <cell r="I338" t="str">
            <v>Jaipur</v>
          </cell>
          <cell r="J338" t="str">
            <v>Technology</v>
          </cell>
          <cell r="K338" t="str">
            <v>Copiers</v>
          </cell>
          <cell r="L338" t="str">
            <v>Pro Copiers 999</v>
          </cell>
          <cell r="M338" t="str">
            <v>First Class</v>
          </cell>
          <cell r="N338">
            <v>8</v>
          </cell>
          <cell r="O338">
            <v>1992.57</v>
          </cell>
          <cell r="P338">
            <v>0</v>
          </cell>
          <cell r="S338">
            <v>3593.41</v>
          </cell>
          <cell r="T338" t="str">
            <v>Paid</v>
          </cell>
          <cell r="U338" t="str">
            <v>Completed</v>
          </cell>
        </row>
        <row r="339">
          <cell r="A339" t="str">
            <v>ORD-2024-10338</v>
          </cell>
          <cell r="B339" t="str">
            <v>12 Aug 2024</v>
          </cell>
          <cell r="C339" t="str">
            <v>18 Aug 2024</v>
          </cell>
          <cell r="D339" t="str">
            <v>CUST-4599</v>
          </cell>
          <cell r="E339" t="str">
            <v>Ananya Rao</v>
          </cell>
          <cell r="F339" t="str">
            <v>Consumer</v>
          </cell>
          <cell r="G339" t="str">
            <v>East</v>
          </cell>
          <cell r="H339" t="str">
            <v>Assam</v>
          </cell>
          <cell r="I339" t="str">
            <v>Guwahati</v>
          </cell>
          <cell r="J339" t="str">
            <v>Office Supplies</v>
          </cell>
          <cell r="K339" t="str">
            <v>Labels</v>
          </cell>
          <cell r="L339" t="str">
            <v>Classic Labels 206</v>
          </cell>
          <cell r="M339" t="str">
            <v>Same Day</v>
          </cell>
          <cell r="N339">
            <v>6</v>
          </cell>
          <cell r="O339">
            <v>1181.74</v>
          </cell>
          <cell r="P339">
            <v>0</v>
          </cell>
          <cell r="S339">
            <v>1262.8699999999999</v>
          </cell>
          <cell r="T339" t="str">
            <v>Paid</v>
          </cell>
          <cell r="U339" t="str">
            <v>Completed</v>
          </cell>
        </row>
        <row r="340">
          <cell r="A340" t="str">
            <v>ORD-2024-10339</v>
          </cell>
          <cell r="B340" t="str">
            <v>08-12-2024</v>
          </cell>
          <cell r="C340" t="str">
            <v>12/08/2024</v>
          </cell>
          <cell r="D340" t="str">
            <v>CUST-3066</v>
          </cell>
          <cell r="E340" t="str">
            <v>Arjun Bose</v>
          </cell>
          <cell r="F340" t="str">
            <v>Small Business</v>
          </cell>
          <cell r="G340" t="str">
            <v>South</v>
          </cell>
          <cell r="H340" t="str">
            <v>Andhra Pradesh</v>
          </cell>
          <cell r="I340" t="str">
            <v>Vijayawada</v>
          </cell>
          <cell r="J340" t="str">
            <v>Technology</v>
          </cell>
          <cell r="K340" t="str">
            <v>Accessories</v>
          </cell>
          <cell r="L340" t="str">
            <v>Eco Accessories 315</v>
          </cell>
          <cell r="M340" t="str">
            <v>First Class</v>
          </cell>
          <cell r="N340">
            <v>8</v>
          </cell>
          <cell r="O340">
            <v>4402.3599999999997</v>
          </cell>
          <cell r="P340">
            <v>0.25</v>
          </cell>
          <cell r="S340">
            <v>4591.63</v>
          </cell>
          <cell r="T340" t="str">
            <v>Paid</v>
          </cell>
          <cell r="U340" t="str">
            <v>Completed</v>
          </cell>
        </row>
        <row r="341">
          <cell r="A341" t="str">
            <v>ORD-2025-10340</v>
          </cell>
          <cell r="B341" t="str">
            <v>20-02-2025</v>
          </cell>
          <cell r="C341" t="str">
            <v>22-02-2025</v>
          </cell>
          <cell r="D341" t="str">
            <v>CUST-2752</v>
          </cell>
          <cell r="E341" t="str">
            <v>Neha Gupta</v>
          </cell>
          <cell r="F341" t="str">
            <v>Corporate</v>
          </cell>
          <cell r="G341" t="str">
            <v>East</v>
          </cell>
          <cell r="H341" t="str">
            <v>Jharkhand</v>
          </cell>
          <cell r="I341" t="str">
            <v>Ranchi</v>
          </cell>
          <cell r="J341" t="str">
            <v>Furniture</v>
          </cell>
          <cell r="K341" t="str">
            <v>Bookcases</v>
          </cell>
          <cell r="L341" t="str">
            <v>Elite Bookcases 988</v>
          </cell>
          <cell r="M341" t="str">
            <v>Standard Class</v>
          </cell>
          <cell r="N341">
            <v>8</v>
          </cell>
          <cell r="O341">
            <v>3265.76</v>
          </cell>
          <cell r="P341">
            <v>0.2</v>
          </cell>
          <cell r="S341">
            <v>8387.7199999999993</v>
          </cell>
          <cell r="T341" t="str">
            <v>Paid</v>
          </cell>
          <cell r="U341" t="str">
            <v>Completed</v>
          </cell>
        </row>
        <row r="342">
          <cell r="A342" t="str">
            <v>ORD-2024-10341</v>
          </cell>
          <cell r="B342" t="str">
            <v>21 Jan 2024</v>
          </cell>
          <cell r="C342" t="str">
            <v>01/29/2024</v>
          </cell>
          <cell r="D342" t="str">
            <v>CUST-6291</v>
          </cell>
          <cell r="E342" t="str">
            <v>Neha Gupta</v>
          </cell>
          <cell r="F342" t="str">
            <v>Consumer</v>
          </cell>
          <cell r="G342" t="str">
            <v>South</v>
          </cell>
          <cell r="H342" t="str">
            <v>Karnataka</v>
          </cell>
          <cell r="I342" t="str">
            <v>Bengaluru</v>
          </cell>
          <cell r="J342" t="str">
            <v>Office Supplies</v>
          </cell>
          <cell r="K342" t="str">
            <v>Binders</v>
          </cell>
          <cell r="L342" t="str">
            <v>Smart Binders 414</v>
          </cell>
          <cell r="M342" t="str">
            <v>Standard Class</v>
          </cell>
          <cell r="N342">
            <v>5</v>
          </cell>
          <cell r="O342">
            <v>4058.08</v>
          </cell>
          <cell r="P342">
            <v>0.1</v>
          </cell>
          <cell r="S342">
            <v>6861.42</v>
          </cell>
          <cell r="T342" t="str">
            <v>Paid</v>
          </cell>
          <cell r="U342" t="str">
            <v>Completed</v>
          </cell>
        </row>
        <row r="343">
          <cell r="A343" t="str">
            <v>ORD-2025-10342</v>
          </cell>
          <cell r="B343" t="str">
            <v>08 Sep 2025</v>
          </cell>
          <cell r="C343" t="str">
            <v>2025-09-09</v>
          </cell>
          <cell r="D343" t="str">
            <v>CUST-9969</v>
          </cell>
          <cell r="E343" t="str">
            <v>Rohan Mehta</v>
          </cell>
          <cell r="F343" t="str">
            <v>Home Office</v>
          </cell>
          <cell r="G343" t="str">
            <v>West</v>
          </cell>
          <cell r="H343" t="str">
            <v>Gujarat</v>
          </cell>
          <cell r="I343" t="str">
            <v>Ahmedabad</v>
          </cell>
          <cell r="J343" t="str">
            <v>Furniture</v>
          </cell>
          <cell r="K343" t="str">
            <v>Chairs</v>
          </cell>
          <cell r="L343" t="str">
            <v>Eco Chairs 552</v>
          </cell>
          <cell r="M343" t="str">
            <v>Second Class</v>
          </cell>
          <cell r="N343">
            <v>2</v>
          </cell>
          <cell r="O343">
            <v>3960.33</v>
          </cell>
          <cell r="P343">
            <v>0.05</v>
          </cell>
          <cell r="S343">
            <v>1295.03</v>
          </cell>
          <cell r="T343" t="str">
            <v>Paid</v>
          </cell>
          <cell r="U343" t="str">
            <v>Completed</v>
          </cell>
        </row>
        <row r="344">
          <cell r="A344" t="str">
            <v>ORD-2025-10343</v>
          </cell>
          <cell r="B344" t="str">
            <v>24-07-2025</v>
          </cell>
          <cell r="C344" t="str">
            <v>01-08-2025</v>
          </cell>
          <cell r="D344" t="str">
            <v>CUST-3335</v>
          </cell>
          <cell r="E344" t="str">
            <v>Kabir Singh</v>
          </cell>
          <cell r="F344" t="str">
            <v>Small Business</v>
          </cell>
          <cell r="G344" t="str">
            <v>East</v>
          </cell>
          <cell r="H344" t="str">
            <v>Jharkhand</v>
          </cell>
          <cell r="I344" t="str">
            <v>Ranchi</v>
          </cell>
          <cell r="J344" t="str">
            <v>Office Supplies</v>
          </cell>
          <cell r="K344" t="str">
            <v>Binders</v>
          </cell>
          <cell r="L344" t="str">
            <v>Smart Binders 574</v>
          </cell>
          <cell r="M344" t="str">
            <v>First Class</v>
          </cell>
          <cell r="N344">
            <v>8</v>
          </cell>
          <cell r="O344">
            <v>1528.92</v>
          </cell>
          <cell r="P344">
            <v>0</v>
          </cell>
          <cell r="S344">
            <v>3464.46</v>
          </cell>
          <cell r="T344" t="str">
            <v>Paid</v>
          </cell>
          <cell r="U344" t="str">
            <v>Completed</v>
          </cell>
        </row>
        <row r="345">
          <cell r="A345" t="str">
            <v>ORD-2025-10344</v>
          </cell>
          <cell r="B345" t="str">
            <v>10/03/2025</v>
          </cell>
          <cell r="C345" t="str">
            <v>08 Oct 2025</v>
          </cell>
          <cell r="D345" t="str">
            <v>CUST-7358</v>
          </cell>
          <cell r="E345" t="str">
            <v>Aarav Sharma</v>
          </cell>
          <cell r="F345" t="str">
            <v>Corporate</v>
          </cell>
          <cell r="G345" t="str">
            <v>West</v>
          </cell>
          <cell r="H345" t="str">
            <v>Madhya Pradesh</v>
          </cell>
          <cell r="I345" t="str">
            <v>Indore</v>
          </cell>
          <cell r="J345" t="str">
            <v>Technology</v>
          </cell>
          <cell r="K345" t="str">
            <v>Machines</v>
          </cell>
          <cell r="L345" t="str">
            <v>Pro Machines 444</v>
          </cell>
          <cell r="M345" t="str">
            <v>Same Day</v>
          </cell>
          <cell r="N345">
            <v>9</v>
          </cell>
          <cell r="O345">
            <v>3837</v>
          </cell>
          <cell r="P345">
            <v>0.1</v>
          </cell>
          <cell r="S345">
            <v>13321.45</v>
          </cell>
          <cell r="T345" t="str">
            <v>Paid</v>
          </cell>
          <cell r="U345" t="str">
            <v>Completed</v>
          </cell>
        </row>
        <row r="346">
          <cell r="A346" t="str">
            <v>ORD-2024-10345</v>
          </cell>
          <cell r="B346" t="str">
            <v>11-03-2024</v>
          </cell>
          <cell r="C346" t="str">
            <v>11-03-2024</v>
          </cell>
          <cell r="D346" t="str">
            <v>CUST-8025</v>
          </cell>
          <cell r="E346" t="str">
            <v>Priya Menon</v>
          </cell>
          <cell r="F346" t="str">
            <v>Consumer</v>
          </cell>
          <cell r="G346" t="str">
            <v>North</v>
          </cell>
          <cell r="H346" t="str">
            <v>Punjab</v>
          </cell>
          <cell r="I346" t="str">
            <v>Ludhiana</v>
          </cell>
          <cell r="J346" t="str">
            <v>Furniture</v>
          </cell>
          <cell r="K346" t="str">
            <v>Bookcases</v>
          </cell>
          <cell r="L346" t="str">
            <v>Elite Bookcases 184</v>
          </cell>
          <cell r="M346" t="str">
            <v>Same Day</v>
          </cell>
          <cell r="N346">
            <v>9</v>
          </cell>
          <cell r="O346">
            <v>3456.38</v>
          </cell>
          <cell r="P346">
            <v>0</v>
          </cell>
          <cell r="S346">
            <v>10960.76</v>
          </cell>
          <cell r="T346" t="str">
            <v>Pending</v>
          </cell>
          <cell r="U346" t="str">
            <v>Returned</v>
          </cell>
        </row>
        <row r="347">
          <cell r="A347" t="str">
            <v>ORD-2024-10346</v>
          </cell>
          <cell r="B347" t="str">
            <v>2024-09-14</v>
          </cell>
          <cell r="C347" t="str">
            <v>2024-09-22</v>
          </cell>
          <cell r="D347" t="str">
            <v>CUST-4634</v>
          </cell>
          <cell r="E347" t="str">
            <v>Karan Malhotra</v>
          </cell>
          <cell r="F347" t="str">
            <v>Consumer</v>
          </cell>
          <cell r="G347" t="str">
            <v>West</v>
          </cell>
          <cell r="H347" t="str">
            <v>Madhya Pradesh</v>
          </cell>
          <cell r="I347" t="str">
            <v>Indore</v>
          </cell>
          <cell r="J347" t="str">
            <v>Furniture</v>
          </cell>
          <cell r="K347" t="str">
            <v>Furnishings</v>
          </cell>
          <cell r="L347" t="str">
            <v>Elite Furnishings 138</v>
          </cell>
          <cell r="M347" t="str">
            <v>Second Class</v>
          </cell>
          <cell r="N347">
            <v>2</v>
          </cell>
          <cell r="O347">
            <v>2765.3</v>
          </cell>
          <cell r="P347">
            <v>0</v>
          </cell>
          <cell r="S347">
            <v>1077.49</v>
          </cell>
          <cell r="T347" t="str">
            <v>Paid</v>
          </cell>
          <cell r="U347" t="str">
            <v>Completed</v>
          </cell>
        </row>
        <row r="348">
          <cell r="A348" t="str">
            <v>ORD-2025-10347</v>
          </cell>
          <cell r="B348" t="str">
            <v>2025-07-22</v>
          </cell>
          <cell r="C348" t="str">
            <v>28-07-2025</v>
          </cell>
          <cell r="D348" t="str">
            <v>CUST-3400</v>
          </cell>
          <cell r="E348" t="str">
            <v>Rahul Verma</v>
          </cell>
          <cell r="F348" t="str">
            <v>Corporate</v>
          </cell>
          <cell r="G348" t="str">
            <v>South</v>
          </cell>
          <cell r="H348" t="str">
            <v>Kerala</v>
          </cell>
          <cell r="I348" t="str">
            <v>Kochi</v>
          </cell>
          <cell r="J348" t="str">
            <v>Furniture</v>
          </cell>
          <cell r="K348" t="str">
            <v>Chairs</v>
          </cell>
          <cell r="L348" t="str">
            <v>Eco Chairs 369</v>
          </cell>
          <cell r="M348" t="str">
            <v>Second Class</v>
          </cell>
          <cell r="N348">
            <v>6</v>
          </cell>
          <cell r="O348">
            <v>1607.46</v>
          </cell>
          <cell r="P348">
            <v>0.2</v>
          </cell>
          <cell r="S348">
            <v>3457.39</v>
          </cell>
          <cell r="T348" t="str">
            <v>Paid</v>
          </cell>
          <cell r="U348" t="str">
            <v>Completed</v>
          </cell>
        </row>
        <row r="349">
          <cell r="A349" t="str">
            <v>ORD-2024-10348</v>
          </cell>
          <cell r="B349" t="str">
            <v>01-12-2024</v>
          </cell>
          <cell r="C349" t="str">
            <v>12/08/2024</v>
          </cell>
          <cell r="D349" t="str">
            <v>CUST-1172</v>
          </cell>
          <cell r="E349" t="str">
            <v>Aarav Sharma</v>
          </cell>
          <cell r="F349" t="str">
            <v>Small Business</v>
          </cell>
          <cell r="G349" t="str">
            <v>West</v>
          </cell>
          <cell r="H349" t="str">
            <v>Goa</v>
          </cell>
          <cell r="I349" t="str">
            <v>Panaji</v>
          </cell>
          <cell r="J349" t="str">
            <v>Furniture</v>
          </cell>
          <cell r="K349" t="str">
            <v>Chairs</v>
          </cell>
          <cell r="L349" t="str">
            <v>Max Chairs 487</v>
          </cell>
          <cell r="M349" t="str">
            <v>Second Class</v>
          </cell>
          <cell r="N349">
            <v>5</v>
          </cell>
          <cell r="O349">
            <v>2981.49</v>
          </cell>
          <cell r="P349">
            <v>0.2</v>
          </cell>
          <cell r="S349">
            <v>1822.45</v>
          </cell>
          <cell r="T349" t="str">
            <v>Refunded</v>
          </cell>
          <cell r="U349" t="str">
            <v>Returned</v>
          </cell>
        </row>
        <row r="350">
          <cell r="A350" t="str">
            <v>ORD-2024-10349</v>
          </cell>
          <cell r="B350" t="str">
            <v>06/02/2024</v>
          </cell>
          <cell r="C350" t="str">
            <v>06/07/2024</v>
          </cell>
          <cell r="D350" t="str">
            <v>CUST-9517</v>
          </cell>
          <cell r="E350" t="str">
            <v>Aarav Sharma</v>
          </cell>
          <cell r="F350" t="str">
            <v>Corporate</v>
          </cell>
          <cell r="G350" t="str">
            <v>South</v>
          </cell>
          <cell r="H350" t="str">
            <v>Karnataka</v>
          </cell>
          <cell r="I350" t="str">
            <v>Bengaluru</v>
          </cell>
          <cell r="J350" t="str">
            <v>Technology</v>
          </cell>
          <cell r="K350" t="str">
            <v>Phones</v>
          </cell>
          <cell r="L350" t="str">
            <v>Classic Phones 989</v>
          </cell>
          <cell r="M350" t="str">
            <v>Same Day</v>
          </cell>
          <cell r="N350">
            <v>9</v>
          </cell>
          <cell r="O350">
            <v>2860.26</v>
          </cell>
          <cell r="P350">
            <v>0.25</v>
          </cell>
          <cell r="S350">
            <v>4864.38</v>
          </cell>
          <cell r="T350" t="str">
            <v>Paid</v>
          </cell>
          <cell r="U350" t="str">
            <v>Completed</v>
          </cell>
        </row>
        <row r="351">
          <cell r="A351" t="str">
            <v>ORD-2025-10350</v>
          </cell>
          <cell r="B351" t="str">
            <v>27-09-2025</v>
          </cell>
          <cell r="C351" t="str">
            <v>09/29/2025</v>
          </cell>
          <cell r="D351" t="str">
            <v>CUST-6697</v>
          </cell>
          <cell r="E351" t="str">
            <v>Kabir Singh</v>
          </cell>
          <cell r="F351" t="str">
            <v>Home Office</v>
          </cell>
          <cell r="G351" t="str">
            <v>East</v>
          </cell>
          <cell r="H351" t="str">
            <v>Jharkhand</v>
          </cell>
          <cell r="I351" t="str">
            <v>Ranchi</v>
          </cell>
          <cell r="J351" t="str">
            <v>Furniture</v>
          </cell>
          <cell r="K351" t="str">
            <v>Furnishings</v>
          </cell>
          <cell r="L351" t="str">
            <v>Max Furnishings 628</v>
          </cell>
          <cell r="M351" t="str">
            <v>Second Class</v>
          </cell>
          <cell r="N351">
            <v>9</v>
          </cell>
          <cell r="O351">
            <v>2867.55</v>
          </cell>
          <cell r="P351">
            <v>0.25</v>
          </cell>
          <cell r="S351">
            <v>4017.4</v>
          </cell>
          <cell r="T351" t="str">
            <v>Paid</v>
          </cell>
          <cell r="U351" t="str">
            <v>Completed</v>
          </cell>
        </row>
        <row r="352">
          <cell r="A352" t="str">
            <v>ORD-2024-10351</v>
          </cell>
          <cell r="B352" t="str">
            <v>07-01-2024</v>
          </cell>
          <cell r="C352" t="str">
            <v>14 Jan 2024</v>
          </cell>
          <cell r="D352" t="str">
            <v>CUST-7644</v>
          </cell>
          <cell r="E352" t="str">
            <v>Sneha Kapoor</v>
          </cell>
          <cell r="F352" t="str">
            <v>Small Business</v>
          </cell>
          <cell r="G352" t="str">
            <v>East</v>
          </cell>
          <cell r="H352" t="str">
            <v>Jharkhand</v>
          </cell>
          <cell r="I352" t="str">
            <v>Ranchi</v>
          </cell>
          <cell r="J352" t="str">
            <v>Furniture</v>
          </cell>
          <cell r="K352" t="str">
            <v>Furnishings</v>
          </cell>
          <cell r="L352" t="str">
            <v>Elite Furnishings 279</v>
          </cell>
          <cell r="M352" t="str">
            <v>Second Class</v>
          </cell>
          <cell r="N352">
            <v>4</v>
          </cell>
          <cell r="O352">
            <v>3309.54</v>
          </cell>
          <cell r="P352">
            <v>0.1</v>
          </cell>
          <cell r="S352">
            <v>2143.1</v>
          </cell>
          <cell r="T352" t="str">
            <v>Refunded</v>
          </cell>
          <cell r="U352" t="str">
            <v>Returned</v>
          </cell>
        </row>
        <row r="353">
          <cell r="A353" t="str">
            <v>ORD-2025-10352</v>
          </cell>
          <cell r="B353" t="str">
            <v>23-05-2025</v>
          </cell>
          <cell r="C353" t="str">
            <v>27 May 2025</v>
          </cell>
          <cell r="D353" t="str">
            <v>CUST-9963</v>
          </cell>
          <cell r="E353" t="str">
            <v>Vikram Iyer</v>
          </cell>
          <cell r="F353" t="str">
            <v>Small Business</v>
          </cell>
          <cell r="G353" t="str">
            <v>South</v>
          </cell>
          <cell r="H353" t="str">
            <v>Telangana</v>
          </cell>
          <cell r="I353" t="str">
            <v>Hyderabad</v>
          </cell>
          <cell r="J353" t="str">
            <v>Office Supplies</v>
          </cell>
          <cell r="K353" t="str">
            <v>Storage</v>
          </cell>
          <cell r="L353" t="str">
            <v>Pro Storage 847</v>
          </cell>
          <cell r="M353" t="str">
            <v>First Class</v>
          </cell>
          <cell r="N353">
            <v>6</v>
          </cell>
          <cell r="O353">
            <v>719.44</v>
          </cell>
          <cell r="P353">
            <v>0.25</v>
          </cell>
          <cell r="S353">
            <v>1119.1400000000001</v>
          </cell>
          <cell r="T353" t="str">
            <v>Pending</v>
          </cell>
          <cell r="U353" t="str">
            <v>Cancelled</v>
          </cell>
        </row>
        <row r="354">
          <cell r="A354" t="str">
            <v>ORD-2025-10353</v>
          </cell>
          <cell r="B354" t="str">
            <v>15 Aug 2025</v>
          </cell>
          <cell r="C354" t="str">
            <v>08/17/2025</v>
          </cell>
          <cell r="D354" t="str">
            <v>CUST-6382</v>
          </cell>
          <cell r="E354" t="str">
            <v>Diya Patel</v>
          </cell>
          <cell r="F354" t="str">
            <v>Small Business</v>
          </cell>
          <cell r="G354" t="str">
            <v>East</v>
          </cell>
          <cell r="H354" t="str">
            <v>Assam</v>
          </cell>
          <cell r="I354" t="str">
            <v>Guwahati</v>
          </cell>
          <cell r="J354" t="str">
            <v>Technology</v>
          </cell>
          <cell r="K354" t="str">
            <v>Copiers</v>
          </cell>
          <cell r="L354" t="str">
            <v>Elite Copiers 706</v>
          </cell>
          <cell r="M354" t="str">
            <v>First Class</v>
          </cell>
          <cell r="N354">
            <v>5</v>
          </cell>
          <cell r="O354">
            <v>2862.6</v>
          </cell>
          <cell r="P354">
            <v>0.25</v>
          </cell>
          <cell r="S354">
            <v>4259.0200000000004</v>
          </cell>
          <cell r="T354" t="str">
            <v>Paid</v>
          </cell>
          <cell r="U354" t="str">
            <v>Completed</v>
          </cell>
        </row>
        <row r="355">
          <cell r="A355" t="str">
            <v>ORD-2025-10354</v>
          </cell>
          <cell r="B355" t="str">
            <v>21-02-2025</v>
          </cell>
          <cell r="C355" t="str">
            <v>27-02-2025</v>
          </cell>
          <cell r="D355" t="str">
            <v>CUST-3253</v>
          </cell>
          <cell r="E355" t="str">
            <v>Ananya Rao</v>
          </cell>
          <cell r="F355" t="str">
            <v>Consumer</v>
          </cell>
          <cell r="G355" t="str">
            <v>North</v>
          </cell>
          <cell r="H355" t="str">
            <v>Rajasthan</v>
          </cell>
          <cell r="I355" t="str">
            <v>Jaipur</v>
          </cell>
          <cell r="J355" t="str">
            <v>Office Supplies</v>
          </cell>
          <cell r="K355" t="str">
            <v>Art</v>
          </cell>
          <cell r="L355" t="str">
            <v>Prime Art 978</v>
          </cell>
          <cell r="M355" t="str">
            <v>Same Day</v>
          </cell>
          <cell r="N355">
            <v>9</v>
          </cell>
          <cell r="O355">
            <v>1431.67</v>
          </cell>
          <cell r="P355">
            <v>0.2</v>
          </cell>
          <cell r="S355">
            <v>4485.71</v>
          </cell>
          <cell r="T355" t="str">
            <v>Paid</v>
          </cell>
          <cell r="U355" t="str">
            <v>Completed</v>
          </cell>
        </row>
        <row r="356">
          <cell r="A356" t="str">
            <v>ORD-2024-10355</v>
          </cell>
          <cell r="B356" t="str">
            <v>27 Dec 2024</v>
          </cell>
          <cell r="C356" t="str">
            <v>2024-12-31</v>
          </cell>
          <cell r="D356" t="str">
            <v>CUST-1058</v>
          </cell>
          <cell r="E356" t="str">
            <v>Kabir Singh</v>
          </cell>
          <cell r="F356" t="str">
            <v>corporate</v>
          </cell>
          <cell r="G356" t="str">
            <v>North</v>
          </cell>
          <cell r="H356" t="str">
            <v>Punjab</v>
          </cell>
          <cell r="I356" t="str">
            <v>Ludhiana</v>
          </cell>
          <cell r="J356" t="str">
            <v>Furniture</v>
          </cell>
          <cell r="K356" t="str">
            <v>Furnishings</v>
          </cell>
          <cell r="L356" t="str">
            <v>Classic Furnishings 498</v>
          </cell>
          <cell r="M356" t="str">
            <v>Standard Class</v>
          </cell>
          <cell r="N356">
            <v>6</v>
          </cell>
          <cell r="O356">
            <v>3346.78</v>
          </cell>
          <cell r="P356">
            <v>-0.06</v>
          </cell>
          <cell r="S356">
            <v>7171.84</v>
          </cell>
          <cell r="T356" t="str">
            <v>Pending</v>
          </cell>
          <cell r="U356" t="str">
            <v>Cancelled</v>
          </cell>
        </row>
        <row r="357">
          <cell r="A357" t="str">
            <v>ORD-2024-10356</v>
          </cell>
          <cell r="B357" t="str">
            <v>12-05-2024</v>
          </cell>
          <cell r="C357" t="str">
            <v>2024-05-09</v>
          </cell>
          <cell r="D357" t="str">
            <v>CUST-6414</v>
          </cell>
          <cell r="E357" t="str">
            <v>Priya Menon</v>
          </cell>
          <cell r="F357" t="str">
            <v>Corporate</v>
          </cell>
          <cell r="G357" t="str">
            <v>West</v>
          </cell>
          <cell r="H357" t="str">
            <v>Rajasthan</v>
          </cell>
          <cell r="I357" t="str">
            <v>Udaipur</v>
          </cell>
          <cell r="J357" t="str">
            <v>Furniture</v>
          </cell>
          <cell r="K357" t="str">
            <v>Tables</v>
          </cell>
          <cell r="L357" t="str">
            <v>Max Tables 829</v>
          </cell>
          <cell r="M357" t="str">
            <v>Standard Class</v>
          </cell>
          <cell r="N357">
            <v>5</v>
          </cell>
          <cell r="O357">
            <v>3203.48</v>
          </cell>
          <cell r="P357">
            <v>0</v>
          </cell>
          <cell r="S357">
            <v>6459.6</v>
          </cell>
          <cell r="T357" t="str">
            <v>Pending</v>
          </cell>
          <cell r="U357" t="str">
            <v>Cancelled</v>
          </cell>
        </row>
        <row r="358">
          <cell r="A358" t="str">
            <v>ORD-2025-10357</v>
          </cell>
          <cell r="B358" t="str">
            <v>27 Jun 2025</v>
          </cell>
          <cell r="C358" t="str">
            <v>29 Jun 2025</v>
          </cell>
          <cell r="D358" t="str">
            <v>CUST-9268</v>
          </cell>
          <cell r="E358" t="str">
            <v>Rohan Mehta</v>
          </cell>
          <cell r="F358" t="str">
            <v>Home Office</v>
          </cell>
          <cell r="G358" t="str">
            <v>South</v>
          </cell>
          <cell r="H358" t="str">
            <v>Telangana</v>
          </cell>
          <cell r="I358" t="str">
            <v>Hyderabad</v>
          </cell>
          <cell r="J358" t="str">
            <v>Furniture</v>
          </cell>
          <cell r="K358" t="str">
            <v>Chairs</v>
          </cell>
          <cell r="L358" t="str">
            <v>Eco Chairs 346</v>
          </cell>
          <cell r="M358" t="str">
            <v>First Class</v>
          </cell>
          <cell r="N358">
            <v>5</v>
          </cell>
          <cell r="O358">
            <v>621.70000000000005</v>
          </cell>
          <cell r="P358">
            <v>0.2</v>
          </cell>
          <cell r="S358">
            <v>355.07</v>
          </cell>
          <cell r="T358" t="str">
            <v>Pending</v>
          </cell>
          <cell r="U358" t="str">
            <v>Returned</v>
          </cell>
        </row>
        <row r="359">
          <cell r="A359" t="str">
            <v>ORD-2025-10358</v>
          </cell>
          <cell r="B359" t="str">
            <v>2025-01-21</v>
          </cell>
          <cell r="C359" t="str">
            <v>01/29/2025</v>
          </cell>
          <cell r="D359" t="str">
            <v>CUST-1363</v>
          </cell>
          <cell r="E359" t="str">
            <v>Mira Das</v>
          </cell>
          <cell r="F359" t="str">
            <v>Home Office</v>
          </cell>
          <cell r="G359" t="str">
            <v>South</v>
          </cell>
          <cell r="H359" t="str">
            <v>Andhra Pradesh</v>
          </cell>
          <cell r="I359" t="str">
            <v>Vijayawada</v>
          </cell>
          <cell r="J359" t="str">
            <v>Technology</v>
          </cell>
          <cell r="K359" t="str">
            <v>Machines</v>
          </cell>
          <cell r="L359" t="str">
            <v>Max Machines 770</v>
          </cell>
          <cell r="M359" t="str">
            <v>Second Class</v>
          </cell>
          <cell r="N359">
            <v>8</v>
          </cell>
          <cell r="O359">
            <v>546.13</v>
          </cell>
          <cell r="P359">
            <v>0</v>
          </cell>
          <cell r="S359">
            <v>652.16</v>
          </cell>
          <cell r="T359" t="str">
            <v>Paid</v>
          </cell>
          <cell r="U359" t="str">
            <v>Cancelled</v>
          </cell>
        </row>
        <row r="360">
          <cell r="A360" t="str">
            <v>ORD-2025-10359</v>
          </cell>
          <cell r="B360" t="str">
            <v>08/09/2025</v>
          </cell>
          <cell r="C360" t="str">
            <v>2025-08-07</v>
          </cell>
          <cell r="D360" t="str">
            <v>CUST-2477</v>
          </cell>
          <cell r="E360" t="str">
            <v>Vikram Iyer</v>
          </cell>
          <cell r="F360" t="str">
            <v>Home Office</v>
          </cell>
          <cell r="G360" t="str">
            <v>West</v>
          </cell>
          <cell r="H360" t="str">
            <v>Gujarat</v>
          </cell>
          <cell r="I360" t="str">
            <v>Ahmedabad</v>
          </cell>
          <cell r="J360" t="str">
            <v>Furniture</v>
          </cell>
          <cell r="K360" t="str">
            <v>Bookcases</v>
          </cell>
          <cell r="L360" t="str">
            <v>Smart Bookcases 134</v>
          </cell>
          <cell r="M360" t="str">
            <v>Second Class</v>
          </cell>
          <cell r="N360">
            <v>5</v>
          </cell>
          <cell r="O360">
            <v>1253.92</v>
          </cell>
          <cell r="P360">
            <v>0.05</v>
          </cell>
          <cell r="S360">
            <v>1576.94</v>
          </cell>
          <cell r="T360" t="str">
            <v>Pending</v>
          </cell>
          <cell r="U360" t="str">
            <v>Returned</v>
          </cell>
        </row>
        <row r="361">
          <cell r="A361" t="str">
            <v>ORD-2024-10360</v>
          </cell>
          <cell r="B361" t="str">
            <v>21 Aug 2024</v>
          </cell>
          <cell r="C361" t="str">
            <v>22-08-2024</v>
          </cell>
          <cell r="D361" t="str">
            <v>CUST-9571</v>
          </cell>
          <cell r="E361" t="str">
            <v>Isha Nair</v>
          </cell>
          <cell r="F361" t="str">
            <v>Consumer</v>
          </cell>
          <cell r="G361" t="str">
            <v>South</v>
          </cell>
          <cell r="H361" t="str">
            <v>Tamil Nadu</v>
          </cell>
          <cell r="I361" t="str">
            <v>Chennai</v>
          </cell>
          <cell r="J361" t="str">
            <v>Technology</v>
          </cell>
          <cell r="K361" t="str">
            <v>Phones</v>
          </cell>
          <cell r="L361" t="str">
            <v>Classic Phones 586</v>
          </cell>
          <cell r="M361" t="str">
            <v>Same Day</v>
          </cell>
          <cell r="N361">
            <v>9</v>
          </cell>
          <cell r="O361">
            <v>616.96</v>
          </cell>
          <cell r="P361">
            <v>0.1</v>
          </cell>
          <cell r="S361">
            <v>2025.99</v>
          </cell>
          <cell r="T361" t="str">
            <v>Paid</v>
          </cell>
          <cell r="U361" t="str">
            <v>Completed</v>
          </cell>
        </row>
        <row r="362">
          <cell r="A362" t="str">
            <v>ORD-2024-10361</v>
          </cell>
          <cell r="B362" t="str">
            <v>17 Jun 2024</v>
          </cell>
          <cell r="C362" t="str">
            <v>2024-06-20</v>
          </cell>
          <cell r="D362" t="str">
            <v>CUST-3690</v>
          </cell>
          <cell r="E362" t="str">
            <v>Sneha Kapoor</v>
          </cell>
          <cell r="F362" t="str">
            <v>Small Business</v>
          </cell>
          <cell r="G362" t="str">
            <v>West</v>
          </cell>
          <cell r="H362" t="str">
            <v>Gujarat</v>
          </cell>
          <cell r="I362" t="str">
            <v>Ahmedabad</v>
          </cell>
          <cell r="J362" t="str">
            <v>Furniture</v>
          </cell>
          <cell r="K362" t="str">
            <v>Furnishings</v>
          </cell>
          <cell r="L362" t="str">
            <v>Elite Furnishings 634</v>
          </cell>
          <cell r="M362" t="str">
            <v>Standard Class</v>
          </cell>
          <cell r="N362">
            <v>7</v>
          </cell>
          <cell r="O362">
            <v>3155.25</v>
          </cell>
          <cell r="P362">
            <v>0.2</v>
          </cell>
          <cell r="S362">
            <v>3950.63</v>
          </cell>
          <cell r="T362" t="str">
            <v>Refunded</v>
          </cell>
          <cell r="U362" t="str">
            <v>Cancelled</v>
          </cell>
        </row>
        <row r="363">
          <cell r="A363" t="str">
            <v>ORD-2025-10362</v>
          </cell>
          <cell r="B363" t="str">
            <v>01-04-2025</v>
          </cell>
          <cell r="C363" t="str">
            <v>2025-04-02</v>
          </cell>
          <cell r="D363" t="str">
            <v>CUST-2909</v>
          </cell>
          <cell r="E363" t="str">
            <v>Rohan Mehta</v>
          </cell>
          <cell r="F363" t="str">
            <v>Corporate</v>
          </cell>
          <cell r="G363" t="str">
            <v>East</v>
          </cell>
          <cell r="H363" t="str">
            <v>Odisha</v>
          </cell>
          <cell r="I363" t="str">
            <v>Bhubaneswar</v>
          </cell>
          <cell r="J363" t="str">
            <v>Furniture</v>
          </cell>
          <cell r="K363" t="str">
            <v>Chairs</v>
          </cell>
          <cell r="L363" t="str">
            <v>Basic Chairs 113</v>
          </cell>
          <cell r="M363" t="str">
            <v>Second Class</v>
          </cell>
          <cell r="N363">
            <v>9</v>
          </cell>
          <cell r="O363">
            <v>4165.58</v>
          </cell>
          <cell r="P363">
            <v>0.05</v>
          </cell>
          <cell r="S363">
            <v>15226</v>
          </cell>
          <cell r="T363" t="str">
            <v>Pending</v>
          </cell>
          <cell r="U363" t="str">
            <v>Returned</v>
          </cell>
        </row>
        <row r="364">
          <cell r="A364" t="str">
            <v>ORD-2024-10363</v>
          </cell>
          <cell r="B364" t="str">
            <v>23 Aug 2024</v>
          </cell>
          <cell r="C364" t="str">
            <v>25-08-2024</v>
          </cell>
          <cell r="D364" t="str">
            <v>CUST-6755</v>
          </cell>
          <cell r="E364" t="str">
            <v>Vikram Iyer</v>
          </cell>
          <cell r="F364" t="str">
            <v>Consumer</v>
          </cell>
          <cell r="G364" t="str">
            <v>West</v>
          </cell>
          <cell r="H364" t="str">
            <v>Goa</v>
          </cell>
          <cell r="I364" t="str">
            <v>Panaji</v>
          </cell>
          <cell r="J364" t="str">
            <v>Technology</v>
          </cell>
          <cell r="K364" t="str">
            <v>Machines</v>
          </cell>
          <cell r="L364" t="str">
            <v>Elite Machines 216</v>
          </cell>
          <cell r="M364" t="str">
            <v>Same Day</v>
          </cell>
          <cell r="N364">
            <v>4</v>
          </cell>
          <cell r="O364">
            <v>491.16</v>
          </cell>
          <cell r="P364">
            <v>0.05</v>
          </cell>
          <cell r="S364">
            <v>289.92</v>
          </cell>
          <cell r="T364" t="str">
            <v>Paid</v>
          </cell>
          <cell r="U364" t="str">
            <v>Completed</v>
          </cell>
        </row>
        <row r="365">
          <cell r="A365" t="str">
            <v>ORD-2025-10364</v>
          </cell>
          <cell r="B365" t="str">
            <v>07/07/2025</v>
          </cell>
          <cell r="C365" t="str">
            <v>07/12/2025</v>
          </cell>
          <cell r="D365" t="str">
            <v>CUST-1832</v>
          </cell>
          <cell r="E365" t="str">
            <v>Diya Patel</v>
          </cell>
          <cell r="F365" t="str">
            <v>Corporate</v>
          </cell>
          <cell r="G365" t="str">
            <v>East</v>
          </cell>
          <cell r="H365" t="str">
            <v>West Bengal</v>
          </cell>
          <cell r="I365" t="str">
            <v>Kolkata</v>
          </cell>
          <cell r="J365" t="str">
            <v>Furniture</v>
          </cell>
          <cell r="K365" t="str">
            <v>Tables</v>
          </cell>
          <cell r="L365" t="str">
            <v>Smart Tables 943</v>
          </cell>
          <cell r="M365" t="str">
            <v>Second Class</v>
          </cell>
          <cell r="N365">
            <v>5</v>
          </cell>
          <cell r="O365">
            <v>1831.37</v>
          </cell>
          <cell r="P365">
            <v>0.25</v>
          </cell>
          <cell r="S365">
            <v>1662.28</v>
          </cell>
          <cell r="T365" t="str">
            <v>Paid</v>
          </cell>
          <cell r="U365" t="str">
            <v>Completed</v>
          </cell>
        </row>
        <row r="366">
          <cell r="A366" t="str">
            <v>ORD-2025-10365</v>
          </cell>
          <cell r="B366" t="str">
            <v>03/21/2025</v>
          </cell>
          <cell r="C366" t="str">
            <v>2025-03-24</v>
          </cell>
          <cell r="D366" t="str">
            <v>CUST-4452</v>
          </cell>
          <cell r="E366" t="str">
            <v>Aarav Sharma</v>
          </cell>
          <cell r="F366" t="str">
            <v>Small Business</v>
          </cell>
          <cell r="G366" t="str">
            <v>South</v>
          </cell>
          <cell r="H366" t="str">
            <v>Andhra Pradesh</v>
          </cell>
          <cell r="I366" t="str">
            <v>Vijayawada</v>
          </cell>
          <cell r="J366" t="str">
            <v>Furniture</v>
          </cell>
          <cell r="K366" t="str">
            <v>Chairs</v>
          </cell>
          <cell r="L366" t="str">
            <v>Prime Chairs 101</v>
          </cell>
          <cell r="M366" t="str">
            <v>Second Class</v>
          </cell>
          <cell r="N366">
            <v>5</v>
          </cell>
          <cell r="O366">
            <v>1239.1500000000001</v>
          </cell>
          <cell r="P366">
            <v>0</v>
          </cell>
          <cell r="S366">
            <v>2228.73</v>
          </cell>
          <cell r="T366" t="str">
            <v>Paid</v>
          </cell>
          <cell r="U366" t="str">
            <v>Completed</v>
          </cell>
        </row>
        <row r="367">
          <cell r="A367" t="str">
            <v>ORD-2024-10366</v>
          </cell>
          <cell r="B367" t="str">
            <v>15-06-2024</v>
          </cell>
          <cell r="C367" t="str">
            <v>21-06-2024</v>
          </cell>
          <cell r="D367" t="str">
            <v>CUST-2203</v>
          </cell>
          <cell r="E367" t="str">
            <v>Aditi Sen</v>
          </cell>
          <cell r="F367" t="str">
            <v>Corporate</v>
          </cell>
          <cell r="G367" t="str">
            <v>West</v>
          </cell>
          <cell r="H367" t="str">
            <v>Goa</v>
          </cell>
          <cell r="I367" t="str">
            <v>Panaji</v>
          </cell>
          <cell r="J367" t="str">
            <v>Technology</v>
          </cell>
          <cell r="K367" t="str">
            <v>Accessories</v>
          </cell>
          <cell r="L367" t="str">
            <v>Basic Accessories 774</v>
          </cell>
          <cell r="M367" t="str">
            <v>First Class</v>
          </cell>
          <cell r="N367">
            <v>8</v>
          </cell>
          <cell r="O367">
            <v>1706.4</v>
          </cell>
          <cell r="S367">
            <v>2849.03</v>
          </cell>
          <cell r="T367" t="str">
            <v>Paid</v>
          </cell>
          <cell r="U367" t="str">
            <v>Completed</v>
          </cell>
        </row>
        <row r="368">
          <cell r="A368" t="str">
            <v>ORD-2025-10367</v>
          </cell>
          <cell r="B368" t="str">
            <v>2025-01-16</v>
          </cell>
          <cell r="C368" t="str">
            <v>2025-01-22</v>
          </cell>
          <cell r="D368" t="str">
            <v>CUST-5397</v>
          </cell>
          <cell r="E368" t="str">
            <v>Sneha Kapoor</v>
          </cell>
          <cell r="F368" t="str">
            <v>Corporate</v>
          </cell>
          <cell r="G368" t="str">
            <v>North</v>
          </cell>
          <cell r="H368" t="str">
            <v>Rajasthan</v>
          </cell>
          <cell r="I368" t="str">
            <v>Jaipur</v>
          </cell>
          <cell r="J368" t="str">
            <v>Furniture</v>
          </cell>
          <cell r="K368" t="str">
            <v>Tables</v>
          </cell>
          <cell r="L368" t="str">
            <v>Max Tables 478</v>
          </cell>
          <cell r="M368" t="str">
            <v>Same Day</v>
          </cell>
          <cell r="N368">
            <v>2</v>
          </cell>
          <cell r="O368">
            <v>4418.28</v>
          </cell>
          <cell r="P368">
            <v>0</v>
          </cell>
          <cell r="S368">
            <v>2968.81</v>
          </cell>
          <cell r="T368" t="str">
            <v>Paid</v>
          </cell>
          <cell r="U368" t="str">
            <v>Completed</v>
          </cell>
        </row>
        <row r="369">
          <cell r="A369" t="str">
            <v>ORD-2024-10368</v>
          </cell>
          <cell r="B369" t="str">
            <v>2024-03-15</v>
          </cell>
          <cell r="C369" t="str">
            <v>03/16/2024</v>
          </cell>
          <cell r="D369" t="str">
            <v>CUST-4696</v>
          </cell>
          <cell r="E369" t="str">
            <v>Rohan Mehta</v>
          </cell>
          <cell r="F369" t="str">
            <v>Consumer</v>
          </cell>
          <cell r="G369" t="str">
            <v>North</v>
          </cell>
          <cell r="H369" t="str">
            <v>Delhi</v>
          </cell>
          <cell r="I369" t="str">
            <v>New Delhi</v>
          </cell>
          <cell r="J369" t="str">
            <v>Office Supplies</v>
          </cell>
          <cell r="K369" t="str">
            <v>Art</v>
          </cell>
          <cell r="L369" t="str">
            <v>Eco Art 646</v>
          </cell>
          <cell r="M369" t="str">
            <v>Standard Class</v>
          </cell>
          <cell r="N369">
            <v>6</v>
          </cell>
          <cell r="O369">
            <v>3815.09</v>
          </cell>
          <cell r="P369">
            <v>0.15</v>
          </cell>
          <cell r="S369">
            <v>4936.8999999999996</v>
          </cell>
          <cell r="T369" t="str">
            <v>Failed</v>
          </cell>
          <cell r="U369" t="str">
            <v>Cancelled</v>
          </cell>
        </row>
        <row r="370">
          <cell r="A370" t="str">
            <v>ORD-2025-10369</v>
          </cell>
          <cell r="B370" t="str">
            <v>06-07-2025</v>
          </cell>
          <cell r="C370" t="str">
            <v>06-07-2025</v>
          </cell>
          <cell r="D370" t="str">
            <v>CUST-8246</v>
          </cell>
          <cell r="E370" t="str">
            <v>Aarav Sharma</v>
          </cell>
          <cell r="F370" t="str">
            <v>Home Office</v>
          </cell>
          <cell r="G370" t="str">
            <v>North</v>
          </cell>
          <cell r="H370" t="str">
            <v>Rajasthan</v>
          </cell>
          <cell r="I370" t="str">
            <v>Jaipur</v>
          </cell>
          <cell r="J370" t="str">
            <v>Technology</v>
          </cell>
          <cell r="K370" t="str">
            <v>Accessories</v>
          </cell>
          <cell r="L370" t="str">
            <v>Prime Accessories 962</v>
          </cell>
          <cell r="M370" t="str">
            <v>Same Day</v>
          </cell>
          <cell r="N370">
            <v>9</v>
          </cell>
          <cell r="O370">
            <v>243.19</v>
          </cell>
          <cell r="P370">
            <v>0.05</v>
          </cell>
          <cell r="S370">
            <v>567.1</v>
          </cell>
          <cell r="T370" t="str">
            <v>Refunded</v>
          </cell>
          <cell r="U370" t="str">
            <v>Returned</v>
          </cell>
        </row>
        <row r="371">
          <cell r="A371" t="str">
            <v>ORD-2025-10370</v>
          </cell>
          <cell r="B371" t="str">
            <v>23-01-2025</v>
          </cell>
          <cell r="C371" t="str">
            <v>01/30/2025</v>
          </cell>
          <cell r="D371" t="str">
            <v>CUST-5672</v>
          </cell>
          <cell r="E371" t="str">
            <v>Priya Menon</v>
          </cell>
          <cell r="F371" t="str">
            <v>Consumer</v>
          </cell>
          <cell r="G371" t="str">
            <v>North</v>
          </cell>
          <cell r="H371" t="str">
            <v>Delhi</v>
          </cell>
          <cell r="I371" t="str">
            <v>New Delhi</v>
          </cell>
          <cell r="J371" t="str">
            <v>Office Supplies</v>
          </cell>
          <cell r="K371" t="str">
            <v>Labels</v>
          </cell>
          <cell r="L371" t="str">
            <v>Eco Labels 646</v>
          </cell>
          <cell r="M371" t="str">
            <v>Standard Class</v>
          </cell>
          <cell r="N371">
            <v>9</v>
          </cell>
          <cell r="O371">
            <v>1169.3699999999999</v>
          </cell>
          <cell r="P371">
            <v>0.15</v>
          </cell>
          <cell r="S371">
            <v>2205.33</v>
          </cell>
          <cell r="T371" t="str">
            <v>Paid</v>
          </cell>
          <cell r="U371" t="str">
            <v>Completed</v>
          </cell>
        </row>
        <row r="372">
          <cell r="A372" t="str">
            <v>ORD-2024-10371</v>
          </cell>
          <cell r="B372" t="str">
            <v>08/15/2024</v>
          </cell>
          <cell r="C372" t="str">
            <v>21 Aug 2024</v>
          </cell>
          <cell r="D372" t="str">
            <v>CUST-8521</v>
          </cell>
          <cell r="E372" t="str">
            <v>Ananya Rao</v>
          </cell>
          <cell r="F372" t="str">
            <v>Small Business</v>
          </cell>
          <cell r="G372" t="str">
            <v>West</v>
          </cell>
          <cell r="H372" t="str">
            <v>Rajasthan</v>
          </cell>
          <cell r="I372" t="str">
            <v>Udaipur</v>
          </cell>
          <cell r="J372" t="str">
            <v>Technology</v>
          </cell>
          <cell r="K372" t="str">
            <v>Copiers</v>
          </cell>
          <cell r="L372" t="str">
            <v>Classic Copiers 505</v>
          </cell>
          <cell r="M372" t="str">
            <v>First Class</v>
          </cell>
          <cell r="N372">
            <v>7</v>
          </cell>
          <cell r="O372">
            <v>2333.81</v>
          </cell>
          <cell r="P372">
            <v>0.2</v>
          </cell>
          <cell r="S372">
            <v>4300.75</v>
          </cell>
          <cell r="T372" t="str">
            <v>Paid</v>
          </cell>
          <cell r="U372" t="str">
            <v>Completed</v>
          </cell>
        </row>
        <row r="373">
          <cell r="A373" t="str">
            <v>ORD-2024-10372</v>
          </cell>
          <cell r="B373" t="str">
            <v>22-01-2024</v>
          </cell>
          <cell r="C373" t="str">
            <v>2024-01-24</v>
          </cell>
          <cell r="D373" t="str">
            <v>CUST-2204</v>
          </cell>
          <cell r="E373" t="str">
            <v>Diya Patel</v>
          </cell>
          <cell r="F373" t="str">
            <v>Home Office</v>
          </cell>
          <cell r="G373" t="str">
            <v>West</v>
          </cell>
          <cell r="H373" t="str">
            <v>Maharashtra</v>
          </cell>
          <cell r="I373" t="str">
            <v>Mumbai</v>
          </cell>
          <cell r="J373" t="str">
            <v>Office Supplies</v>
          </cell>
          <cell r="K373" t="str">
            <v>Art</v>
          </cell>
          <cell r="L373" t="str">
            <v>Pro Art 906</v>
          </cell>
          <cell r="M373" t="str">
            <v>Standard Class</v>
          </cell>
          <cell r="N373">
            <v>6</v>
          </cell>
          <cell r="O373">
            <v>1026.06</v>
          </cell>
          <cell r="S373">
            <v>1635.33</v>
          </cell>
          <cell r="T373" t="str">
            <v>Refunded</v>
          </cell>
          <cell r="U373" t="str">
            <v>Cancelled</v>
          </cell>
        </row>
        <row r="374">
          <cell r="A374" t="str">
            <v>ORD-2025-10373</v>
          </cell>
          <cell r="B374" t="str">
            <v>2025-08-16</v>
          </cell>
          <cell r="C374" t="str">
            <v>2025-08-18</v>
          </cell>
          <cell r="D374" t="str">
            <v>CUST-4399</v>
          </cell>
          <cell r="E374" t="str">
            <v>Kabir Singh</v>
          </cell>
          <cell r="F374" t="str">
            <v>Consumer</v>
          </cell>
          <cell r="G374" t="str">
            <v>East</v>
          </cell>
          <cell r="H374" t="str">
            <v>Jharkhand</v>
          </cell>
          <cell r="I374" t="str">
            <v>Ranchi</v>
          </cell>
          <cell r="J374" t="str">
            <v>Furniture</v>
          </cell>
          <cell r="K374" t="str">
            <v>Chairs</v>
          </cell>
          <cell r="L374" t="str">
            <v>Max Chairs 181</v>
          </cell>
          <cell r="M374" t="str">
            <v>Same Day</v>
          </cell>
          <cell r="N374">
            <v>5</v>
          </cell>
          <cell r="O374">
            <v>1530.36</v>
          </cell>
          <cell r="P374">
            <v>0</v>
          </cell>
          <cell r="S374">
            <v>2480.02</v>
          </cell>
          <cell r="T374" t="str">
            <v>Paid</v>
          </cell>
          <cell r="U374" t="str">
            <v>Completed</v>
          </cell>
        </row>
        <row r="375">
          <cell r="A375" t="str">
            <v>ORD-2025-10374</v>
          </cell>
          <cell r="B375" t="str">
            <v>2025-04-13</v>
          </cell>
          <cell r="C375" t="str">
            <v>2025-04-13</v>
          </cell>
          <cell r="D375" t="str">
            <v>CUST-8566</v>
          </cell>
          <cell r="E375" t="str">
            <v>Sneha Kapoor</v>
          </cell>
          <cell r="F375" t="str">
            <v>Small Business</v>
          </cell>
          <cell r="G375" t="str">
            <v>North</v>
          </cell>
          <cell r="H375" t="str">
            <v>Uttar Pradesh</v>
          </cell>
          <cell r="I375" t="str">
            <v>Noida</v>
          </cell>
          <cell r="J375" t="str">
            <v>Office Supplies</v>
          </cell>
          <cell r="K375" t="str">
            <v>Storage</v>
          </cell>
          <cell r="L375" t="str">
            <v>Prime Storage 951</v>
          </cell>
          <cell r="M375" t="str">
            <v>Second Class</v>
          </cell>
          <cell r="N375">
            <v>9</v>
          </cell>
          <cell r="O375">
            <v>1118.68</v>
          </cell>
          <cell r="P375">
            <v>0</v>
          </cell>
          <cell r="S375">
            <v>1472.75</v>
          </cell>
          <cell r="T375" t="str">
            <v>Paid</v>
          </cell>
          <cell r="U375" t="str">
            <v>Completed</v>
          </cell>
        </row>
        <row r="376">
          <cell r="A376" t="str">
            <v>ORD-2025-10375</v>
          </cell>
          <cell r="B376" t="str">
            <v>2025-02-27</v>
          </cell>
          <cell r="C376" t="str">
            <v>28-02-2025</v>
          </cell>
          <cell r="D376" t="str">
            <v>CUST-2358</v>
          </cell>
          <cell r="E376" t="str">
            <v>Aditi Sen</v>
          </cell>
          <cell r="F376" t="str">
            <v>Small Business</v>
          </cell>
          <cell r="G376" t="str">
            <v>North</v>
          </cell>
          <cell r="H376" t="str">
            <v>Uttar Pradesh</v>
          </cell>
          <cell r="I376" t="str">
            <v>Noida</v>
          </cell>
          <cell r="J376" t="str">
            <v>Office Supplies</v>
          </cell>
          <cell r="K376" t="str">
            <v>Labels</v>
          </cell>
          <cell r="L376" t="str">
            <v>Smart Labels 668</v>
          </cell>
          <cell r="M376" t="str">
            <v>Standard Class</v>
          </cell>
          <cell r="N376">
            <v>6</v>
          </cell>
          <cell r="O376">
            <v>2393.25</v>
          </cell>
          <cell r="P376">
            <v>0</v>
          </cell>
          <cell r="S376">
            <v>6241.79</v>
          </cell>
          <cell r="T376" t="str">
            <v>Paid</v>
          </cell>
          <cell r="U376" t="str">
            <v>Completed</v>
          </cell>
        </row>
        <row r="377">
          <cell r="A377" t="str">
            <v>ORD-2024-10376</v>
          </cell>
          <cell r="B377" t="str">
            <v>31-12-2024</v>
          </cell>
          <cell r="C377" t="str">
            <v>04 Jan 2025</v>
          </cell>
          <cell r="D377" t="str">
            <v>CUST-2810</v>
          </cell>
          <cell r="E377" t="str">
            <v>Vikram Iyer</v>
          </cell>
          <cell r="F377" t="str">
            <v>Consumer</v>
          </cell>
          <cell r="G377" t="str">
            <v>North</v>
          </cell>
          <cell r="H377" t="str">
            <v>Delhi</v>
          </cell>
          <cell r="I377" t="str">
            <v>New Delhi</v>
          </cell>
          <cell r="J377" t="str">
            <v>Furniture</v>
          </cell>
          <cell r="K377" t="str">
            <v>Chairs</v>
          </cell>
          <cell r="L377" t="str">
            <v>Pro Chairs 364</v>
          </cell>
          <cell r="M377" t="str">
            <v>Same Day</v>
          </cell>
          <cell r="N377">
            <v>3</v>
          </cell>
          <cell r="O377">
            <v>1166.6099999999999</v>
          </cell>
          <cell r="P377">
            <v>0.25</v>
          </cell>
          <cell r="S377">
            <v>370.99</v>
          </cell>
          <cell r="T377" t="str">
            <v>Paid</v>
          </cell>
          <cell r="U377" t="str">
            <v>Completed</v>
          </cell>
        </row>
        <row r="378">
          <cell r="A378" t="str">
            <v>ORD-2024-10377</v>
          </cell>
          <cell r="B378" t="str">
            <v>29-12-2024</v>
          </cell>
          <cell r="C378" t="str">
            <v>2024-12-31</v>
          </cell>
          <cell r="D378" t="str">
            <v>CUST-5166</v>
          </cell>
          <cell r="E378" t="str">
            <v>Isha Nair</v>
          </cell>
          <cell r="F378" t="str">
            <v>Small Business</v>
          </cell>
          <cell r="G378" t="str">
            <v>East</v>
          </cell>
          <cell r="H378" t="str">
            <v>Bihar</v>
          </cell>
          <cell r="I378" t="str">
            <v>Patna</v>
          </cell>
          <cell r="J378" t="str">
            <v>Furniture</v>
          </cell>
          <cell r="K378" t="str">
            <v>Chairs</v>
          </cell>
          <cell r="L378" t="str">
            <v>Basic Chairs 248</v>
          </cell>
          <cell r="M378" t="str">
            <v>First Class</v>
          </cell>
          <cell r="N378">
            <v>6</v>
          </cell>
          <cell r="O378">
            <v>1844.78</v>
          </cell>
          <cell r="P378">
            <v>0.2</v>
          </cell>
          <cell r="S378">
            <v>1420.99</v>
          </cell>
          <cell r="T378" t="str">
            <v>Paid</v>
          </cell>
          <cell r="U378" t="str">
            <v>Completed</v>
          </cell>
        </row>
        <row r="379">
          <cell r="A379" t="str">
            <v>ORD-2025-10378</v>
          </cell>
          <cell r="B379" t="str">
            <v>24 May 2025</v>
          </cell>
          <cell r="C379" t="str">
            <v>30-05-2025</v>
          </cell>
          <cell r="D379" t="str">
            <v>CUST-4875</v>
          </cell>
          <cell r="E379" t="str">
            <v>Kabir Singh</v>
          </cell>
          <cell r="F379" t="str">
            <v>Small Business</v>
          </cell>
          <cell r="G379" t="str">
            <v>East</v>
          </cell>
          <cell r="H379" t="str">
            <v>Odisha</v>
          </cell>
          <cell r="I379" t="str">
            <v>Bhubaneswar</v>
          </cell>
          <cell r="J379" t="str">
            <v>Office Supplies</v>
          </cell>
          <cell r="K379" t="str">
            <v>storage</v>
          </cell>
          <cell r="L379" t="str">
            <v>Basic Storage 360</v>
          </cell>
          <cell r="M379" t="str">
            <v>Same Day</v>
          </cell>
          <cell r="N379">
            <v>1</v>
          </cell>
          <cell r="O379">
            <v>2564.7399999999998</v>
          </cell>
          <cell r="P379">
            <v>0</v>
          </cell>
          <cell r="S379">
            <v>810.16</v>
          </cell>
          <cell r="T379" t="str">
            <v>Paid</v>
          </cell>
          <cell r="U379" t="str">
            <v>Completed</v>
          </cell>
        </row>
        <row r="380">
          <cell r="A380" t="str">
            <v>ORD-2025-10379</v>
          </cell>
          <cell r="B380" t="str">
            <v>22-05-2025</v>
          </cell>
          <cell r="C380" t="str">
            <v>22-05-2025</v>
          </cell>
          <cell r="D380" t="str">
            <v>CUST-3154</v>
          </cell>
          <cell r="E380" t="str">
            <v>Mira Das</v>
          </cell>
          <cell r="F380" t="str">
            <v>Consumer</v>
          </cell>
          <cell r="G380" t="str">
            <v>West</v>
          </cell>
          <cell r="H380" t="str">
            <v>Goa</v>
          </cell>
          <cell r="I380" t="str">
            <v>Panaji</v>
          </cell>
          <cell r="J380" t="str">
            <v>Technology</v>
          </cell>
          <cell r="K380" t="str">
            <v>Accessories</v>
          </cell>
          <cell r="L380" t="str">
            <v>Basic Accessories 988</v>
          </cell>
          <cell r="M380" t="str">
            <v>Standard Class</v>
          </cell>
          <cell r="N380">
            <v>2</v>
          </cell>
          <cell r="O380">
            <v>3910.61</v>
          </cell>
          <cell r="P380">
            <v>0</v>
          </cell>
          <cell r="S380">
            <v>2826.76</v>
          </cell>
          <cell r="T380" t="str">
            <v>Paid</v>
          </cell>
          <cell r="U380" t="str">
            <v>Completed</v>
          </cell>
        </row>
        <row r="381">
          <cell r="A381" t="str">
            <v>ORD-2024-10380</v>
          </cell>
          <cell r="B381" t="str">
            <v>09/19/2024</v>
          </cell>
          <cell r="C381" t="str">
            <v>23 Sep 2024</v>
          </cell>
          <cell r="D381" t="str">
            <v>CUST-6405</v>
          </cell>
          <cell r="E381" t="str">
            <v>Mira Das</v>
          </cell>
          <cell r="F381" t="str">
            <v>Small Business</v>
          </cell>
          <cell r="G381" t="str">
            <v>South</v>
          </cell>
          <cell r="H381" t="str">
            <v>Kerala</v>
          </cell>
          <cell r="I381" t="str">
            <v>Kochi</v>
          </cell>
          <cell r="J381" t="str">
            <v>Office Supplies</v>
          </cell>
          <cell r="K381" t="str">
            <v>Paper</v>
          </cell>
          <cell r="L381" t="str">
            <v>Max Paper 334</v>
          </cell>
          <cell r="M381" t="str">
            <v>Standard Class</v>
          </cell>
          <cell r="N381">
            <v>7</v>
          </cell>
          <cell r="O381">
            <v>1136.68</v>
          </cell>
          <cell r="S381">
            <v>3157.22</v>
          </cell>
          <cell r="T381" t="str">
            <v>Paid</v>
          </cell>
          <cell r="U381" t="str">
            <v>Completed</v>
          </cell>
        </row>
        <row r="382">
          <cell r="A382" t="str">
            <v>ORD-2024-10381</v>
          </cell>
          <cell r="B382" t="str">
            <v>07 Apr 2024</v>
          </cell>
          <cell r="C382" t="str">
            <v>14-04-2024</v>
          </cell>
          <cell r="D382" t="str">
            <v>CUST-5779</v>
          </cell>
          <cell r="E382" t="str">
            <v>Vikram Iyer</v>
          </cell>
          <cell r="F382" t="str">
            <v>Consumer</v>
          </cell>
          <cell r="G382" t="str">
            <v>West</v>
          </cell>
          <cell r="H382" t="str">
            <v>Maharashtra</v>
          </cell>
          <cell r="I382" t="str">
            <v>Mumbai</v>
          </cell>
          <cell r="J382" t="str">
            <v>Furniture</v>
          </cell>
          <cell r="K382" t="str">
            <v>Bookcases</v>
          </cell>
          <cell r="L382" t="str">
            <v>Prime Bookcases 952</v>
          </cell>
          <cell r="M382" t="str">
            <v>Same Day</v>
          </cell>
          <cell r="N382">
            <v>5</v>
          </cell>
          <cell r="O382">
            <v>2235.85</v>
          </cell>
          <cell r="P382">
            <v>0.25</v>
          </cell>
          <cell r="S382">
            <v>3618.48</v>
          </cell>
          <cell r="T382" t="str">
            <v>Paid</v>
          </cell>
          <cell r="U382" t="str">
            <v>Returned</v>
          </cell>
        </row>
        <row r="383">
          <cell r="A383" t="str">
            <v>ORD-2025-10382</v>
          </cell>
          <cell r="B383" t="str">
            <v>2025-09-19</v>
          </cell>
          <cell r="C383" t="str">
            <v>23-09-2025</v>
          </cell>
          <cell r="D383" t="str">
            <v>CUST-9943</v>
          </cell>
          <cell r="E383" t="str">
            <v>Arjun Bose</v>
          </cell>
          <cell r="F383" t="str">
            <v>HOME OFFICE</v>
          </cell>
          <cell r="G383" t="str">
            <v>North</v>
          </cell>
          <cell r="H383" t="str">
            <v>Delhi</v>
          </cell>
          <cell r="I383" t="str">
            <v>New Delhi</v>
          </cell>
          <cell r="J383" t="str">
            <v>Office Supplies</v>
          </cell>
          <cell r="K383" t="str">
            <v>Binders</v>
          </cell>
          <cell r="L383" t="str">
            <v>Prime Binders 523</v>
          </cell>
          <cell r="M383" t="str">
            <v>Standard Class</v>
          </cell>
          <cell r="N383">
            <v>4</v>
          </cell>
          <cell r="O383">
            <v>4387.1499999999996</v>
          </cell>
          <cell r="P383">
            <v>0.05</v>
          </cell>
          <cell r="S383">
            <v>5837.98</v>
          </cell>
          <cell r="T383" t="str">
            <v>Failed</v>
          </cell>
          <cell r="U383" t="str">
            <v>Cancelled</v>
          </cell>
        </row>
        <row r="384">
          <cell r="A384" t="str">
            <v>ORD-2025-10383</v>
          </cell>
          <cell r="B384" t="str">
            <v>04 Mar 2025</v>
          </cell>
          <cell r="C384" t="str">
            <v>03/08/2025</v>
          </cell>
          <cell r="D384" t="str">
            <v>CUST-7098</v>
          </cell>
          <cell r="E384" t="str">
            <v>Arjun Bose</v>
          </cell>
          <cell r="F384" t="str">
            <v>Small Business</v>
          </cell>
          <cell r="G384" t="str">
            <v>East</v>
          </cell>
          <cell r="H384" t="str">
            <v>Bihar</v>
          </cell>
          <cell r="I384" t="str">
            <v>Patna</v>
          </cell>
          <cell r="J384" t="str">
            <v>TECHNOLOGY</v>
          </cell>
          <cell r="K384" t="str">
            <v>Phones</v>
          </cell>
          <cell r="L384" t="str">
            <v>Pro Phones 538</v>
          </cell>
          <cell r="M384" t="str">
            <v>First Class</v>
          </cell>
          <cell r="N384">
            <v>3</v>
          </cell>
          <cell r="O384">
            <v>4361.8500000000004</v>
          </cell>
          <cell r="P384">
            <v>0.2</v>
          </cell>
          <cell r="S384">
            <v>2068.5700000000002</v>
          </cell>
          <cell r="T384" t="str">
            <v>Paid</v>
          </cell>
          <cell r="U384" t="str">
            <v>Completed</v>
          </cell>
        </row>
        <row r="385">
          <cell r="A385" t="str">
            <v>ORD-2025-10384</v>
          </cell>
          <cell r="B385" t="str">
            <v>28 Jun 2025</v>
          </cell>
          <cell r="C385" t="str">
            <v>05 Jul 2025</v>
          </cell>
          <cell r="D385" t="str">
            <v>CUST-7438</v>
          </cell>
          <cell r="E385" t="str">
            <v>Vikram Iyer</v>
          </cell>
          <cell r="F385" t="str">
            <v>Corporate</v>
          </cell>
          <cell r="G385" t="str">
            <v>East</v>
          </cell>
          <cell r="H385" t="str">
            <v>West Bengal</v>
          </cell>
          <cell r="I385" t="str">
            <v>Kolkata</v>
          </cell>
          <cell r="J385" t="str">
            <v>Office Supplies</v>
          </cell>
          <cell r="K385" t="str">
            <v>Art</v>
          </cell>
          <cell r="L385" t="str">
            <v>Basic Art 608</v>
          </cell>
          <cell r="M385" t="str">
            <v>First Class</v>
          </cell>
          <cell r="N385">
            <v>2</v>
          </cell>
          <cell r="O385">
            <v>2242.75</v>
          </cell>
          <cell r="P385">
            <v>0</v>
          </cell>
          <cell r="S385">
            <v>1353.64</v>
          </cell>
          <cell r="T385" t="str">
            <v>Paid</v>
          </cell>
          <cell r="U385" t="str">
            <v>Cancelled</v>
          </cell>
        </row>
        <row r="386">
          <cell r="A386" t="str">
            <v>ORD-2024-10385</v>
          </cell>
          <cell r="B386" t="str">
            <v>15-03-2024</v>
          </cell>
          <cell r="C386" t="str">
            <v>2024-03-20</v>
          </cell>
          <cell r="D386" t="str">
            <v>CUST-8432</v>
          </cell>
          <cell r="E386" t="str">
            <v>Rohan Mehta</v>
          </cell>
          <cell r="F386" t="str">
            <v>Consumer</v>
          </cell>
          <cell r="G386" t="str">
            <v>East</v>
          </cell>
          <cell r="H386" t="str">
            <v>Jharkhand</v>
          </cell>
          <cell r="I386" t="str">
            <v>Ranchi</v>
          </cell>
          <cell r="J386" t="str">
            <v>Technology</v>
          </cell>
          <cell r="K386" t="str">
            <v>Copiers</v>
          </cell>
          <cell r="L386" t="str">
            <v>Prime Copiers 820</v>
          </cell>
          <cell r="M386" t="str">
            <v>Standard Class</v>
          </cell>
          <cell r="N386">
            <v>2</v>
          </cell>
          <cell r="O386">
            <v>1881.4</v>
          </cell>
          <cell r="P386">
            <v>0.25</v>
          </cell>
          <cell r="S386">
            <v>1197.53</v>
          </cell>
          <cell r="T386" t="str">
            <v>Paid</v>
          </cell>
          <cell r="U386" t="str">
            <v>Returned</v>
          </cell>
        </row>
        <row r="387">
          <cell r="A387" t="str">
            <v>ORD-2025-10386</v>
          </cell>
          <cell r="B387" t="str">
            <v>2025-06-24</v>
          </cell>
          <cell r="C387" t="str">
            <v>30 Jun 2025</v>
          </cell>
          <cell r="D387" t="str">
            <v>CUST-2834</v>
          </cell>
          <cell r="E387" t="str">
            <v>Arjun Bose</v>
          </cell>
          <cell r="F387" t="str">
            <v>Consumer</v>
          </cell>
          <cell r="G387" t="str">
            <v>North</v>
          </cell>
          <cell r="H387" t="str">
            <v>Haryana</v>
          </cell>
          <cell r="I387" t="str">
            <v>Gurugram</v>
          </cell>
          <cell r="J387" t="str">
            <v>Office Supplies</v>
          </cell>
          <cell r="K387" t="str">
            <v>Labels</v>
          </cell>
          <cell r="L387" t="str">
            <v>Classic Labels 670</v>
          </cell>
          <cell r="M387" t="str">
            <v>Standard Class</v>
          </cell>
          <cell r="N387">
            <v>6</v>
          </cell>
          <cell r="O387">
            <v>365.76</v>
          </cell>
          <cell r="P387">
            <v>0.1</v>
          </cell>
          <cell r="S387">
            <v>859.75</v>
          </cell>
          <cell r="T387" t="str">
            <v>Paid</v>
          </cell>
          <cell r="U387" t="str">
            <v>Completed</v>
          </cell>
        </row>
        <row r="388">
          <cell r="A388" t="str">
            <v>ORD-2025-10387</v>
          </cell>
          <cell r="B388" t="str">
            <v>02/12/2025</v>
          </cell>
          <cell r="C388" t="str">
            <v>14-02-2025</v>
          </cell>
          <cell r="D388" t="str">
            <v>CUST-4222</v>
          </cell>
          <cell r="E388" t="str">
            <v>Sneha Kapoor</v>
          </cell>
          <cell r="F388" t="str">
            <v>Consumer</v>
          </cell>
          <cell r="G388" t="str">
            <v>West</v>
          </cell>
          <cell r="H388" t="str">
            <v>Maharashtra</v>
          </cell>
          <cell r="I388" t="str">
            <v>Mumbai</v>
          </cell>
          <cell r="J388" t="str">
            <v>Furniture</v>
          </cell>
          <cell r="K388" t="str">
            <v>Furnishings</v>
          </cell>
          <cell r="L388" t="str">
            <v>Prime Furnishings 597</v>
          </cell>
          <cell r="M388" t="str">
            <v>Second Class</v>
          </cell>
          <cell r="N388">
            <v>8</v>
          </cell>
          <cell r="O388">
            <v>2786.66</v>
          </cell>
          <cell r="P388">
            <v>0.1</v>
          </cell>
          <cell r="S388">
            <v>5700.57</v>
          </cell>
          <cell r="T388" t="str">
            <v>Paid</v>
          </cell>
          <cell r="U388" t="str">
            <v>Completed</v>
          </cell>
        </row>
        <row r="389">
          <cell r="A389" t="str">
            <v>ORD-2025-10388</v>
          </cell>
          <cell r="B389" t="str">
            <v>10-08-2025</v>
          </cell>
          <cell r="C389" t="str">
            <v>08/13/2025</v>
          </cell>
          <cell r="D389" t="str">
            <v>CUST-1053</v>
          </cell>
          <cell r="E389" t="str">
            <v>Priya Menon</v>
          </cell>
          <cell r="F389" t="str">
            <v>Small Business</v>
          </cell>
          <cell r="G389" t="str">
            <v>West</v>
          </cell>
          <cell r="H389" t="str">
            <v>Madhya Pradesh</v>
          </cell>
          <cell r="I389" t="str">
            <v>Indore</v>
          </cell>
          <cell r="J389" t="str">
            <v>Furniture</v>
          </cell>
          <cell r="K389" t="str">
            <v>Chairs</v>
          </cell>
          <cell r="L389" t="str">
            <v>Prime Chairs 196</v>
          </cell>
          <cell r="M389" t="str">
            <v>Standard Class</v>
          </cell>
          <cell r="N389">
            <v>5</v>
          </cell>
          <cell r="O389">
            <v>352.86</v>
          </cell>
          <cell r="P389">
            <v>0</v>
          </cell>
          <cell r="S389">
            <v>431.81</v>
          </cell>
          <cell r="T389" t="str">
            <v>Pending</v>
          </cell>
          <cell r="U389" t="str">
            <v>Cancelled</v>
          </cell>
        </row>
        <row r="390">
          <cell r="A390" t="str">
            <v>ORD-2024-10389</v>
          </cell>
          <cell r="B390" t="str">
            <v>2024-05-13</v>
          </cell>
          <cell r="C390" t="str">
            <v>18 May 2024</v>
          </cell>
          <cell r="D390" t="str">
            <v>CUST-1457</v>
          </cell>
          <cell r="E390" t="str">
            <v>Isha Nair</v>
          </cell>
          <cell r="F390" t="str">
            <v>Small Business</v>
          </cell>
          <cell r="G390" t="str">
            <v>West</v>
          </cell>
          <cell r="H390" t="str">
            <v>Gujarat</v>
          </cell>
          <cell r="I390" t="str">
            <v>Ahmedabad</v>
          </cell>
          <cell r="J390" t="str">
            <v>Furniture</v>
          </cell>
          <cell r="K390" t="str">
            <v>Chairs</v>
          </cell>
          <cell r="L390" t="str">
            <v>Elite Chairs 639</v>
          </cell>
          <cell r="M390" t="str">
            <v>Standard Class</v>
          </cell>
          <cell r="N390">
            <v>3</v>
          </cell>
          <cell r="O390">
            <v>3128.59</v>
          </cell>
          <cell r="P390">
            <v>0</v>
          </cell>
          <cell r="S390">
            <v>2783.66</v>
          </cell>
          <cell r="T390" t="str">
            <v>Paid</v>
          </cell>
          <cell r="U390" t="str">
            <v>Completed</v>
          </cell>
        </row>
        <row r="391">
          <cell r="A391" t="str">
            <v>ORD-2024-10390</v>
          </cell>
          <cell r="B391" t="str">
            <v>05 Apr 2024</v>
          </cell>
          <cell r="C391" t="str">
            <v>13 Apr 2024</v>
          </cell>
          <cell r="D391" t="str">
            <v>CUST-3930</v>
          </cell>
          <cell r="E391" t="str">
            <v>Diya Patel</v>
          </cell>
          <cell r="F391" t="str">
            <v>Corporate</v>
          </cell>
          <cell r="G391" t="str">
            <v>West</v>
          </cell>
          <cell r="H391" t="str">
            <v>Gujarat</v>
          </cell>
          <cell r="I391" t="str">
            <v>Ahmedabad</v>
          </cell>
          <cell r="J391" t="str">
            <v>Technology</v>
          </cell>
          <cell r="K391" t="str">
            <v>Machines</v>
          </cell>
          <cell r="L391" t="str">
            <v>Elite Machines 563</v>
          </cell>
          <cell r="M391" t="str">
            <v>Second Class</v>
          </cell>
          <cell r="N391">
            <v>5</v>
          </cell>
          <cell r="O391">
            <v>1937.54</v>
          </cell>
          <cell r="P391">
            <v>0.2</v>
          </cell>
          <cell r="S391">
            <v>2315.86</v>
          </cell>
          <cell r="T391" t="str">
            <v>Pending</v>
          </cell>
          <cell r="U391" t="str">
            <v>Cancelled</v>
          </cell>
        </row>
        <row r="392">
          <cell r="A392" t="str">
            <v>ORD-2024-10391</v>
          </cell>
          <cell r="B392" t="str">
            <v>06 Nov 2024</v>
          </cell>
          <cell r="C392" t="str">
            <v>11-11-2024</v>
          </cell>
          <cell r="D392" t="str">
            <v>CUST-7853</v>
          </cell>
          <cell r="E392" t="str">
            <v>Isha Nair</v>
          </cell>
          <cell r="F392" t="str">
            <v>Consumer</v>
          </cell>
          <cell r="G392" t="str">
            <v>West</v>
          </cell>
          <cell r="H392" t="str">
            <v>Gujarat</v>
          </cell>
          <cell r="I392" t="str">
            <v>Ahmedabad</v>
          </cell>
          <cell r="J392" t="str">
            <v>Furniture</v>
          </cell>
          <cell r="K392" t="str">
            <v>Furnishings</v>
          </cell>
          <cell r="L392" t="str">
            <v>Pro Furnishings 281</v>
          </cell>
          <cell r="M392" t="str">
            <v>Standard Class</v>
          </cell>
          <cell r="N392">
            <v>4</v>
          </cell>
          <cell r="O392">
            <v>1917.26</v>
          </cell>
          <cell r="P392">
            <v>0.2</v>
          </cell>
          <cell r="S392">
            <v>2695.44</v>
          </cell>
          <cell r="T392" t="str">
            <v>Paid</v>
          </cell>
          <cell r="U392" t="str">
            <v>Completed</v>
          </cell>
        </row>
        <row r="393">
          <cell r="A393" t="str">
            <v>ORD-2025-10392</v>
          </cell>
          <cell r="B393" t="str">
            <v>14-02-2025</v>
          </cell>
          <cell r="C393" t="str">
            <v>14 Feb 2025</v>
          </cell>
          <cell r="D393" t="str">
            <v>CUST-2267</v>
          </cell>
          <cell r="E393" t="str">
            <v>Diya Patel</v>
          </cell>
          <cell r="F393" t="str">
            <v>Consumer</v>
          </cell>
          <cell r="G393" t="str">
            <v>South</v>
          </cell>
          <cell r="H393" t="str">
            <v>Karnataka</v>
          </cell>
          <cell r="I393" t="str">
            <v>Bengaluru</v>
          </cell>
          <cell r="J393" t="str">
            <v>Office Supplies</v>
          </cell>
          <cell r="K393" t="str">
            <v>Storage</v>
          </cell>
          <cell r="L393" t="str">
            <v>Eco Storage 285</v>
          </cell>
          <cell r="M393" t="str">
            <v>First Class</v>
          </cell>
          <cell r="N393">
            <v>1</v>
          </cell>
          <cell r="O393">
            <v>714.43</v>
          </cell>
          <cell r="P393">
            <v>0</v>
          </cell>
          <cell r="S393">
            <v>148.99</v>
          </cell>
          <cell r="T393" t="str">
            <v>Paid</v>
          </cell>
          <cell r="U393" t="str">
            <v>Completed</v>
          </cell>
        </row>
        <row r="394">
          <cell r="A394" t="str">
            <v>ORD-2024-10393</v>
          </cell>
          <cell r="B394" t="str">
            <v>02/19/2024</v>
          </cell>
          <cell r="C394" t="str">
            <v>22 Feb 2024</v>
          </cell>
          <cell r="D394" t="str">
            <v>CUST-6866</v>
          </cell>
          <cell r="E394" t="str">
            <v>Aditi Sen</v>
          </cell>
          <cell r="F394" t="str">
            <v>Small Business</v>
          </cell>
          <cell r="G394" t="str">
            <v>South</v>
          </cell>
          <cell r="H394" t="str">
            <v>Kerala</v>
          </cell>
          <cell r="I394" t="str">
            <v>Kochi</v>
          </cell>
          <cell r="J394" t="str">
            <v>Furniture</v>
          </cell>
          <cell r="K394" t="str">
            <v>Furnishings</v>
          </cell>
          <cell r="L394" t="str">
            <v>Classic Furnishings 746</v>
          </cell>
          <cell r="M394" t="str">
            <v>Same Day</v>
          </cell>
          <cell r="N394">
            <v>9</v>
          </cell>
          <cell r="O394">
            <v>4053.01</v>
          </cell>
          <cell r="P394">
            <v>0</v>
          </cell>
          <cell r="S394">
            <v>11951.61</v>
          </cell>
          <cell r="T394" t="str">
            <v>Paid</v>
          </cell>
          <cell r="U394" t="str">
            <v>Completed</v>
          </cell>
        </row>
        <row r="395">
          <cell r="A395" t="str">
            <v>ORD-2024-10394</v>
          </cell>
          <cell r="B395" t="str">
            <v>2024-08-23</v>
          </cell>
          <cell r="C395" t="str">
            <v>08/29/2024</v>
          </cell>
          <cell r="D395" t="str">
            <v>CUST-3160</v>
          </cell>
          <cell r="E395" t="str">
            <v>Mira Das</v>
          </cell>
          <cell r="F395" t="str">
            <v>Corporate</v>
          </cell>
          <cell r="G395" t="str">
            <v>North</v>
          </cell>
          <cell r="H395" t="str">
            <v>Uttar Pradesh</v>
          </cell>
          <cell r="I395" t="str">
            <v>Noida</v>
          </cell>
          <cell r="J395" t="str">
            <v>Office Supplies</v>
          </cell>
          <cell r="K395" t="str">
            <v>Labels</v>
          </cell>
          <cell r="L395" t="str">
            <v>Eco Labels 815</v>
          </cell>
          <cell r="M395" t="str">
            <v>Same Day</v>
          </cell>
          <cell r="N395">
            <v>2</v>
          </cell>
          <cell r="O395">
            <v>1936.91</v>
          </cell>
          <cell r="P395">
            <v>0.05</v>
          </cell>
          <cell r="S395">
            <v>712.67</v>
          </cell>
          <cell r="T395" t="str">
            <v>Paid</v>
          </cell>
          <cell r="U395" t="str">
            <v>Completed</v>
          </cell>
        </row>
        <row r="396">
          <cell r="A396" t="str">
            <v>ORD-2024-10395</v>
          </cell>
          <cell r="B396" t="str">
            <v>03-04-2024</v>
          </cell>
          <cell r="C396" t="str">
            <v>04 Apr 2024</v>
          </cell>
          <cell r="D396" t="str">
            <v>CUST-8444</v>
          </cell>
          <cell r="E396" t="str">
            <v>Kabir Singh</v>
          </cell>
          <cell r="F396" t="str">
            <v>Consumer</v>
          </cell>
          <cell r="G396" t="str">
            <v>West</v>
          </cell>
          <cell r="H396" t="str">
            <v>Maharashtra</v>
          </cell>
          <cell r="I396" t="str">
            <v>Mumbai</v>
          </cell>
          <cell r="J396" t="str">
            <v>Furniture</v>
          </cell>
          <cell r="K396" t="str">
            <v>Furnishings</v>
          </cell>
          <cell r="L396" t="str">
            <v>Prime Furnishings 879</v>
          </cell>
          <cell r="M396" t="str">
            <v>First Class</v>
          </cell>
          <cell r="N396">
            <v>7</v>
          </cell>
          <cell r="O396">
            <v>3945.21</v>
          </cell>
          <cell r="P396">
            <v>0</v>
          </cell>
          <cell r="S396">
            <v>6391.21</v>
          </cell>
          <cell r="T396" t="str">
            <v>Paid</v>
          </cell>
          <cell r="U396" t="str">
            <v>Completed</v>
          </cell>
        </row>
        <row r="397">
          <cell r="A397" t="str">
            <v>ORD-2024-10396</v>
          </cell>
          <cell r="B397" t="str">
            <v>06/06/2024</v>
          </cell>
          <cell r="C397" t="str">
            <v>06/07/2024</v>
          </cell>
          <cell r="D397" t="str">
            <v>CUST-4765</v>
          </cell>
          <cell r="E397" t="str">
            <v>Rahul Verma</v>
          </cell>
          <cell r="F397" t="str">
            <v>Home Office</v>
          </cell>
          <cell r="G397" t="str">
            <v>South</v>
          </cell>
          <cell r="H397" t="str">
            <v>Tamil Nadu</v>
          </cell>
          <cell r="I397" t="str">
            <v>Chennai</v>
          </cell>
          <cell r="J397" t="str">
            <v>Furniture</v>
          </cell>
          <cell r="K397" t="str">
            <v>Tables</v>
          </cell>
          <cell r="L397" t="str">
            <v>Pro Tables 142</v>
          </cell>
          <cell r="M397" t="str">
            <v>Same Day</v>
          </cell>
          <cell r="N397">
            <v>7</v>
          </cell>
          <cell r="O397">
            <v>861.91</v>
          </cell>
          <cell r="P397">
            <v>0.05</v>
          </cell>
          <cell r="S397">
            <v>1616.14</v>
          </cell>
          <cell r="T397" t="str">
            <v>Paid</v>
          </cell>
          <cell r="U397" t="str">
            <v>Completed</v>
          </cell>
        </row>
        <row r="398">
          <cell r="A398" t="str">
            <v>ORD-2025-10397</v>
          </cell>
          <cell r="B398" t="str">
            <v>2025-04-14</v>
          </cell>
          <cell r="C398" t="str">
            <v>22 Apr 2025</v>
          </cell>
          <cell r="D398" t="str">
            <v>CUST-2280</v>
          </cell>
          <cell r="E398" t="str">
            <v>Aditi Sen</v>
          </cell>
          <cell r="F398" t="str">
            <v>Small Business</v>
          </cell>
          <cell r="G398" t="str">
            <v>South</v>
          </cell>
          <cell r="H398" t="str">
            <v>Karnataka</v>
          </cell>
          <cell r="I398" t="str">
            <v>Bengaluru</v>
          </cell>
          <cell r="J398" t="str">
            <v>Technology</v>
          </cell>
          <cell r="K398" t="str">
            <v>Machines</v>
          </cell>
          <cell r="L398" t="str">
            <v>Prime Machines 267</v>
          </cell>
          <cell r="M398" t="str">
            <v>Standard Class</v>
          </cell>
          <cell r="N398">
            <v>2</v>
          </cell>
          <cell r="O398">
            <v>638.73</v>
          </cell>
          <cell r="P398">
            <v>0.05</v>
          </cell>
          <cell r="S398">
            <v>257.37</v>
          </cell>
          <cell r="T398" t="str">
            <v>Paid</v>
          </cell>
          <cell r="U398" t="str">
            <v>Completed</v>
          </cell>
        </row>
        <row r="399">
          <cell r="A399" t="str">
            <v>ORD-2025-10398</v>
          </cell>
          <cell r="B399" t="str">
            <v>09 Jun 2025</v>
          </cell>
          <cell r="C399" t="str">
            <v>10 Jun 2025</v>
          </cell>
          <cell r="D399" t="str">
            <v>CUST-3177</v>
          </cell>
          <cell r="E399" t="str">
            <v>Sneha Kapoor</v>
          </cell>
          <cell r="F399" t="str">
            <v>Small Business</v>
          </cell>
          <cell r="G399" t="str">
            <v>North</v>
          </cell>
          <cell r="H399" t="str">
            <v>Uttar Pradesh</v>
          </cell>
          <cell r="I399" t="str">
            <v>Noida</v>
          </cell>
          <cell r="J399" t="str">
            <v>Furniture</v>
          </cell>
          <cell r="K399" t="str">
            <v>Tables</v>
          </cell>
          <cell r="L399" t="str">
            <v>Eco Tables 378</v>
          </cell>
          <cell r="M399" t="str">
            <v>Second Class</v>
          </cell>
          <cell r="N399">
            <v>2</v>
          </cell>
          <cell r="O399">
            <v>1731.88</v>
          </cell>
          <cell r="P399">
            <v>0</v>
          </cell>
          <cell r="S399">
            <v>1320.02</v>
          </cell>
          <cell r="T399" t="str">
            <v>Paid</v>
          </cell>
          <cell r="U399" t="str">
            <v>Completed</v>
          </cell>
        </row>
        <row r="400">
          <cell r="A400" t="str">
            <v>ORD-2024-10399</v>
          </cell>
          <cell r="B400" t="str">
            <v>19 Jul 2024</v>
          </cell>
          <cell r="C400" t="str">
            <v>2024-07-26</v>
          </cell>
          <cell r="D400" t="str">
            <v>CUST-4718</v>
          </cell>
          <cell r="E400" t="str">
            <v>Vikram Iyer</v>
          </cell>
          <cell r="F400" t="str">
            <v>Corporate</v>
          </cell>
          <cell r="G400" t="str">
            <v>North</v>
          </cell>
          <cell r="H400" t="str">
            <v>Punjab</v>
          </cell>
          <cell r="I400" t="str">
            <v>Ludhiana</v>
          </cell>
          <cell r="J400" t="str">
            <v>Technology</v>
          </cell>
          <cell r="K400" t="str">
            <v>Machines</v>
          </cell>
          <cell r="L400" t="str">
            <v>Elite Machines 523</v>
          </cell>
          <cell r="M400" t="str">
            <v>Same Day</v>
          </cell>
          <cell r="N400">
            <v>2</v>
          </cell>
          <cell r="O400">
            <v>1263.6500000000001</v>
          </cell>
          <cell r="P400">
            <v>0.2</v>
          </cell>
          <cell r="S400">
            <v>666.62</v>
          </cell>
          <cell r="T400" t="str">
            <v>Paid</v>
          </cell>
          <cell r="U400" t="str">
            <v>Completed</v>
          </cell>
        </row>
        <row r="401">
          <cell r="A401" t="str">
            <v>ORD-2025-10400</v>
          </cell>
          <cell r="B401" t="str">
            <v>04/24/2025</v>
          </cell>
          <cell r="C401" t="str">
            <v>2025-04-29</v>
          </cell>
          <cell r="D401" t="str">
            <v>CUST-5647</v>
          </cell>
          <cell r="E401" t="str">
            <v>Diya Patel</v>
          </cell>
          <cell r="F401" t="str">
            <v>Small Business</v>
          </cell>
          <cell r="G401" t="str">
            <v>South</v>
          </cell>
          <cell r="H401" t="str">
            <v>Andhra Pradesh</v>
          </cell>
          <cell r="I401" t="str">
            <v>Vijayawada</v>
          </cell>
          <cell r="J401" t="str">
            <v>Office Supplies</v>
          </cell>
          <cell r="K401" t="str">
            <v>Paper</v>
          </cell>
          <cell r="L401" t="str">
            <v>Elite Paper 308</v>
          </cell>
          <cell r="M401" t="str">
            <v>Same Day</v>
          </cell>
          <cell r="N401">
            <v>1</v>
          </cell>
          <cell r="O401">
            <v>4358.5</v>
          </cell>
          <cell r="P401">
            <v>0.25</v>
          </cell>
          <cell r="S401">
            <v>1275.1400000000001</v>
          </cell>
          <cell r="T401" t="str">
            <v>Paid</v>
          </cell>
          <cell r="U401" t="str">
            <v>Completed</v>
          </cell>
        </row>
        <row r="402">
          <cell r="A402" t="str">
            <v>ORD-2025-10401</v>
          </cell>
          <cell r="B402" t="str">
            <v>06-06-2025</v>
          </cell>
          <cell r="C402" t="str">
            <v>2025-06-11</v>
          </cell>
          <cell r="D402" t="str">
            <v>CUST-7150</v>
          </cell>
          <cell r="E402" t="str">
            <v>Sneha Kapoor</v>
          </cell>
          <cell r="F402" t="str">
            <v>Small Business</v>
          </cell>
          <cell r="G402" t="str">
            <v>North</v>
          </cell>
          <cell r="H402" t="str">
            <v>Uttar Pradesh</v>
          </cell>
          <cell r="I402" t="str">
            <v>Noida</v>
          </cell>
          <cell r="J402" t="str">
            <v>Office Supplies</v>
          </cell>
          <cell r="K402" t="str">
            <v>Paper</v>
          </cell>
          <cell r="L402" t="str">
            <v>Prime Paper 851</v>
          </cell>
          <cell r="M402" t="str">
            <v>Same Day</v>
          </cell>
          <cell r="N402">
            <v>7</v>
          </cell>
          <cell r="O402">
            <v>878.09</v>
          </cell>
          <cell r="P402">
            <v>-0.1</v>
          </cell>
          <cell r="S402">
            <v>961.92</v>
          </cell>
          <cell r="T402" t="str">
            <v>Paid</v>
          </cell>
          <cell r="U402" t="str">
            <v>Completed</v>
          </cell>
        </row>
        <row r="403">
          <cell r="A403" t="str">
            <v>ORD-2025-10402</v>
          </cell>
          <cell r="B403" t="str">
            <v>09 Mar 2025</v>
          </cell>
          <cell r="C403" t="str">
            <v>16-03-2025</v>
          </cell>
          <cell r="D403" t="str">
            <v>CUST-6694</v>
          </cell>
          <cell r="E403" t="str">
            <v>Arjun Bose</v>
          </cell>
          <cell r="F403" t="str">
            <v>Small Business</v>
          </cell>
          <cell r="G403" t="str">
            <v>East</v>
          </cell>
          <cell r="H403" t="str">
            <v>Jharkhand</v>
          </cell>
          <cell r="I403" t="str">
            <v>Ranchi</v>
          </cell>
          <cell r="J403" t="str">
            <v>Furniture</v>
          </cell>
          <cell r="K403" t="str">
            <v>Tables</v>
          </cell>
          <cell r="L403" t="str">
            <v>Classic Tables 151</v>
          </cell>
          <cell r="M403" t="str">
            <v>Same Day</v>
          </cell>
          <cell r="N403">
            <v>3</v>
          </cell>
          <cell r="O403">
            <v>2625.85</v>
          </cell>
          <cell r="P403">
            <v>0</v>
          </cell>
          <cell r="S403">
            <v>2314.7800000000002</v>
          </cell>
          <cell r="T403" t="str">
            <v>Paid</v>
          </cell>
          <cell r="U403" t="str">
            <v>Completed</v>
          </cell>
        </row>
        <row r="404">
          <cell r="A404" t="str">
            <v>ORD-2024-10403</v>
          </cell>
          <cell r="B404" t="str">
            <v>22 Mar 2024</v>
          </cell>
          <cell r="C404" t="str">
            <v>03/22/2024</v>
          </cell>
          <cell r="D404" t="str">
            <v>CUST-7680</v>
          </cell>
          <cell r="E404" t="str">
            <v>Priya Menon</v>
          </cell>
          <cell r="F404" t="str">
            <v>Small Business</v>
          </cell>
          <cell r="G404" t="str">
            <v>South</v>
          </cell>
          <cell r="H404" t="str">
            <v>Karnataka</v>
          </cell>
          <cell r="I404" t="str">
            <v>Bengaluru</v>
          </cell>
          <cell r="J404" t="str">
            <v>Furniture</v>
          </cell>
          <cell r="K404" t="str">
            <v>Tables</v>
          </cell>
          <cell r="L404" t="str">
            <v>Smart Tables 829</v>
          </cell>
          <cell r="N404">
            <v>3</v>
          </cell>
          <cell r="O404">
            <v>1365.26</v>
          </cell>
          <cell r="P404">
            <v>0</v>
          </cell>
          <cell r="S404">
            <v>1288.01</v>
          </cell>
          <cell r="T404" t="str">
            <v>Paid</v>
          </cell>
          <cell r="U404" t="str">
            <v>Completed</v>
          </cell>
        </row>
        <row r="405">
          <cell r="A405" t="str">
            <v>ORD-2024-10404</v>
          </cell>
          <cell r="B405" t="str">
            <v>09/30/2024</v>
          </cell>
          <cell r="C405" t="str">
            <v>04-10-2024</v>
          </cell>
          <cell r="D405" t="str">
            <v>CUST-2700</v>
          </cell>
          <cell r="E405" t="str">
            <v>Arjun Bose</v>
          </cell>
          <cell r="F405" t="str">
            <v>Small Business</v>
          </cell>
          <cell r="G405" t="str">
            <v>South</v>
          </cell>
          <cell r="H405" t="str">
            <v>Kerala</v>
          </cell>
          <cell r="I405" t="str">
            <v>Kochi</v>
          </cell>
          <cell r="J405" t="str">
            <v>Office Supplies</v>
          </cell>
          <cell r="K405" t="str">
            <v>PAPER</v>
          </cell>
          <cell r="L405" t="str">
            <v>Classic Paper 237</v>
          </cell>
          <cell r="M405" t="str">
            <v>Same Day</v>
          </cell>
          <cell r="N405">
            <v>5</v>
          </cell>
          <cell r="O405">
            <v>3512.25</v>
          </cell>
          <cell r="P405">
            <v>0.05</v>
          </cell>
          <cell r="S405">
            <v>6382.03</v>
          </cell>
          <cell r="T405" t="str">
            <v>Paid</v>
          </cell>
          <cell r="U405" t="str">
            <v>Returned</v>
          </cell>
        </row>
        <row r="406">
          <cell r="A406" t="str">
            <v>ORD-2024-10405</v>
          </cell>
          <cell r="B406" t="str">
            <v>27 Jan 2024</v>
          </cell>
          <cell r="C406" t="str">
            <v>02/03/2024</v>
          </cell>
          <cell r="D406" t="str">
            <v>CUST-2904</v>
          </cell>
          <cell r="E406" t="str">
            <v>Aditi Sen</v>
          </cell>
          <cell r="F406" t="str">
            <v>Corporate</v>
          </cell>
          <cell r="G406" t="str">
            <v>West</v>
          </cell>
          <cell r="H406" t="str">
            <v>Rajasthan</v>
          </cell>
          <cell r="I406" t="str">
            <v>Udaipur</v>
          </cell>
          <cell r="J406" t="str">
            <v>Furniture</v>
          </cell>
          <cell r="K406" t="str">
            <v>Chairs</v>
          </cell>
          <cell r="L406" t="str">
            <v>Prime Chairs 891</v>
          </cell>
          <cell r="M406" t="str">
            <v>Same Day</v>
          </cell>
          <cell r="N406">
            <v>3</v>
          </cell>
          <cell r="O406">
            <v>359.61</v>
          </cell>
          <cell r="P406">
            <v>0</v>
          </cell>
          <cell r="S406">
            <v>152.47999999999999</v>
          </cell>
          <cell r="T406" t="str">
            <v>Paid</v>
          </cell>
          <cell r="U406" t="str">
            <v>Completed</v>
          </cell>
        </row>
        <row r="407">
          <cell r="A407" t="str">
            <v>ORD-2024-10406</v>
          </cell>
          <cell r="B407" t="str">
            <v>09/23/2024</v>
          </cell>
          <cell r="C407" t="str">
            <v>24 Sep 2024</v>
          </cell>
          <cell r="D407" t="str">
            <v>CUST-9961</v>
          </cell>
          <cell r="E407" t="str">
            <v>Aditi Sen</v>
          </cell>
          <cell r="F407" t="str">
            <v>Home Office</v>
          </cell>
          <cell r="G407" t="str">
            <v>West</v>
          </cell>
          <cell r="H407" t="str">
            <v>Gujarat</v>
          </cell>
          <cell r="I407" t="str">
            <v>Ahmedabad</v>
          </cell>
          <cell r="J407" t="str">
            <v>Furniture</v>
          </cell>
          <cell r="K407" t="str">
            <v>Bookcases</v>
          </cell>
          <cell r="L407" t="str">
            <v>Max Bookcases 812</v>
          </cell>
          <cell r="N407">
            <v>7</v>
          </cell>
          <cell r="O407">
            <v>3878.01</v>
          </cell>
          <cell r="P407">
            <v>0.1</v>
          </cell>
          <cell r="S407">
            <v>6229.1</v>
          </cell>
          <cell r="T407" t="str">
            <v>Paid</v>
          </cell>
          <cell r="U407" t="str">
            <v>Completed</v>
          </cell>
        </row>
        <row r="408">
          <cell r="A408" t="str">
            <v>ORD-2025-10407</v>
          </cell>
          <cell r="B408" t="str">
            <v>25 Feb 2025</v>
          </cell>
          <cell r="C408" t="str">
            <v>25 Feb 2025</v>
          </cell>
          <cell r="D408" t="str">
            <v>CUST-9909</v>
          </cell>
          <cell r="E408" t="str">
            <v>Kabir Singh</v>
          </cell>
          <cell r="F408" t="str">
            <v>Small Business</v>
          </cell>
          <cell r="G408" t="str">
            <v>West</v>
          </cell>
          <cell r="H408" t="str">
            <v>Goa</v>
          </cell>
          <cell r="I408" t="str">
            <v>Panaji</v>
          </cell>
          <cell r="J408" t="str">
            <v>Furniture</v>
          </cell>
          <cell r="K408" t="str">
            <v>Furnishings</v>
          </cell>
          <cell r="L408" t="str">
            <v>Basic Furnishings 164</v>
          </cell>
          <cell r="M408" t="str">
            <v>Standard Class</v>
          </cell>
          <cell r="N408">
            <v>2</v>
          </cell>
          <cell r="O408">
            <v>3924.2</v>
          </cell>
          <cell r="P408">
            <v>0.25</v>
          </cell>
          <cell r="S408">
            <v>2264.54</v>
          </cell>
          <cell r="T408" t="str">
            <v>Pending</v>
          </cell>
          <cell r="U408" t="str">
            <v>Returned</v>
          </cell>
        </row>
        <row r="409">
          <cell r="A409" t="str">
            <v>ORD-2024-10408</v>
          </cell>
          <cell r="B409" t="str">
            <v>12 May 2024</v>
          </cell>
          <cell r="C409" t="str">
            <v>13 May 2024</v>
          </cell>
          <cell r="D409" t="str">
            <v>CUST-8520</v>
          </cell>
          <cell r="E409" t="str">
            <v>Rahul Verma</v>
          </cell>
          <cell r="F409" t="str">
            <v>Corporate</v>
          </cell>
          <cell r="G409" t="str">
            <v>West</v>
          </cell>
          <cell r="H409" t="str">
            <v>Goa</v>
          </cell>
          <cell r="I409" t="str">
            <v>Panaji</v>
          </cell>
          <cell r="J409" t="str">
            <v>Office Supplies</v>
          </cell>
          <cell r="K409" t="str">
            <v>Labels</v>
          </cell>
          <cell r="L409" t="str">
            <v>Smart Labels 261</v>
          </cell>
          <cell r="M409" t="str">
            <v>Second Class</v>
          </cell>
          <cell r="N409">
            <v>3</v>
          </cell>
          <cell r="O409">
            <v>2644.55</v>
          </cell>
          <cell r="P409">
            <v>0</v>
          </cell>
          <cell r="S409">
            <v>2235.23</v>
          </cell>
          <cell r="T409" t="str">
            <v>Paid</v>
          </cell>
          <cell r="U409" t="str">
            <v>Completed</v>
          </cell>
        </row>
        <row r="410">
          <cell r="A410" t="str">
            <v>ORD-2025-10409</v>
          </cell>
          <cell r="B410" t="str">
            <v>08/01/2025</v>
          </cell>
          <cell r="C410" t="str">
            <v>08/03/2025</v>
          </cell>
          <cell r="D410" t="str">
            <v>CUST-5036</v>
          </cell>
          <cell r="E410" t="str">
            <v>Sneha Kapoor</v>
          </cell>
          <cell r="F410" t="str">
            <v>Consumer</v>
          </cell>
          <cell r="G410" t="str">
            <v>West</v>
          </cell>
          <cell r="H410" t="str">
            <v>Maharashtra</v>
          </cell>
          <cell r="I410" t="str">
            <v>Mumbai</v>
          </cell>
          <cell r="J410" t="str">
            <v>Furniture</v>
          </cell>
          <cell r="K410" t="str">
            <v>Chairs</v>
          </cell>
          <cell r="L410" t="str">
            <v>Max Chairs 765</v>
          </cell>
          <cell r="M410" t="str">
            <v>First Class</v>
          </cell>
          <cell r="N410">
            <v>4</v>
          </cell>
          <cell r="O410">
            <v>1773.46</v>
          </cell>
          <cell r="P410">
            <v>0</v>
          </cell>
          <cell r="S410">
            <v>2506.35</v>
          </cell>
          <cell r="T410" t="str">
            <v>Failed</v>
          </cell>
          <cell r="U410" t="str">
            <v>Returned</v>
          </cell>
        </row>
        <row r="411">
          <cell r="A411" t="str">
            <v>ORD-2025-10410</v>
          </cell>
          <cell r="B411" t="str">
            <v>13-02-2025</v>
          </cell>
          <cell r="C411" t="str">
            <v>15-02-2025</v>
          </cell>
          <cell r="D411" t="str">
            <v>CUST-7721</v>
          </cell>
          <cell r="E411" t="str">
            <v>Karan Malhotra</v>
          </cell>
          <cell r="F411" t="str">
            <v>Consumer</v>
          </cell>
          <cell r="G411" t="str">
            <v>East</v>
          </cell>
          <cell r="H411" t="str">
            <v>Assam</v>
          </cell>
          <cell r="I411" t="str">
            <v>Guwahati</v>
          </cell>
          <cell r="J411" t="str">
            <v>Technology</v>
          </cell>
          <cell r="K411" t="str">
            <v>Accessories</v>
          </cell>
          <cell r="L411" t="str">
            <v>Pro Accessories 686</v>
          </cell>
          <cell r="M411" t="str">
            <v>Same Day</v>
          </cell>
          <cell r="N411">
            <v>1</v>
          </cell>
          <cell r="O411">
            <v>3025.46</v>
          </cell>
          <cell r="P411">
            <v>0.25</v>
          </cell>
          <cell r="S411">
            <v>675.51</v>
          </cell>
          <cell r="T411" t="str">
            <v>Refunded</v>
          </cell>
          <cell r="U411" t="str">
            <v>Returned</v>
          </cell>
        </row>
        <row r="412">
          <cell r="A412" t="str">
            <v>ORD-2024-10411</v>
          </cell>
          <cell r="B412" t="str">
            <v>2024-04-12</v>
          </cell>
          <cell r="C412" t="str">
            <v>20 Apr 2024</v>
          </cell>
          <cell r="D412" t="str">
            <v>CUST-9495</v>
          </cell>
          <cell r="E412" t="str">
            <v>Diya Patel</v>
          </cell>
          <cell r="F412" t="str">
            <v>Consumer</v>
          </cell>
          <cell r="G412" t="str">
            <v>West</v>
          </cell>
          <cell r="H412" t="str">
            <v>Goa</v>
          </cell>
          <cell r="I412" t="str">
            <v>Panaji</v>
          </cell>
          <cell r="J412" t="str">
            <v>Furniture</v>
          </cell>
          <cell r="K412" t="str">
            <v>Tables</v>
          </cell>
          <cell r="L412" t="str">
            <v>Smart Tables 100</v>
          </cell>
          <cell r="M412" t="str">
            <v>First Class</v>
          </cell>
          <cell r="N412">
            <v>9</v>
          </cell>
          <cell r="O412">
            <v>1302.6099999999999</v>
          </cell>
          <cell r="P412">
            <v>0.2</v>
          </cell>
          <cell r="S412">
            <v>2604.31</v>
          </cell>
          <cell r="T412" t="str">
            <v>Paid</v>
          </cell>
          <cell r="U412" t="str">
            <v>Completed</v>
          </cell>
        </row>
        <row r="413">
          <cell r="A413" t="str">
            <v>ORD-2025-10412</v>
          </cell>
          <cell r="B413" t="str">
            <v>2025-08-23</v>
          </cell>
          <cell r="C413" t="str">
            <v>2025-08-28</v>
          </cell>
          <cell r="D413" t="str">
            <v>CUST-2855</v>
          </cell>
          <cell r="E413" t="str">
            <v>Arjun Bose</v>
          </cell>
          <cell r="F413" t="str">
            <v>Home Office</v>
          </cell>
          <cell r="G413" t="str">
            <v>West</v>
          </cell>
          <cell r="H413" t="str">
            <v>Rajasthan</v>
          </cell>
          <cell r="I413" t="str">
            <v>Udaipur</v>
          </cell>
          <cell r="J413" t="str">
            <v>Furniture</v>
          </cell>
          <cell r="K413" t="str">
            <v>Tables</v>
          </cell>
          <cell r="L413" t="str">
            <v>Basic Tables 615</v>
          </cell>
          <cell r="M413" t="str">
            <v>First Class</v>
          </cell>
          <cell r="N413">
            <v>1</v>
          </cell>
          <cell r="O413">
            <v>4167.8100000000004</v>
          </cell>
          <cell r="P413">
            <v>0.2</v>
          </cell>
          <cell r="S413">
            <v>565.48</v>
          </cell>
          <cell r="T413" t="str">
            <v>Failed</v>
          </cell>
          <cell r="U413" t="str">
            <v>Returned</v>
          </cell>
        </row>
        <row r="414">
          <cell r="A414" t="str">
            <v>ORD-2024-10413</v>
          </cell>
          <cell r="B414" t="str">
            <v>2024-01-22</v>
          </cell>
          <cell r="C414" t="str">
            <v>30-01-2024</v>
          </cell>
          <cell r="D414" t="str">
            <v>CUST-4329</v>
          </cell>
          <cell r="E414" t="str">
            <v>Isha Nair</v>
          </cell>
          <cell r="F414" t="str">
            <v>Corporate</v>
          </cell>
          <cell r="G414" t="str">
            <v>South</v>
          </cell>
          <cell r="H414" t="str">
            <v>Karnataka</v>
          </cell>
          <cell r="I414" t="str">
            <v>Bengaluru</v>
          </cell>
          <cell r="J414" t="str">
            <v>Furniture</v>
          </cell>
          <cell r="K414" t="str">
            <v>Chairs</v>
          </cell>
          <cell r="L414" t="str">
            <v>Basic Chairs 790</v>
          </cell>
          <cell r="M414" t="str">
            <v>Same Day</v>
          </cell>
          <cell r="N414">
            <v>1</v>
          </cell>
          <cell r="O414">
            <v>2111.39</v>
          </cell>
          <cell r="P414">
            <v>0.25</v>
          </cell>
          <cell r="S414">
            <v>569.35</v>
          </cell>
          <cell r="T414" t="str">
            <v>Paid</v>
          </cell>
          <cell r="U414" t="str">
            <v>Completed</v>
          </cell>
        </row>
        <row r="415">
          <cell r="A415" t="str">
            <v>ORD-2025-10414</v>
          </cell>
          <cell r="B415" t="str">
            <v>13-08-2025</v>
          </cell>
          <cell r="C415" t="str">
            <v>17-08-2025</v>
          </cell>
          <cell r="D415" t="str">
            <v>CUST-5094</v>
          </cell>
          <cell r="E415" t="str">
            <v>Neha Gupta</v>
          </cell>
          <cell r="F415" t="str">
            <v>Home Office</v>
          </cell>
          <cell r="G415" t="str">
            <v>West</v>
          </cell>
          <cell r="H415" t="str">
            <v>Madhya Pradesh</v>
          </cell>
          <cell r="I415" t="str">
            <v>Indore</v>
          </cell>
          <cell r="J415" t="str">
            <v>Technology</v>
          </cell>
          <cell r="K415" t="str">
            <v>Accessories</v>
          </cell>
          <cell r="L415" t="str">
            <v>Smart Accessories 226</v>
          </cell>
          <cell r="M415" t="str">
            <v>Second Class</v>
          </cell>
          <cell r="N415">
            <v>8</v>
          </cell>
          <cell r="O415">
            <v>1918.23</v>
          </cell>
          <cell r="P415">
            <v>0</v>
          </cell>
          <cell r="S415">
            <v>4610.51</v>
          </cell>
          <cell r="T415" t="str">
            <v>Pending</v>
          </cell>
          <cell r="U415" t="str">
            <v>Cancelled</v>
          </cell>
        </row>
        <row r="416">
          <cell r="A416" t="str">
            <v>ORD-2024-10415</v>
          </cell>
          <cell r="B416" t="str">
            <v>2024-08-29</v>
          </cell>
          <cell r="C416" t="str">
            <v>08/30/2024</v>
          </cell>
          <cell r="D416" t="str">
            <v>CUST-4194</v>
          </cell>
          <cell r="E416" t="str">
            <v>Arjun Bose</v>
          </cell>
          <cell r="F416" t="str">
            <v>Home Office</v>
          </cell>
          <cell r="G416" t="str">
            <v>East</v>
          </cell>
          <cell r="H416" t="str">
            <v>Assam</v>
          </cell>
          <cell r="I416" t="str">
            <v>Guwahati</v>
          </cell>
          <cell r="J416" t="str">
            <v>Office Supplies</v>
          </cell>
          <cell r="K416" t="str">
            <v>Storage</v>
          </cell>
          <cell r="L416" t="str">
            <v>Max Storage 692</v>
          </cell>
          <cell r="M416" t="str">
            <v>First Class</v>
          </cell>
          <cell r="N416">
            <v>4</v>
          </cell>
          <cell r="O416">
            <v>2484.08</v>
          </cell>
          <cell r="P416">
            <v>0.05</v>
          </cell>
          <cell r="S416">
            <v>3920.11</v>
          </cell>
          <cell r="T416" t="str">
            <v>Paid</v>
          </cell>
          <cell r="U416" t="str">
            <v>Completed</v>
          </cell>
        </row>
        <row r="417">
          <cell r="A417" t="str">
            <v>ORD-2024-10416</v>
          </cell>
          <cell r="B417" t="str">
            <v>01/25/2024</v>
          </cell>
          <cell r="C417" t="str">
            <v>27 Jan 2024</v>
          </cell>
          <cell r="D417" t="str">
            <v>CUST-7087</v>
          </cell>
          <cell r="E417" t="str">
            <v>Aarav Sharma</v>
          </cell>
          <cell r="F417" t="str">
            <v>Corporate</v>
          </cell>
          <cell r="G417" t="str">
            <v>South</v>
          </cell>
          <cell r="H417" t="str">
            <v>Karnataka</v>
          </cell>
          <cell r="I417" t="str">
            <v>Bengaluru</v>
          </cell>
          <cell r="J417" t="str">
            <v>Office Supplies</v>
          </cell>
          <cell r="K417" t="str">
            <v>Storage</v>
          </cell>
          <cell r="L417" t="str">
            <v>Basic Storage 684</v>
          </cell>
          <cell r="M417" t="str">
            <v>Same Day</v>
          </cell>
          <cell r="N417">
            <v>7</v>
          </cell>
          <cell r="O417">
            <v>1727.26</v>
          </cell>
          <cell r="P417">
            <v>0.15</v>
          </cell>
          <cell r="S417">
            <v>2370.6999999999998</v>
          </cell>
          <cell r="T417" t="str">
            <v>Paid</v>
          </cell>
          <cell r="U417" t="str">
            <v>Returned</v>
          </cell>
        </row>
        <row r="418">
          <cell r="A418" t="str">
            <v>ORD-2025-10417</v>
          </cell>
          <cell r="B418" t="str">
            <v>2025-01-08</v>
          </cell>
          <cell r="C418" t="str">
            <v>16-01-2025</v>
          </cell>
          <cell r="D418" t="str">
            <v>CUST-7608</v>
          </cell>
          <cell r="E418" t="str">
            <v>Neha Gupta</v>
          </cell>
          <cell r="F418" t="str">
            <v>Consumer</v>
          </cell>
          <cell r="G418" t="str">
            <v>South</v>
          </cell>
          <cell r="H418" t="str">
            <v>Telangana</v>
          </cell>
          <cell r="I418" t="str">
            <v>Hyderabad</v>
          </cell>
          <cell r="J418" t="str">
            <v>Furniture</v>
          </cell>
          <cell r="K418" t="str">
            <v>Furnishings</v>
          </cell>
          <cell r="L418" t="str">
            <v>Smart Furnishings 152</v>
          </cell>
          <cell r="M418" t="str">
            <v>First Class</v>
          </cell>
          <cell r="N418">
            <v>8</v>
          </cell>
          <cell r="O418">
            <v>638.95000000000005</v>
          </cell>
          <cell r="P418">
            <v>0.25</v>
          </cell>
          <cell r="S418">
            <v>947.35</v>
          </cell>
          <cell r="T418" t="str">
            <v>Paid</v>
          </cell>
          <cell r="U418" t="str">
            <v>Completed</v>
          </cell>
        </row>
        <row r="419">
          <cell r="A419" t="str">
            <v>ORD-2025-10418</v>
          </cell>
          <cell r="B419" t="str">
            <v>01/29/2025</v>
          </cell>
          <cell r="C419" t="str">
            <v>02/05/2025</v>
          </cell>
          <cell r="D419" t="str">
            <v>CUST-5269</v>
          </cell>
          <cell r="E419" t="str">
            <v>Mira Das</v>
          </cell>
          <cell r="F419" t="str">
            <v>Consumer</v>
          </cell>
          <cell r="G419" t="str">
            <v>West</v>
          </cell>
          <cell r="H419" t="str">
            <v>Gujarat</v>
          </cell>
          <cell r="I419" t="str">
            <v>Ahmedabad</v>
          </cell>
          <cell r="J419" t="str">
            <v>Office Supplies</v>
          </cell>
          <cell r="K419" t="str">
            <v>Art</v>
          </cell>
          <cell r="L419" t="str">
            <v>Max Art 736</v>
          </cell>
          <cell r="M419" t="str">
            <v>First Class</v>
          </cell>
          <cell r="N419">
            <v>6</v>
          </cell>
          <cell r="O419">
            <v>3863</v>
          </cell>
          <cell r="P419">
            <v>0.2</v>
          </cell>
          <cell r="S419">
            <v>7348.65</v>
          </cell>
          <cell r="T419" t="str">
            <v>Paid</v>
          </cell>
          <cell r="U419" t="str">
            <v>Completed</v>
          </cell>
        </row>
        <row r="420">
          <cell r="A420" t="str">
            <v>ORD-2024-10419</v>
          </cell>
          <cell r="B420" t="str">
            <v>11/09/2024</v>
          </cell>
          <cell r="C420" t="str">
            <v>11/17/2024</v>
          </cell>
          <cell r="D420" t="str">
            <v>CUST-7925</v>
          </cell>
          <cell r="E420" t="str">
            <v>Sneha Kapoor</v>
          </cell>
          <cell r="F420" t="str">
            <v>Corporate</v>
          </cell>
          <cell r="G420" t="str">
            <v>East</v>
          </cell>
          <cell r="H420" t="str">
            <v>Odisha</v>
          </cell>
          <cell r="I420" t="str">
            <v>Bhubaneswar</v>
          </cell>
          <cell r="J420" t="str">
            <v>Technology</v>
          </cell>
          <cell r="K420" t="str">
            <v>Copiers</v>
          </cell>
          <cell r="L420" t="str">
            <v>Elite Copiers 971</v>
          </cell>
          <cell r="M420" t="str">
            <v>Standard Class</v>
          </cell>
          <cell r="N420">
            <v>6</v>
          </cell>
          <cell r="O420">
            <v>3660.4</v>
          </cell>
          <cell r="P420">
            <v>0</v>
          </cell>
          <cell r="S420">
            <v>6630.41</v>
          </cell>
          <cell r="T420" t="str">
            <v>Failed</v>
          </cell>
          <cell r="U420" t="str">
            <v>Cancelled</v>
          </cell>
        </row>
        <row r="421">
          <cell r="A421" t="str">
            <v>ORD-2025-10420</v>
          </cell>
          <cell r="B421" t="str">
            <v>26-09-2025</v>
          </cell>
          <cell r="C421" t="str">
            <v>09/30/2025</v>
          </cell>
          <cell r="D421" t="str">
            <v>CUST-6552</v>
          </cell>
          <cell r="E421" t="str">
            <v>Sneha Kapoor</v>
          </cell>
          <cell r="F421" t="str">
            <v>Home Office</v>
          </cell>
          <cell r="G421" t="str">
            <v>North</v>
          </cell>
          <cell r="H421" t="str">
            <v>Haryana</v>
          </cell>
          <cell r="I421" t="str">
            <v>Gurugram</v>
          </cell>
          <cell r="J421" t="str">
            <v>Technology</v>
          </cell>
          <cell r="K421" t="str">
            <v>Phones</v>
          </cell>
          <cell r="L421" t="str">
            <v>Classic Phones 940</v>
          </cell>
          <cell r="M421" t="str">
            <v>Same Day</v>
          </cell>
          <cell r="N421">
            <v>2</v>
          </cell>
          <cell r="O421">
            <v>688.83</v>
          </cell>
          <cell r="P421">
            <v>0.05</v>
          </cell>
          <cell r="S421">
            <v>465.78</v>
          </cell>
          <cell r="T421" t="str">
            <v>Paid</v>
          </cell>
          <cell r="U421" t="str">
            <v>Completed</v>
          </cell>
        </row>
        <row r="422">
          <cell r="A422" t="str">
            <v>ORD-2025-10421</v>
          </cell>
          <cell r="B422" t="str">
            <v>18-03-2025</v>
          </cell>
          <cell r="C422" t="str">
            <v>2025-03-19</v>
          </cell>
          <cell r="D422" t="str">
            <v>CUST-7131</v>
          </cell>
          <cell r="E422" t="str">
            <v>Isha Nair</v>
          </cell>
          <cell r="F422" t="str">
            <v>Corporate</v>
          </cell>
          <cell r="G422" t="str">
            <v>South</v>
          </cell>
          <cell r="H422" t="str">
            <v>Tamil Nadu</v>
          </cell>
          <cell r="I422" t="str">
            <v>Chennai</v>
          </cell>
          <cell r="J422" t="str">
            <v>Technology</v>
          </cell>
          <cell r="K422" t="str">
            <v>Machines</v>
          </cell>
          <cell r="L422" t="str">
            <v>Pro Machines 579</v>
          </cell>
          <cell r="M422" t="str">
            <v>Standard Class</v>
          </cell>
          <cell r="N422">
            <v>2</v>
          </cell>
          <cell r="O422">
            <v>1209.99</v>
          </cell>
          <cell r="P422">
            <v>0.25</v>
          </cell>
          <cell r="S422">
            <v>694.93</v>
          </cell>
          <cell r="T422" t="str">
            <v>Pending</v>
          </cell>
          <cell r="U422" t="str">
            <v>Cancelled</v>
          </cell>
        </row>
        <row r="423">
          <cell r="A423" t="str">
            <v>ORD-2025-10422</v>
          </cell>
          <cell r="B423" t="str">
            <v>06/14/2025</v>
          </cell>
          <cell r="C423" t="str">
            <v>19 Jun 2025</v>
          </cell>
          <cell r="D423" t="str">
            <v>CUST-2779</v>
          </cell>
          <cell r="E423" t="str">
            <v>Rohan Mehta</v>
          </cell>
          <cell r="F423" t="str">
            <v>Small Business</v>
          </cell>
          <cell r="G423" t="str">
            <v>North</v>
          </cell>
          <cell r="H423" t="str">
            <v>Delhi</v>
          </cell>
          <cell r="I423" t="str">
            <v>New Delhi</v>
          </cell>
          <cell r="J423" t="str">
            <v>Office Supplies</v>
          </cell>
          <cell r="K423" t="str">
            <v>Binders</v>
          </cell>
          <cell r="L423" t="str">
            <v>Elite Binders 943</v>
          </cell>
          <cell r="M423" t="str">
            <v>Same Day</v>
          </cell>
          <cell r="N423">
            <v>3</v>
          </cell>
          <cell r="O423">
            <v>1037.45</v>
          </cell>
          <cell r="P423">
            <v>0.2</v>
          </cell>
          <cell r="S423">
            <v>782.36</v>
          </cell>
          <cell r="T423" t="str">
            <v>Pending</v>
          </cell>
          <cell r="U423" t="str">
            <v>Returned</v>
          </cell>
        </row>
        <row r="424">
          <cell r="A424" t="str">
            <v>ORD-2025-10423</v>
          </cell>
          <cell r="B424" t="str">
            <v>09/03/2025</v>
          </cell>
          <cell r="C424" t="str">
            <v>06 Sep 2025</v>
          </cell>
          <cell r="D424" t="str">
            <v>CUST-6077</v>
          </cell>
          <cell r="E424" t="str">
            <v>Kabir Singh</v>
          </cell>
          <cell r="F424" t="str">
            <v>Consumer</v>
          </cell>
          <cell r="G424" t="str">
            <v>West</v>
          </cell>
          <cell r="H424" t="str">
            <v>Madhya Pradesh</v>
          </cell>
          <cell r="I424" t="str">
            <v>Indore</v>
          </cell>
          <cell r="J424" t="str">
            <v>Technology</v>
          </cell>
          <cell r="K424" t="str">
            <v>Copiers</v>
          </cell>
          <cell r="L424" t="str">
            <v>Elite Copiers 474</v>
          </cell>
          <cell r="M424" t="str">
            <v>Same Day</v>
          </cell>
          <cell r="N424">
            <v>7</v>
          </cell>
          <cell r="O424">
            <v>688.85</v>
          </cell>
          <cell r="P424">
            <v>0.15</v>
          </cell>
          <cell r="S424">
            <v>1420.6</v>
          </cell>
          <cell r="T424" t="str">
            <v>Paid</v>
          </cell>
          <cell r="U424" t="str">
            <v>Completed</v>
          </cell>
        </row>
        <row r="425">
          <cell r="A425" t="str">
            <v>ORD-2024-10424</v>
          </cell>
          <cell r="B425" t="str">
            <v>2024-02-20</v>
          </cell>
          <cell r="C425" t="str">
            <v>27-02-2024</v>
          </cell>
          <cell r="D425" t="str">
            <v>CUST-6169</v>
          </cell>
          <cell r="E425" t="str">
            <v>Diya Patel</v>
          </cell>
          <cell r="F425" t="str">
            <v>Consumer</v>
          </cell>
          <cell r="G425" t="str">
            <v>South</v>
          </cell>
          <cell r="H425" t="str">
            <v>Kerala</v>
          </cell>
          <cell r="I425" t="str">
            <v>Kochi</v>
          </cell>
          <cell r="J425" t="str">
            <v>Technology</v>
          </cell>
          <cell r="K425" t="str">
            <v>Accessories</v>
          </cell>
          <cell r="L425" t="str">
            <v>Prime Accessories 236</v>
          </cell>
          <cell r="M425" t="str">
            <v>FIRST CLASS</v>
          </cell>
          <cell r="N425">
            <v>9</v>
          </cell>
          <cell r="O425">
            <v>3779.31</v>
          </cell>
          <cell r="P425">
            <v>0.2</v>
          </cell>
          <cell r="S425">
            <v>9270.6</v>
          </cell>
          <cell r="T425" t="str">
            <v>Paid</v>
          </cell>
          <cell r="U425" t="str">
            <v>Completed</v>
          </cell>
        </row>
        <row r="426">
          <cell r="A426" t="str">
            <v>ORD-2024-10425</v>
          </cell>
          <cell r="B426" t="str">
            <v>06/26/2024</v>
          </cell>
          <cell r="C426" t="str">
            <v>2024-06-29</v>
          </cell>
          <cell r="D426" t="str">
            <v>CUST-8904</v>
          </cell>
          <cell r="E426" t="str">
            <v>Neha Gupta</v>
          </cell>
          <cell r="F426" t="str">
            <v>Corporate</v>
          </cell>
          <cell r="G426" t="str">
            <v>North</v>
          </cell>
          <cell r="H426" t="str">
            <v>Punjab</v>
          </cell>
          <cell r="I426" t="str">
            <v>Ludhiana</v>
          </cell>
          <cell r="J426" t="str">
            <v>Technology</v>
          </cell>
          <cell r="K426" t="str">
            <v>Phones</v>
          </cell>
          <cell r="L426" t="str">
            <v>Prime Phones 881</v>
          </cell>
          <cell r="M426" t="str">
            <v>Standard Class</v>
          </cell>
          <cell r="N426">
            <v>8</v>
          </cell>
          <cell r="O426">
            <v>804.52</v>
          </cell>
          <cell r="P426">
            <v>0</v>
          </cell>
          <cell r="S426">
            <v>2172.33</v>
          </cell>
          <cell r="T426" t="str">
            <v>Paid</v>
          </cell>
          <cell r="U426" t="str">
            <v>Completed</v>
          </cell>
        </row>
        <row r="427">
          <cell r="A427" t="str">
            <v>ORD-2024-10426</v>
          </cell>
          <cell r="B427" t="str">
            <v>26-09-2024</v>
          </cell>
          <cell r="C427" t="str">
            <v>09/27/2024</v>
          </cell>
          <cell r="D427" t="str">
            <v>CUST-9586</v>
          </cell>
          <cell r="E427" t="str">
            <v>Isha Nair</v>
          </cell>
          <cell r="F427" t="str">
            <v>Home Office</v>
          </cell>
          <cell r="G427" t="str">
            <v>North</v>
          </cell>
          <cell r="H427" t="str">
            <v>Delhi</v>
          </cell>
          <cell r="I427" t="str">
            <v>New Delhi</v>
          </cell>
          <cell r="J427" t="str">
            <v>Office Supplies</v>
          </cell>
          <cell r="K427" t="str">
            <v>Labels</v>
          </cell>
          <cell r="L427" t="str">
            <v>Pro Labels 903</v>
          </cell>
          <cell r="M427" t="str">
            <v>First Class</v>
          </cell>
          <cell r="N427">
            <v>2</v>
          </cell>
          <cell r="O427">
            <v>1065.69</v>
          </cell>
          <cell r="P427">
            <v>0.1</v>
          </cell>
          <cell r="S427">
            <v>544.72</v>
          </cell>
          <cell r="T427" t="str">
            <v>Refunded</v>
          </cell>
          <cell r="U427" t="str">
            <v>Cancelled</v>
          </cell>
        </row>
        <row r="428">
          <cell r="A428" t="str">
            <v>ORD-2024-10427</v>
          </cell>
          <cell r="B428" t="str">
            <v>30-06-2024</v>
          </cell>
          <cell r="C428" t="str">
            <v>01-07-2024</v>
          </cell>
          <cell r="D428" t="str">
            <v>CUST-5431</v>
          </cell>
          <cell r="E428" t="str">
            <v>Aditi Sen</v>
          </cell>
          <cell r="F428" t="str">
            <v>Consumer</v>
          </cell>
          <cell r="G428" t="str">
            <v>North</v>
          </cell>
          <cell r="H428" t="str">
            <v>Haryana</v>
          </cell>
          <cell r="I428" t="str">
            <v>Gurugram</v>
          </cell>
          <cell r="J428" t="str">
            <v>Technology</v>
          </cell>
          <cell r="K428" t="str">
            <v>Copiers</v>
          </cell>
          <cell r="L428" t="str">
            <v>Max Copiers 402</v>
          </cell>
          <cell r="M428" t="str">
            <v>Same Day</v>
          </cell>
          <cell r="N428">
            <v>8</v>
          </cell>
          <cell r="O428">
            <v>3756.66</v>
          </cell>
          <cell r="P428">
            <v>0.1</v>
          </cell>
          <cell r="S428">
            <v>8616.6200000000008</v>
          </cell>
          <cell r="T428" t="str">
            <v>Paid</v>
          </cell>
          <cell r="U428" t="str">
            <v>Completed</v>
          </cell>
        </row>
        <row r="429">
          <cell r="A429" t="str">
            <v>ORD-2025-10428</v>
          </cell>
          <cell r="B429" t="str">
            <v>2025-04-22</v>
          </cell>
          <cell r="C429" t="str">
            <v>24-04-2025</v>
          </cell>
          <cell r="D429" t="str">
            <v>CUST-8843</v>
          </cell>
          <cell r="E429" t="str">
            <v>Isha Nair</v>
          </cell>
          <cell r="F429" t="str">
            <v>Corporate</v>
          </cell>
          <cell r="H429" t="str">
            <v>Jharkhand</v>
          </cell>
          <cell r="I429" t="str">
            <v>Ranchi</v>
          </cell>
          <cell r="J429" t="str">
            <v>Technology</v>
          </cell>
          <cell r="K429" t="str">
            <v>Accessories</v>
          </cell>
          <cell r="L429" t="str">
            <v>Prime Accessories 419</v>
          </cell>
          <cell r="M429" t="str">
            <v>STANDARD CLASS</v>
          </cell>
          <cell r="N429">
            <v>9</v>
          </cell>
          <cell r="O429">
            <v>2939.44</v>
          </cell>
          <cell r="P429">
            <v>0</v>
          </cell>
          <cell r="S429">
            <v>8824.7099999999991</v>
          </cell>
          <cell r="T429" t="str">
            <v>Paid</v>
          </cell>
          <cell r="U429" t="str">
            <v>Completed</v>
          </cell>
        </row>
        <row r="430">
          <cell r="A430" t="str">
            <v>ORD-2025-10429</v>
          </cell>
          <cell r="B430" t="str">
            <v>2025-03-15</v>
          </cell>
          <cell r="C430" t="str">
            <v>22 Mar 2025</v>
          </cell>
          <cell r="D430" t="str">
            <v>CUST-7626</v>
          </cell>
          <cell r="E430" t="str">
            <v>Karan Malhotra</v>
          </cell>
          <cell r="F430" t="str">
            <v>Small Business</v>
          </cell>
          <cell r="G430" t="str">
            <v>East</v>
          </cell>
          <cell r="H430" t="str">
            <v>West Bengal</v>
          </cell>
          <cell r="I430" t="str">
            <v>Kolkata</v>
          </cell>
          <cell r="J430" t="str">
            <v>Technology</v>
          </cell>
          <cell r="K430" t="str">
            <v>Phones</v>
          </cell>
          <cell r="L430" t="str">
            <v>Elite Phones 488</v>
          </cell>
          <cell r="M430" t="str">
            <v>Same Day</v>
          </cell>
          <cell r="N430">
            <v>2</v>
          </cell>
          <cell r="O430">
            <v>1235.93</v>
          </cell>
          <cell r="P430">
            <v>0.25</v>
          </cell>
          <cell r="S430">
            <v>752.66</v>
          </cell>
          <cell r="T430" t="str">
            <v>Pending</v>
          </cell>
          <cell r="U430" t="str">
            <v>Cancelled</v>
          </cell>
        </row>
        <row r="431">
          <cell r="A431" t="str">
            <v>ORD-2025-10430</v>
          </cell>
          <cell r="B431" t="str">
            <v>01 Mar 2025</v>
          </cell>
          <cell r="C431" t="str">
            <v>08-03-2025</v>
          </cell>
          <cell r="D431" t="str">
            <v>CUST-8562</v>
          </cell>
          <cell r="E431" t="str">
            <v>Neha Gupta</v>
          </cell>
          <cell r="F431" t="str">
            <v>Home Office</v>
          </cell>
          <cell r="G431" t="str">
            <v>North</v>
          </cell>
          <cell r="H431" t="str">
            <v>Rajasthan</v>
          </cell>
          <cell r="I431" t="str">
            <v>Jaipur</v>
          </cell>
          <cell r="J431" t="str">
            <v>Technology</v>
          </cell>
          <cell r="K431" t="str">
            <v>Copiers</v>
          </cell>
          <cell r="L431" t="str">
            <v>Prime Copiers 109</v>
          </cell>
          <cell r="M431" t="str">
            <v>Same Day</v>
          </cell>
          <cell r="N431">
            <v>8</v>
          </cell>
          <cell r="O431">
            <v>2943.1</v>
          </cell>
          <cell r="P431">
            <v>0.25</v>
          </cell>
          <cell r="S431">
            <v>3816.12</v>
          </cell>
          <cell r="T431" t="str">
            <v>Paid</v>
          </cell>
          <cell r="U431" t="str">
            <v>Completed</v>
          </cell>
        </row>
        <row r="432">
          <cell r="A432" t="str">
            <v>ORD-2024-10431</v>
          </cell>
          <cell r="B432" t="str">
            <v>30 Aug 2024</v>
          </cell>
          <cell r="C432" t="str">
            <v>02-09-2024</v>
          </cell>
          <cell r="D432" t="str">
            <v>CUST-2732</v>
          </cell>
          <cell r="E432" t="str">
            <v>Neha Gupta</v>
          </cell>
          <cell r="F432" t="str">
            <v>Small Business</v>
          </cell>
          <cell r="G432" t="str">
            <v>North</v>
          </cell>
          <cell r="H432" t="str">
            <v>Haryana</v>
          </cell>
          <cell r="I432" t="str">
            <v>Gurugram</v>
          </cell>
          <cell r="J432" t="str">
            <v>Office Supplies</v>
          </cell>
          <cell r="K432" t="str">
            <v>Paper</v>
          </cell>
          <cell r="L432" t="str">
            <v>Max Paper 576</v>
          </cell>
          <cell r="M432" t="str">
            <v>Second Class</v>
          </cell>
          <cell r="N432">
            <v>1</v>
          </cell>
          <cell r="O432">
            <v>4320.84</v>
          </cell>
          <cell r="P432">
            <v>0.15</v>
          </cell>
          <cell r="S432">
            <v>763.38</v>
          </cell>
          <cell r="T432" t="str">
            <v>Paid</v>
          </cell>
          <cell r="U432" t="str">
            <v>Completed</v>
          </cell>
        </row>
        <row r="433">
          <cell r="A433" t="str">
            <v>ORD-2024-10432</v>
          </cell>
          <cell r="B433" t="str">
            <v>10 Feb 2024</v>
          </cell>
          <cell r="C433" t="str">
            <v>02/13/2024</v>
          </cell>
          <cell r="D433" t="str">
            <v>CUST-3989</v>
          </cell>
          <cell r="E433" t="str">
            <v>Karan Malhotra</v>
          </cell>
          <cell r="F433" t="str">
            <v>Home Office</v>
          </cell>
          <cell r="G433" t="str">
            <v>West</v>
          </cell>
          <cell r="H433" t="str">
            <v>Goa</v>
          </cell>
          <cell r="I433" t="str">
            <v>Panaji</v>
          </cell>
          <cell r="J433" t="str">
            <v>Technology</v>
          </cell>
          <cell r="K433" t="str">
            <v>Machines</v>
          </cell>
          <cell r="L433" t="str">
            <v>Max Machines 412</v>
          </cell>
          <cell r="M433" t="str">
            <v>Same Day</v>
          </cell>
          <cell r="N433">
            <v>2</v>
          </cell>
          <cell r="O433">
            <v>4118.45</v>
          </cell>
          <cell r="P433">
            <v>0.25</v>
          </cell>
          <cell r="S433">
            <v>1656.92</v>
          </cell>
          <cell r="T433" t="str">
            <v>Paid</v>
          </cell>
          <cell r="U433" t="str">
            <v>Completed</v>
          </cell>
        </row>
        <row r="434">
          <cell r="A434" t="str">
            <v>ORD-2024-10433</v>
          </cell>
          <cell r="B434" t="str">
            <v>08/29/2024</v>
          </cell>
          <cell r="C434" t="str">
            <v>02-09-2024</v>
          </cell>
          <cell r="D434" t="str">
            <v>CUST-3522</v>
          </cell>
          <cell r="E434" t="str">
            <v>Priya Menon</v>
          </cell>
          <cell r="F434" t="str">
            <v>Small Business</v>
          </cell>
          <cell r="G434" t="str">
            <v>West</v>
          </cell>
          <cell r="H434" t="str">
            <v>Maharashtra</v>
          </cell>
          <cell r="I434" t="str">
            <v>Mumbai</v>
          </cell>
          <cell r="J434" t="str">
            <v>Furniture</v>
          </cell>
          <cell r="K434" t="str">
            <v>Bookcases</v>
          </cell>
          <cell r="L434" t="str">
            <v>Classic Bookcases 291</v>
          </cell>
          <cell r="M434" t="str">
            <v>Standard Class</v>
          </cell>
          <cell r="N434">
            <v>6</v>
          </cell>
          <cell r="O434">
            <v>172.82</v>
          </cell>
          <cell r="P434">
            <v>0.05</v>
          </cell>
          <cell r="S434">
            <v>140.59</v>
          </cell>
          <cell r="T434" t="str">
            <v>Paid</v>
          </cell>
          <cell r="U434" t="str">
            <v>Completed</v>
          </cell>
        </row>
        <row r="435">
          <cell r="A435" t="str">
            <v>ORD-2024-10434</v>
          </cell>
          <cell r="B435" t="str">
            <v>04/19/2024</v>
          </cell>
          <cell r="C435" t="str">
            <v>20-04-2024</v>
          </cell>
          <cell r="D435" t="str">
            <v>CUST-7066</v>
          </cell>
          <cell r="E435" t="str">
            <v>Priya Menon</v>
          </cell>
          <cell r="F435" t="str">
            <v>Corporate</v>
          </cell>
          <cell r="G435" t="str">
            <v>South</v>
          </cell>
          <cell r="H435" t="str">
            <v>Kerala</v>
          </cell>
          <cell r="I435" t="str">
            <v>Kochi</v>
          </cell>
          <cell r="J435" t="str">
            <v>Office Supplies</v>
          </cell>
          <cell r="K435" t="str">
            <v>Art</v>
          </cell>
          <cell r="L435" t="str">
            <v>Elite Art 946</v>
          </cell>
          <cell r="M435" t="str">
            <v>Second Class</v>
          </cell>
          <cell r="N435">
            <v>4</v>
          </cell>
          <cell r="O435">
            <v>1540.22</v>
          </cell>
          <cell r="P435">
            <v>0</v>
          </cell>
          <cell r="S435">
            <v>1222.18</v>
          </cell>
          <cell r="T435" t="str">
            <v>Refunded</v>
          </cell>
          <cell r="U435" t="str">
            <v>Returned</v>
          </cell>
        </row>
        <row r="436">
          <cell r="A436" t="str">
            <v>ORD-2025-10435</v>
          </cell>
          <cell r="B436" t="str">
            <v>04/11/2025</v>
          </cell>
          <cell r="C436" t="str">
            <v>2025-04-15</v>
          </cell>
          <cell r="D436" t="str">
            <v>CUST-2351</v>
          </cell>
          <cell r="E436" t="str">
            <v>Mira Das</v>
          </cell>
          <cell r="F436" t="str">
            <v>Home Office</v>
          </cell>
          <cell r="G436" t="str">
            <v>North</v>
          </cell>
          <cell r="H436" t="str">
            <v>Uttar Pradesh</v>
          </cell>
          <cell r="I436" t="str">
            <v>Noida</v>
          </cell>
          <cell r="J436" t="str">
            <v>Technology</v>
          </cell>
          <cell r="K436" t="str">
            <v>Accessories</v>
          </cell>
          <cell r="L436" t="str">
            <v>Eco Accessories 705</v>
          </cell>
          <cell r="M436" t="str">
            <v>Second Class</v>
          </cell>
          <cell r="N436">
            <v>5</v>
          </cell>
          <cell r="O436">
            <v>652.78</v>
          </cell>
          <cell r="P436">
            <v>0</v>
          </cell>
          <cell r="S436">
            <v>1195.46</v>
          </cell>
          <cell r="T436" t="str">
            <v>Paid</v>
          </cell>
          <cell r="U436" t="str">
            <v>Completed</v>
          </cell>
        </row>
        <row r="437">
          <cell r="A437" t="str">
            <v>ORD-2025-10436</v>
          </cell>
          <cell r="B437" t="str">
            <v>2025-04-12</v>
          </cell>
          <cell r="C437" t="str">
            <v>20-04-2025</v>
          </cell>
          <cell r="D437" t="str">
            <v>CUST-7291</v>
          </cell>
          <cell r="E437" t="str">
            <v>Kabir Singh</v>
          </cell>
          <cell r="F437" t="str">
            <v>Home Office</v>
          </cell>
          <cell r="G437" t="str">
            <v>North</v>
          </cell>
          <cell r="H437" t="str">
            <v>Delhi</v>
          </cell>
          <cell r="I437" t="str">
            <v>New Delhi</v>
          </cell>
          <cell r="J437" t="str">
            <v>Technology</v>
          </cell>
          <cell r="K437" t="str">
            <v>Machines</v>
          </cell>
          <cell r="L437" t="str">
            <v>Max Machines 151</v>
          </cell>
          <cell r="M437" t="str">
            <v>Standard Class</v>
          </cell>
          <cell r="N437">
            <v>1</v>
          </cell>
          <cell r="O437">
            <v>2737.71</v>
          </cell>
          <cell r="P437">
            <v>0.15</v>
          </cell>
          <cell r="S437">
            <v>407.63</v>
          </cell>
          <cell r="T437" t="str">
            <v>Paid</v>
          </cell>
          <cell r="U437" t="str">
            <v>Cancelled</v>
          </cell>
        </row>
        <row r="438">
          <cell r="A438" t="str">
            <v>ORD-2024-10437</v>
          </cell>
          <cell r="B438" t="str">
            <v>16 Jun 2024</v>
          </cell>
          <cell r="C438" t="str">
            <v>21 Jun 2024</v>
          </cell>
          <cell r="D438" t="str">
            <v>CUST-4492</v>
          </cell>
          <cell r="E438" t="str">
            <v>Neha Gupta</v>
          </cell>
          <cell r="F438" t="str">
            <v>Consumer</v>
          </cell>
          <cell r="G438" t="str">
            <v>South</v>
          </cell>
          <cell r="H438" t="str">
            <v>Kerala</v>
          </cell>
          <cell r="I438" t="str">
            <v>Kochi</v>
          </cell>
          <cell r="J438" t="str">
            <v>Furniture</v>
          </cell>
          <cell r="K438" t="str">
            <v>Furnishings</v>
          </cell>
          <cell r="L438" t="str">
            <v>Max Furnishings 803</v>
          </cell>
          <cell r="M438" t="str">
            <v>Same Day</v>
          </cell>
          <cell r="N438">
            <v>6</v>
          </cell>
          <cell r="O438">
            <v>1156.78</v>
          </cell>
          <cell r="P438">
            <v>0.05</v>
          </cell>
          <cell r="S438">
            <v>2234.2600000000002</v>
          </cell>
          <cell r="T438" t="str">
            <v>Paid</v>
          </cell>
          <cell r="U438" t="str">
            <v>Returned</v>
          </cell>
        </row>
        <row r="439">
          <cell r="A439" t="str">
            <v>ORD-2024-10438</v>
          </cell>
          <cell r="B439" t="str">
            <v>15-02-2024</v>
          </cell>
          <cell r="C439" t="str">
            <v>2024-02-18</v>
          </cell>
          <cell r="D439" t="str">
            <v>CUST-5029</v>
          </cell>
          <cell r="E439" t="str">
            <v>Aditi Sen</v>
          </cell>
          <cell r="F439" t="str">
            <v>Small Business</v>
          </cell>
          <cell r="G439" t="str">
            <v>South</v>
          </cell>
          <cell r="H439" t="str">
            <v>Kerala</v>
          </cell>
          <cell r="I439" t="str">
            <v>Kochi</v>
          </cell>
          <cell r="J439" t="str">
            <v>Technology</v>
          </cell>
          <cell r="K439" t="str">
            <v>Accessories</v>
          </cell>
          <cell r="L439" t="str">
            <v>Max Accessories 423</v>
          </cell>
          <cell r="M439" t="str">
            <v>Same Day</v>
          </cell>
          <cell r="N439">
            <v>8</v>
          </cell>
          <cell r="O439">
            <v>379.82</v>
          </cell>
          <cell r="P439">
            <v>0.05</v>
          </cell>
          <cell r="S439">
            <v>1298.4000000000001</v>
          </cell>
          <cell r="T439" t="str">
            <v>Failed</v>
          </cell>
          <cell r="U439" t="str">
            <v>Returned</v>
          </cell>
        </row>
        <row r="440">
          <cell r="A440" t="str">
            <v>ORD-2025-10439</v>
          </cell>
          <cell r="B440" t="str">
            <v>07 May 2025</v>
          </cell>
          <cell r="C440" t="str">
            <v>05/05/2025</v>
          </cell>
          <cell r="D440" t="str">
            <v>CUST-7252</v>
          </cell>
          <cell r="E440" t="str">
            <v>Neha Gupta</v>
          </cell>
          <cell r="F440" t="str">
            <v>Corporate</v>
          </cell>
          <cell r="G440" t="str">
            <v>East</v>
          </cell>
          <cell r="H440" t="str">
            <v>Jharkhand</v>
          </cell>
          <cell r="I440" t="str">
            <v>Ranchi</v>
          </cell>
          <cell r="J440" t="str">
            <v>Technology</v>
          </cell>
          <cell r="K440" t="str">
            <v>Phones</v>
          </cell>
          <cell r="L440" t="str">
            <v>Elite Phones 276</v>
          </cell>
          <cell r="M440" t="str">
            <v>Standard Class</v>
          </cell>
          <cell r="N440">
            <v>1</v>
          </cell>
          <cell r="O440">
            <v>2266.4699999999998</v>
          </cell>
          <cell r="P440">
            <v>0.2</v>
          </cell>
          <cell r="S440">
            <v>449.54</v>
          </cell>
          <cell r="T440" t="str">
            <v>Paid</v>
          </cell>
          <cell r="U440" t="str">
            <v>Completed</v>
          </cell>
        </row>
        <row r="441">
          <cell r="A441" t="str">
            <v>ORD-2025-10440</v>
          </cell>
          <cell r="B441" t="str">
            <v>30-06-2025</v>
          </cell>
          <cell r="C441" t="str">
            <v>03 Jul 2025</v>
          </cell>
          <cell r="D441" t="str">
            <v>CUST-7346</v>
          </cell>
          <cell r="E441" t="str">
            <v>Aarav Sharma</v>
          </cell>
          <cell r="F441" t="str">
            <v>Home Office</v>
          </cell>
          <cell r="G441" t="str">
            <v>West</v>
          </cell>
          <cell r="H441" t="str">
            <v>Goa</v>
          </cell>
          <cell r="I441" t="str">
            <v>Panaji</v>
          </cell>
          <cell r="J441" t="str">
            <v>Office Supplies</v>
          </cell>
          <cell r="K441" t="str">
            <v>Storage</v>
          </cell>
          <cell r="L441" t="str">
            <v>Smart Storage 287</v>
          </cell>
          <cell r="M441" t="str">
            <v>Same Day</v>
          </cell>
          <cell r="N441">
            <v>5</v>
          </cell>
          <cell r="O441">
            <v>665.25</v>
          </cell>
          <cell r="P441">
            <v>0</v>
          </cell>
          <cell r="S441">
            <v>636.89</v>
          </cell>
          <cell r="T441" t="str">
            <v>Refunded</v>
          </cell>
          <cell r="U441" t="str">
            <v>Returned</v>
          </cell>
        </row>
        <row r="442">
          <cell r="A442" t="str">
            <v>ORD-2024-10441</v>
          </cell>
          <cell r="B442" t="str">
            <v>04/02/2024</v>
          </cell>
          <cell r="C442" t="str">
            <v>04/08/2024</v>
          </cell>
          <cell r="D442" t="str">
            <v>CUST-9039</v>
          </cell>
          <cell r="E442" t="str">
            <v>Vikram Iyer</v>
          </cell>
          <cell r="F442" t="str">
            <v>Corporate</v>
          </cell>
          <cell r="G442" t="str">
            <v>East</v>
          </cell>
          <cell r="H442" t="str">
            <v>Odisha</v>
          </cell>
          <cell r="I442" t="str">
            <v>Bhubaneswar</v>
          </cell>
          <cell r="J442" t="str">
            <v>Technology</v>
          </cell>
          <cell r="K442" t="str">
            <v>Machines</v>
          </cell>
          <cell r="L442" t="str">
            <v>Basic Machines 610</v>
          </cell>
          <cell r="M442" t="str">
            <v>Second Class</v>
          </cell>
          <cell r="N442">
            <v>6</v>
          </cell>
          <cell r="O442">
            <v>3722.84</v>
          </cell>
          <cell r="P442">
            <v>0.2</v>
          </cell>
          <cell r="S442">
            <v>5705.83</v>
          </cell>
          <cell r="T442" t="str">
            <v>Paid</v>
          </cell>
          <cell r="U442" t="str">
            <v>Completed</v>
          </cell>
        </row>
        <row r="443">
          <cell r="A443" t="str">
            <v>ORD-2024-10442</v>
          </cell>
          <cell r="B443" t="str">
            <v>03-10-2024</v>
          </cell>
          <cell r="C443" t="str">
            <v>2024-10-03</v>
          </cell>
          <cell r="D443" t="str">
            <v>CUST-3975</v>
          </cell>
          <cell r="E443" t="str">
            <v>Karan Malhotra</v>
          </cell>
          <cell r="F443" t="str">
            <v>Consumer</v>
          </cell>
          <cell r="G443" t="str">
            <v>East</v>
          </cell>
          <cell r="H443" t="str">
            <v>Bihar</v>
          </cell>
          <cell r="I443" t="str">
            <v>Patna</v>
          </cell>
          <cell r="J443" t="str">
            <v>Furniture</v>
          </cell>
          <cell r="K443" t="str">
            <v>Bookcases</v>
          </cell>
          <cell r="L443" t="str">
            <v>Elite Bookcases 393</v>
          </cell>
          <cell r="M443" t="str">
            <v>Standard Class</v>
          </cell>
          <cell r="N443">
            <v>6</v>
          </cell>
          <cell r="O443">
            <v>4217.49</v>
          </cell>
          <cell r="P443">
            <v>0</v>
          </cell>
          <cell r="S443">
            <v>4532.99</v>
          </cell>
          <cell r="T443" t="str">
            <v>Paid</v>
          </cell>
          <cell r="U443" t="str">
            <v>Cancelled</v>
          </cell>
        </row>
        <row r="444">
          <cell r="A444" t="str">
            <v>ORD-2025-10443</v>
          </cell>
          <cell r="B444" t="str">
            <v>12 Jan 2025</v>
          </cell>
          <cell r="C444" t="str">
            <v>2025-01-19</v>
          </cell>
          <cell r="D444" t="str">
            <v>CUST-6588</v>
          </cell>
          <cell r="E444" t="str">
            <v>Aarav Sharma</v>
          </cell>
          <cell r="F444" t="str">
            <v>Consumer</v>
          </cell>
          <cell r="G444" t="str">
            <v>East</v>
          </cell>
          <cell r="H444" t="str">
            <v>Jharkhand</v>
          </cell>
          <cell r="I444" t="str">
            <v>Ranchi</v>
          </cell>
          <cell r="J444" t="str">
            <v>Furniture</v>
          </cell>
          <cell r="K444" t="str">
            <v>Tables</v>
          </cell>
          <cell r="L444" t="str">
            <v>Prime Tables 242</v>
          </cell>
          <cell r="M444" t="str">
            <v>First Class</v>
          </cell>
          <cell r="N444">
            <v>1</v>
          </cell>
          <cell r="O444">
            <v>1842.31</v>
          </cell>
          <cell r="P444">
            <v>0</v>
          </cell>
          <cell r="S444">
            <v>823.14</v>
          </cell>
          <cell r="T444" t="str">
            <v>Paid</v>
          </cell>
          <cell r="U444" t="str">
            <v>Completed</v>
          </cell>
        </row>
        <row r="445">
          <cell r="A445" t="str">
            <v>ORD-2024-10444</v>
          </cell>
          <cell r="B445" t="str">
            <v>04-04-2024</v>
          </cell>
          <cell r="C445" t="str">
            <v>07 Apr 2024</v>
          </cell>
          <cell r="D445" t="str">
            <v>CUST-2207</v>
          </cell>
          <cell r="E445" t="str">
            <v>Rohan Mehta</v>
          </cell>
          <cell r="F445" t="str">
            <v>Home Office</v>
          </cell>
          <cell r="G445" t="str">
            <v>East</v>
          </cell>
          <cell r="H445" t="str">
            <v>Odisha</v>
          </cell>
          <cell r="I445" t="str">
            <v>Bhubaneswar</v>
          </cell>
          <cell r="J445" t="str">
            <v>Furniture</v>
          </cell>
          <cell r="K445" t="str">
            <v>Furnishings</v>
          </cell>
          <cell r="L445" t="str">
            <v>Basic Furnishings 563</v>
          </cell>
          <cell r="M445" t="str">
            <v>First Class</v>
          </cell>
          <cell r="N445">
            <v>1</v>
          </cell>
          <cell r="O445">
            <v>3683.75</v>
          </cell>
          <cell r="P445">
            <v>0.1</v>
          </cell>
          <cell r="S445">
            <v>967.7</v>
          </cell>
          <cell r="T445" t="str">
            <v>Paid</v>
          </cell>
          <cell r="U445" t="str">
            <v>Completed</v>
          </cell>
        </row>
        <row r="446">
          <cell r="A446" t="str">
            <v>ORD-2025-10445</v>
          </cell>
          <cell r="B446" t="str">
            <v>12 Aug 2025</v>
          </cell>
          <cell r="C446" t="str">
            <v>2025-08-16</v>
          </cell>
          <cell r="D446" t="str">
            <v>CUST-4475</v>
          </cell>
          <cell r="E446" t="str">
            <v>Ananya Rao</v>
          </cell>
          <cell r="F446" t="str">
            <v>Consumer</v>
          </cell>
          <cell r="G446" t="str">
            <v>East</v>
          </cell>
          <cell r="H446" t="str">
            <v>Assam</v>
          </cell>
          <cell r="I446" t="str">
            <v>Guwahati</v>
          </cell>
          <cell r="J446" t="str">
            <v>Technology</v>
          </cell>
          <cell r="K446" t="str">
            <v>Accessories</v>
          </cell>
          <cell r="L446" t="str">
            <v>Prime Accessories 482</v>
          </cell>
          <cell r="M446" t="str">
            <v>Same Day</v>
          </cell>
          <cell r="N446">
            <v>9</v>
          </cell>
          <cell r="O446">
            <v>2379.2399999999998</v>
          </cell>
          <cell r="P446">
            <v>0.05</v>
          </cell>
          <cell r="S446">
            <v>7934.99</v>
          </cell>
          <cell r="T446" t="str">
            <v>Paid</v>
          </cell>
          <cell r="U446" t="str">
            <v>Completed</v>
          </cell>
        </row>
        <row r="447">
          <cell r="A447" t="str">
            <v>ORD-2024-10446</v>
          </cell>
          <cell r="B447" t="str">
            <v>05/09/2024</v>
          </cell>
          <cell r="C447" t="str">
            <v>05-05-2024</v>
          </cell>
          <cell r="D447" t="str">
            <v>CUST-1351</v>
          </cell>
          <cell r="E447" t="str">
            <v>Arjun Bose</v>
          </cell>
          <cell r="F447" t="str">
            <v>Consumer</v>
          </cell>
          <cell r="G447" t="str">
            <v>East</v>
          </cell>
          <cell r="H447" t="str">
            <v>Assam</v>
          </cell>
          <cell r="I447" t="str">
            <v>Guwahati</v>
          </cell>
          <cell r="J447" t="str">
            <v>Furniture</v>
          </cell>
          <cell r="K447" t="str">
            <v>Bookcases</v>
          </cell>
          <cell r="L447" t="str">
            <v>Eco Bookcases 215</v>
          </cell>
          <cell r="M447" t="str">
            <v>Same Day</v>
          </cell>
          <cell r="N447">
            <v>2</v>
          </cell>
          <cell r="O447">
            <v>2111.23</v>
          </cell>
          <cell r="P447">
            <v>0.2</v>
          </cell>
          <cell r="S447">
            <v>881.68</v>
          </cell>
          <cell r="T447" t="str">
            <v>Paid</v>
          </cell>
          <cell r="U447" t="str">
            <v>Completed</v>
          </cell>
        </row>
        <row r="448">
          <cell r="A448" t="str">
            <v>ORD-2025-10447</v>
          </cell>
          <cell r="B448" t="str">
            <v>18-09-2025</v>
          </cell>
          <cell r="C448" t="str">
            <v>19-09-2025</v>
          </cell>
          <cell r="D448" t="str">
            <v>CUST-9295</v>
          </cell>
          <cell r="E448" t="str">
            <v>Sneha Kapoor</v>
          </cell>
          <cell r="F448" t="str">
            <v>Home Office</v>
          </cell>
          <cell r="G448" t="str">
            <v>South</v>
          </cell>
          <cell r="H448" t="str">
            <v>Andhra Pradesh</v>
          </cell>
          <cell r="I448" t="str">
            <v>Vijayawada</v>
          </cell>
          <cell r="J448" t="str">
            <v>Office Supplies</v>
          </cell>
          <cell r="K448" t="str">
            <v>Storage</v>
          </cell>
          <cell r="L448" t="str">
            <v>Eco Storage 793</v>
          </cell>
          <cell r="M448" t="str">
            <v>Same Day</v>
          </cell>
          <cell r="N448">
            <v>8</v>
          </cell>
          <cell r="O448">
            <v>4242.51</v>
          </cell>
          <cell r="P448">
            <v>0</v>
          </cell>
          <cell r="S448">
            <v>10185.89</v>
          </cell>
          <cell r="T448" t="str">
            <v>Paid</v>
          </cell>
          <cell r="U448" t="str">
            <v>Completed</v>
          </cell>
        </row>
        <row r="449">
          <cell r="A449" t="str">
            <v>ORD-2025-10448</v>
          </cell>
          <cell r="B449" t="str">
            <v>10-08-2025</v>
          </cell>
          <cell r="C449" t="str">
            <v>10 Aug 2025</v>
          </cell>
          <cell r="D449" t="str">
            <v>CUST-3614</v>
          </cell>
          <cell r="E449" t="str">
            <v>Rohan Mehta</v>
          </cell>
          <cell r="F449" t="str">
            <v>Home Office</v>
          </cell>
          <cell r="G449" t="str">
            <v>South</v>
          </cell>
          <cell r="H449" t="str">
            <v>Telangana</v>
          </cell>
          <cell r="I449" t="str">
            <v>Hyderabad</v>
          </cell>
          <cell r="J449" t="str">
            <v>Furniture</v>
          </cell>
          <cell r="K449" t="str">
            <v>Bookcases</v>
          </cell>
          <cell r="L449" t="str">
            <v>Basic Bookcases 182</v>
          </cell>
          <cell r="M449" t="str">
            <v>Standard Class</v>
          </cell>
          <cell r="N449">
            <v>6</v>
          </cell>
          <cell r="O449">
            <v>4288.7</v>
          </cell>
          <cell r="P449">
            <v>0.15</v>
          </cell>
          <cell r="S449">
            <v>8042.87</v>
          </cell>
          <cell r="T449" t="str">
            <v>Pending</v>
          </cell>
          <cell r="U449" t="str">
            <v>Returned</v>
          </cell>
        </row>
        <row r="450">
          <cell r="A450" t="str">
            <v>ORD-2024-10449</v>
          </cell>
          <cell r="B450" t="str">
            <v>01/15/2024</v>
          </cell>
          <cell r="C450" t="str">
            <v>18 Jan 2024</v>
          </cell>
          <cell r="D450" t="str">
            <v>CUST-1932</v>
          </cell>
          <cell r="E450" t="str">
            <v>Mira Das</v>
          </cell>
          <cell r="F450" t="str">
            <v>Small Business</v>
          </cell>
          <cell r="G450" t="str">
            <v>South</v>
          </cell>
          <cell r="H450" t="str">
            <v>Andhra Pradesh</v>
          </cell>
          <cell r="I450" t="str">
            <v>Vijayawada</v>
          </cell>
          <cell r="J450" t="str">
            <v>Furniture</v>
          </cell>
          <cell r="K450" t="str">
            <v>Chairs</v>
          </cell>
          <cell r="L450" t="str">
            <v>Prime Chairs 631</v>
          </cell>
          <cell r="M450" t="str">
            <v>First Class</v>
          </cell>
          <cell r="N450">
            <v>2</v>
          </cell>
          <cell r="O450">
            <v>201.21</v>
          </cell>
          <cell r="P450">
            <v>0.15</v>
          </cell>
          <cell r="S450">
            <v>97.49</v>
          </cell>
          <cell r="T450" t="str">
            <v>Paid</v>
          </cell>
          <cell r="U450" t="str">
            <v>Completed</v>
          </cell>
        </row>
        <row r="451">
          <cell r="A451" t="str">
            <v>ORD-2024-10450</v>
          </cell>
          <cell r="B451" t="str">
            <v>06-06-2024</v>
          </cell>
          <cell r="C451" t="str">
            <v>13 Jun 2024</v>
          </cell>
          <cell r="D451" t="str">
            <v>CUST-5094</v>
          </cell>
          <cell r="E451" t="str">
            <v>Aditi Sen</v>
          </cell>
          <cell r="F451" t="str">
            <v>Corporate</v>
          </cell>
          <cell r="G451" t="str">
            <v>East</v>
          </cell>
          <cell r="H451" t="str">
            <v>Assam</v>
          </cell>
          <cell r="I451" t="str">
            <v>Guwahati</v>
          </cell>
          <cell r="J451" t="str">
            <v>Technology</v>
          </cell>
          <cell r="K451" t="str">
            <v>Machines</v>
          </cell>
          <cell r="L451" t="str">
            <v>Basic Machines 808</v>
          </cell>
          <cell r="M451" t="str">
            <v>Second Class</v>
          </cell>
          <cell r="N451">
            <v>6</v>
          </cell>
          <cell r="O451">
            <v>3270.36</v>
          </cell>
          <cell r="P451">
            <v>0</v>
          </cell>
          <cell r="S451">
            <v>5350.89</v>
          </cell>
          <cell r="T451" t="str">
            <v>Paid</v>
          </cell>
          <cell r="U451" t="str">
            <v>Completed</v>
          </cell>
        </row>
        <row r="452">
          <cell r="A452" t="str">
            <v>ORD-2025-10451</v>
          </cell>
          <cell r="B452" t="str">
            <v>06/12/2025</v>
          </cell>
          <cell r="C452" t="str">
            <v>2025-06-19</v>
          </cell>
          <cell r="D452" t="str">
            <v>CUST-8672</v>
          </cell>
          <cell r="E452" t="str">
            <v>Ananya Rao</v>
          </cell>
          <cell r="F452" t="str">
            <v>Corporate</v>
          </cell>
          <cell r="G452" t="str">
            <v>North</v>
          </cell>
          <cell r="H452" t="str">
            <v>Delhi</v>
          </cell>
          <cell r="I452" t="str">
            <v>New Delhi</v>
          </cell>
          <cell r="J452" t="str">
            <v>Furniture</v>
          </cell>
          <cell r="K452" t="str">
            <v>Chairs</v>
          </cell>
          <cell r="L452" t="str">
            <v>Pro Chairs 302</v>
          </cell>
          <cell r="M452" t="str">
            <v>Standard Class</v>
          </cell>
          <cell r="N452">
            <v>9</v>
          </cell>
          <cell r="O452">
            <v>2278.5700000000002</v>
          </cell>
          <cell r="P452">
            <v>0.25</v>
          </cell>
          <cell r="S452">
            <v>5472.98</v>
          </cell>
          <cell r="T452" t="str">
            <v>Paid</v>
          </cell>
          <cell r="U452" t="str">
            <v>Completed</v>
          </cell>
        </row>
        <row r="453">
          <cell r="A453" t="str">
            <v>ORD-2024-10452</v>
          </cell>
          <cell r="B453" t="str">
            <v>24-03-2024</v>
          </cell>
          <cell r="C453" t="str">
            <v>26-03-2024</v>
          </cell>
          <cell r="D453" t="str">
            <v>CUST-3907</v>
          </cell>
          <cell r="E453" t="str">
            <v>Rohan Mehta</v>
          </cell>
          <cell r="F453" t="str">
            <v>Small Business</v>
          </cell>
          <cell r="G453" t="str">
            <v>North</v>
          </cell>
          <cell r="H453" t="str">
            <v>Haryana</v>
          </cell>
          <cell r="I453" t="str">
            <v>Gurugram</v>
          </cell>
          <cell r="J453" t="str">
            <v>Office Supplies</v>
          </cell>
          <cell r="K453" t="str">
            <v>Paper</v>
          </cell>
          <cell r="L453" t="str">
            <v>Classic Paper 272</v>
          </cell>
          <cell r="M453" t="str">
            <v>Second Class</v>
          </cell>
          <cell r="N453">
            <v>8</v>
          </cell>
          <cell r="O453">
            <v>1917.64</v>
          </cell>
          <cell r="P453">
            <v>0.15</v>
          </cell>
          <cell r="S453">
            <v>1912.13</v>
          </cell>
          <cell r="T453" t="str">
            <v>Paid</v>
          </cell>
          <cell r="U453" t="str">
            <v>Cancelled</v>
          </cell>
        </row>
        <row r="454">
          <cell r="A454" t="str">
            <v>ORD-2024-10453</v>
          </cell>
          <cell r="B454" t="str">
            <v>10-05-2024</v>
          </cell>
          <cell r="C454" t="str">
            <v>16-05-2024</v>
          </cell>
          <cell r="D454" t="str">
            <v>CUST-8796</v>
          </cell>
          <cell r="E454" t="str">
            <v>Diya Patel</v>
          </cell>
          <cell r="F454" t="str">
            <v>Home Office</v>
          </cell>
          <cell r="G454" t="str">
            <v>East</v>
          </cell>
          <cell r="H454" t="str">
            <v>Jharkhand</v>
          </cell>
          <cell r="I454" t="str">
            <v>Ranchi</v>
          </cell>
          <cell r="J454" t="str">
            <v>Technology</v>
          </cell>
          <cell r="K454" t="str">
            <v>Accessories</v>
          </cell>
          <cell r="L454" t="str">
            <v>Smart Accessories 149</v>
          </cell>
          <cell r="M454" t="str">
            <v>Second Class</v>
          </cell>
          <cell r="N454">
            <v>6</v>
          </cell>
          <cell r="O454">
            <v>2013.33</v>
          </cell>
          <cell r="P454">
            <v>0.2</v>
          </cell>
          <cell r="S454">
            <v>4035.05</v>
          </cell>
          <cell r="T454" t="str">
            <v>Paid</v>
          </cell>
          <cell r="U454" t="str">
            <v>Completed</v>
          </cell>
        </row>
        <row r="455">
          <cell r="A455" t="str">
            <v>ORD-2025-10454</v>
          </cell>
          <cell r="B455" t="str">
            <v>05/03/2025</v>
          </cell>
          <cell r="C455" t="str">
            <v>2025-05-11</v>
          </cell>
          <cell r="D455" t="str">
            <v>CUST-2317</v>
          </cell>
          <cell r="E455" t="str">
            <v>Rohan Mehta</v>
          </cell>
          <cell r="F455" t="str">
            <v>Small Business</v>
          </cell>
          <cell r="G455" t="str">
            <v>West</v>
          </cell>
          <cell r="H455" t="str">
            <v>Madhya Pradesh</v>
          </cell>
          <cell r="I455" t="str">
            <v>Indore</v>
          </cell>
          <cell r="J455" t="str">
            <v>Office Supplies</v>
          </cell>
          <cell r="K455" t="str">
            <v>Labels</v>
          </cell>
          <cell r="L455" t="str">
            <v>Elite Labels 322</v>
          </cell>
          <cell r="M455" t="str">
            <v>Same Day</v>
          </cell>
          <cell r="N455">
            <v>5</v>
          </cell>
          <cell r="O455">
            <v>1483.52</v>
          </cell>
          <cell r="P455">
            <v>0</v>
          </cell>
          <cell r="S455">
            <v>2461.7399999999998</v>
          </cell>
          <cell r="T455" t="str">
            <v>Paid</v>
          </cell>
          <cell r="U455" t="str">
            <v>Completed</v>
          </cell>
        </row>
        <row r="456">
          <cell r="A456" t="str">
            <v>ORD-2025-10455</v>
          </cell>
          <cell r="B456" t="str">
            <v>2025-03-23</v>
          </cell>
          <cell r="C456" t="str">
            <v>28-03-2025</v>
          </cell>
          <cell r="D456" t="str">
            <v>CUST-8643</v>
          </cell>
          <cell r="E456" t="str">
            <v>Vikram Iyer</v>
          </cell>
          <cell r="F456" t="str">
            <v>Small Business</v>
          </cell>
          <cell r="G456" t="str">
            <v>North</v>
          </cell>
          <cell r="H456" t="str">
            <v>Rajasthan</v>
          </cell>
          <cell r="I456" t="str">
            <v>Jaipur</v>
          </cell>
          <cell r="J456" t="str">
            <v>Furniture</v>
          </cell>
          <cell r="K456" t="str">
            <v>Furnishings</v>
          </cell>
          <cell r="L456" t="str">
            <v>Max Furnishings 821</v>
          </cell>
          <cell r="M456" t="str">
            <v>Standard Class</v>
          </cell>
          <cell r="N456">
            <v>9</v>
          </cell>
          <cell r="O456">
            <v>3298</v>
          </cell>
          <cell r="P456">
            <v>0.15</v>
          </cell>
          <cell r="S456">
            <v>5059.2700000000004</v>
          </cell>
          <cell r="T456" t="str">
            <v>Paid</v>
          </cell>
          <cell r="U456" t="str">
            <v>Completed</v>
          </cell>
        </row>
        <row r="457">
          <cell r="A457" t="str">
            <v>ORD-2024-10456</v>
          </cell>
          <cell r="B457" t="str">
            <v>18 Jul 2024</v>
          </cell>
          <cell r="C457" t="str">
            <v>22-07-2024</v>
          </cell>
          <cell r="D457" t="str">
            <v>CUST-1800</v>
          </cell>
          <cell r="E457" t="str">
            <v>Neha Gupta</v>
          </cell>
          <cell r="F457" t="str">
            <v>Small Business</v>
          </cell>
          <cell r="G457" t="str">
            <v>South</v>
          </cell>
          <cell r="H457" t="str">
            <v>Telangana</v>
          </cell>
          <cell r="I457" t="str">
            <v>Hyderabad</v>
          </cell>
          <cell r="J457" t="str">
            <v>Office Supplies</v>
          </cell>
          <cell r="K457" t="str">
            <v>Art</v>
          </cell>
          <cell r="L457" t="str">
            <v>Basic Art 556</v>
          </cell>
          <cell r="M457" t="str">
            <v>Standard Class</v>
          </cell>
          <cell r="N457">
            <v>4</v>
          </cell>
          <cell r="O457">
            <v>808.77</v>
          </cell>
          <cell r="P457">
            <v>0</v>
          </cell>
          <cell r="S457">
            <v>1386.48</v>
          </cell>
          <cell r="T457" t="str">
            <v>Paid</v>
          </cell>
          <cell r="U457" t="str">
            <v>Completed</v>
          </cell>
        </row>
        <row r="458">
          <cell r="A458" t="str">
            <v>ORD-2024-10457</v>
          </cell>
          <cell r="B458" t="str">
            <v>2024-02-20</v>
          </cell>
          <cell r="C458" t="str">
            <v>2024-02-20</v>
          </cell>
          <cell r="D458" t="str">
            <v>CUST-7688</v>
          </cell>
          <cell r="E458" t="str">
            <v>Neha Gupta</v>
          </cell>
          <cell r="F458" t="str">
            <v>Corporate</v>
          </cell>
          <cell r="G458" t="str">
            <v>North</v>
          </cell>
          <cell r="H458" t="str">
            <v>Uttar Pradesh</v>
          </cell>
          <cell r="I458" t="str">
            <v>Noida</v>
          </cell>
          <cell r="J458" t="str">
            <v>Technology</v>
          </cell>
          <cell r="K458" t="str">
            <v>Accessories</v>
          </cell>
          <cell r="L458" t="str">
            <v>Smart Accessories 265</v>
          </cell>
          <cell r="M458" t="str">
            <v>Same Day</v>
          </cell>
          <cell r="N458">
            <v>5</v>
          </cell>
          <cell r="O458">
            <v>2604.91</v>
          </cell>
          <cell r="P458">
            <v>0.15</v>
          </cell>
          <cell r="S458">
            <v>4447.26</v>
          </cell>
          <cell r="T458" t="str">
            <v>Paid</v>
          </cell>
          <cell r="U458" t="str">
            <v>Returned</v>
          </cell>
        </row>
        <row r="459">
          <cell r="A459" t="str">
            <v>ORD-2024-10458</v>
          </cell>
          <cell r="B459" t="str">
            <v>05/04/2024</v>
          </cell>
          <cell r="C459" t="str">
            <v>2024-05-04</v>
          </cell>
          <cell r="D459" t="str">
            <v>CUST-4957</v>
          </cell>
          <cell r="E459" t="str">
            <v>Mira Das</v>
          </cell>
          <cell r="F459" t="str">
            <v>Small Business</v>
          </cell>
          <cell r="G459" t="str">
            <v>West</v>
          </cell>
          <cell r="H459" t="str">
            <v>Goa</v>
          </cell>
          <cell r="I459" t="str">
            <v>Panaji</v>
          </cell>
          <cell r="J459" t="str">
            <v>Furniture</v>
          </cell>
          <cell r="K459" t="str">
            <v>Tables</v>
          </cell>
          <cell r="L459" t="str">
            <v>Elite Tables 418</v>
          </cell>
          <cell r="M459" t="str">
            <v>Standard Class</v>
          </cell>
          <cell r="N459">
            <v>7</v>
          </cell>
          <cell r="O459">
            <v>2851.51</v>
          </cell>
          <cell r="P459">
            <v>0</v>
          </cell>
          <cell r="S459">
            <v>3356.97</v>
          </cell>
          <cell r="T459" t="str">
            <v>Paid</v>
          </cell>
          <cell r="U459" t="str">
            <v>Completed</v>
          </cell>
        </row>
        <row r="460">
          <cell r="A460" t="str">
            <v>ORD-2024-10459</v>
          </cell>
          <cell r="B460" t="str">
            <v>2024-02-10</v>
          </cell>
          <cell r="C460" t="str">
            <v>02/11/2024</v>
          </cell>
          <cell r="D460" t="str">
            <v>CUST-1263</v>
          </cell>
          <cell r="E460" t="str">
            <v>Karan Malhotra</v>
          </cell>
          <cell r="F460" t="str">
            <v>Corporate</v>
          </cell>
          <cell r="G460" t="str">
            <v>North</v>
          </cell>
          <cell r="H460" t="str">
            <v>Rajasthan</v>
          </cell>
          <cell r="I460" t="str">
            <v>Jaipur</v>
          </cell>
          <cell r="J460" t="str">
            <v>Technology</v>
          </cell>
          <cell r="K460" t="str">
            <v>Phones</v>
          </cell>
          <cell r="L460" t="str">
            <v>Pro Phones 907</v>
          </cell>
          <cell r="M460" t="str">
            <v>Second Class</v>
          </cell>
          <cell r="N460">
            <v>3</v>
          </cell>
          <cell r="O460">
            <v>3183.72</v>
          </cell>
          <cell r="P460">
            <v>0.1</v>
          </cell>
          <cell r="S460">
            <v>3217.88</v>
          </cell>
          <cell r="T460" t="str">
            <v>Paid</v>
          </cell>
          <cell r="U460" t="str">
            <v>Completed</v>
          </cell>
        </row>
        <row r="461">
          <cell r="A461" t="str">
            <v>ORD-2024-10460</v>
          </cell>
          <cell r="B461" t="str">
            <v>03/28/2024</v>
          </cell>
          <cell r="C461" t="str">
            <v>04-04-2024</v>
          </cell>
          <cell r="D461" t="str">
            <v>CUST-4745</v>
          </cell>
          <cell r="E461" t="str">
            <v>Ananya Rao</v>
          </cell>
          <cell r="F461" t="str">
            <v>Home Office</v>
          </cell>
          <cell r="G461" t="str">
            <v>West</v>
          </cell>
          <cell r="H461" t="str">
            <v>Goa</v>
          </cell>
          <cell r="I461" t="str">
            <v>Panaji</v>
          </cell>
          <cell r="J461" t="str">
            <v>Office Supplies</v>
          </cell>
          <cell r="K461" t="str">
            <v>Paper</v>
          </cell>
          <cell r="L461" t="str">
            <v>Basic Paper 233</v>
          </cell>
          <cell r="M461" t="str">
            <v>First Class</v>
          </cell>
          <cell r="N461">
            <v>3</v>
          </cell>
          <cell r="O461">
            <v>1150.92</v>
          </cell>
          <cell r="P461">
            <v>0</v>
          </cell>
          <cell r="S461">
            <v>1374.8</v>
          </cell>
          <cell r="T461" t="str">
            <v>Paid</v>
          </cell>
          <cell r="U461" t="str">
            <v>Completed</v>
          </cell>
        </row>
        <row r="462">
          <cell r="A462" t="str">
            <v>ORD-2025-10461</v>
          </cell>
          <cell r="B462" t="str">
            <v>30 Sep 2025</v>
          </cell>
          <cell r="C462" t="str">
            <v>06 Oct 2025</v>
          </cell>
          <cell r="D462" t="str">
            <v>CUST-5551</v>
          </cell>
          <cell r="E462" t="str">
            <v>Aarav Sharma</v>
          </cell>
          <cell r="F462" t="str">
            <v>Corporate</v>
          </cell>
          <cell r="H462" t="str">
            <v>Rajasthan</v>
          </cell>
          <cell r="I462" t="str">
            <v>Jaipur</v>
          </cell>
          <cell r="J462" t="str">
            <v>Technology</v>
          </cell>
          <cell r="K462" t="str">
            <v>Copiers</v>
          </cell>
          <cell r="L462" t="str">
            <v>Eco Copiers 603</v>
          </cell>
          <cell r="M462" t="str">
            <v>Second Class</v>
          </cell>
          <cell r="N462">
            <v>9</v>
          </cell>
          <cell r="O462">
            <v>1359.88</v>
          </cell>
          <cell r="P462">
            <v>0.05</v>
          </cell>
          <cell r="S462">
            <v>4232.8999999999996</v>
          </cell>
          <cell r="T462" t="str">
            <v>Paid</v>
          </cell>
          <cell r="U462" t="str">
            <v>Completed</v>
          </cell>
        </row>
        <row r="463">
          <cell r="A463" t="str">
            <v>ORD-2025-10462</v>
          </cell>
          <cell r="B463" t="str">
            <v>05/25/2025</v>
          </cell>
          <cell r="C463" t="str">
            <v>05/26/2025</v>
          </cell>
          <cell r="D463" t="str">
            <v>CUST-3659</v>
          </cell>
          <cell r="E463" t="str">
            <v>Neha Gupta</v>
          </cell>
          <cell r="F463" t="str">
            <v>Corporate</v>
          </cell>
          <cell r="G463" t="str">
            <v>South</v>
          </cell>
          <cell r="H463" t="str">
            <v>Andhra Pradesh</v>
          </cell>
          <cell r="I463" t="str">
            <v>Vijayawada</v>
          </cell>
          <cell r="J463" t="str">
            <v>Office Supplies</v>
          </cell>
          <cell r="K463" t="str">
            <v>Paper</v>
          </cell>
          <cell r="L463" t="str">
            <v>Max Paper 700</v>
          </cell>
          <cell r="M463" t="str">
            <v>Standard Class</v>
          </cell>
          <cell r="N463">
            <v>3</v>
          </cell>
          <cell r="O463">
            <v>3378.15</v>
          </cell>
          <cell r="P463">
            <v>0.15</v>
          </cell>
          <cell r="S463">
            <v>1562.2</v>
          </cell>
          <cell r="T463" t="str">
            <v>Paid</v>
          </cell>
          <cell r="U463" t="str">
            <v>Completed</v>
          </cell>
        </row>
        <row r="464">
          <cell r="A464" t="str">
            <v>ORD-2024-10463</v>
          </cell>
          <cell r="B464" t="str">
            <v>09/23/2024</v>
          </cell>
          <cell r="C464" t="str">
            <v>25-09-2024</v>
          </cell>
          <cell r="D464" t="str">
            <v>CUST-6594</v>
          </cell>
          <cell r="E464" t="str">
            <v>Aarav Sharma</v>
          </cell>
          <cell r="F464" t="str">
            <v>Home Office</v>
          </cell>
          <cell r="G464" t="str">
            <v>North</v>
          </cell>
          <cell r="H464" t="str">
            <v>Delhi</v>
          </cell>
          <cell r="I464" t="str">
            <v>New Delhi</v>
          </cell>
          <cell r="J464" t="str">
            <v>Office Supplies</v>
          </cell>
          <cell r="K464" t="str">
            <v>Binders</v>
          </cell>
          <cell r="L464" t="str">
            <v>Pro Binders 404</v>
          </cell>
          <cell r="M464" t="str">
            <v>First Class</v>
          </cell>
          <cell r="N464">
            <v>2</v>
          </cell>
          <cell r="O464">
            <v>1275.1400000000001</v>
          </cell>
          <cell r="P464">
            <v>0.2</v>
          </cell>
          <cell r="S464">
            <v>644.51</v>
          </cell>
          <cell r="T464" t="str">
            <v>Paid</v>
          </cell>
          <cell r="U464" t="str">
            <v>Completed</v>
          </cell>
        </row>
        <row r="465">
          <cell r="A465" t="str">
            <v>ORD-2025-10464</v>
          </cell>
          <cell r="B465" t="str">
            <v>07-02-2025</v>
          </cell>
          <cell r="C465" t="str">
            <v>2025-02-08</v>
          </cell>
          <cell r="D465" t="str">
            <v>CUST-2626</v>
          </cell>
          <cell r="E465" t="str">
            <v>Arjun Bose</v>
          </cell>
          <cell r="F465" t="str">
            <v>Corporate</v>
          </cell>
          <cell r="G465" t="str">
            <v>West</v>
          </cell>
          <cell r="H465" t="str">
            <v>Madhya Pradesh</v>
          </cell>
          <cell r="I465" t="str">
            <v>Indore</v>
          </cell>
          <cell r="J465" t="str">
            <v>Technology</v>
          </cell>
          <cell r="K465" t="str">
            <v>Phones</v>
          </cell>
          <cell r="L465" t="str">
            <v>Eco Phones 208</v>
          </cell>
          <cell r="M465" t="str">
            <v>Standard Class</v>
          </cell>
          <cell r="N465">
            <v>4</v>
          </cell>
          <cell r="O465">
            <v>889.5</v>
          </cell>
          <cell r="P465">
            <v>0.2</v>
          </cell>
          <cell r="S465">
            <v>714.03</v>
          </cell>
          <cell r="T465" t="str">
            <v>Paid</v>
          </cell>
          <cell r="U465" t="str">
            <v>Completed</v>
          </cell>
        </row>
        <row r="466">
          <cell r="A466" t="str">
            <v>ORD-2025-10465</v>
          </cell>
          <cell r="B466" t="str">
            <v>11-03-2025</v>
          </cell>
          <cell r="C466" t="str">
            <v>03/15/2025</v>
          </cell>
          <cell r="D466" t="str">
            <v>CUST-7362</v>
          </cell>
          <cell r="E466" t="str">
            <v>Arjun Bose</v>
          </cell>
          <cell r="F466" t="str">
            <v>Corporate</v>
          </cell>
          <cell r="G466" t="str">
            <v>East</v>
          </cell>
          <cell r="H466" t="str">
            <v>Bihar</v>
          </cell>
          <cell r="I466" t="str">
            <v>Patna</v>
          </cell>
          <cell r="J466" t="str">
            <v>Office Supplies</v>
          </cell>
          <cell r="K466" t="str">
            <v>Paper</v>
          </cell>
          <cell r="L466" t="str">
            <v>Elite Paper 106</v>
          </cell>
          <cell r="M466" t="str">
            <v>Same Day</v>
          </cell>
          <cell r="N466">
            <v>3</v>
          </cell>
          <cell r="O466">
            <v>3625.08</v>
          </cell>
          <cell r="P466">
            <v>0.05</v>
          </cell>
          <cell r="S466">
            <v>3199.57</v>
          </cell>
          <cell r="T466" t="str">
            <v>Pending</v>
          </cell>
          <cell r="U466" t="str">
            <v>Cancelled</v>
          </cell>
        </row>
        <row r="467">
          <cell r="A467" t="str">
            <v>ORD-2024-10466</v>
          </cell>
          <cell r="B467" t="str">
            <v>29-01-2024</v>
          </cell>
          <cell r="C467" t="str">
            <v>2024-02-06</v>
          </cell>
          <cell r="D467" t="str">
            <v>CUST-1748</v>
          </cell>
          <cell r="E467" t="str">
            <v>Aarav Sharma</v>
          </cell>
          <cell r="F467" t="str">
            <v>Small Business</v>
          </cell>
          <cell r="G467" t="str">
            <v>West</v>
          </cell>
          <cell r="H467" t="str">
            <v>Madhya Pradesh</v>
          </cell>
          <cell r="I467" t="str">
            <v>Indore</v>
          </cell>
          <cell r="J467" t="str">
            <v>Office Supplies</v>
          </cell>
          <cell r="K467" t="str">
            <v>Labels</v>
          </cell>
          <cell r="L467" t="str">
            <v>Eco Labels 914</v>
          </cell>
          <cell r="M467" t="str">
            <v>Standard Class</v>
          </cell>
          <cell r="N467">
            <v>2</v>
          </cell>
          <cell r="O467">
            <v>1258.9000000000001</v>
          </cell>
          <cell r="P467">
            <v>0</v>
          </cell>
          <cell r="S467">
            <v>1039.26</v>
          </cell>
          <cell r="T467" t="str">
            <v>Paid</v>
          </cell>
          <cell r="U467" t="str">
            <v>Completed</v>
          </cell>
        </row>
        <row r="468">
          <cell r="A468" t="str">
            <v>ORD-2024-10467</v>
          </cell>
          <cell r="B468" t="str">
            <v>04-01-2024</v>
          </cell>
          <cell r="C468" t="str">
            <v>01/08/2024</v>
          </cell>
          <cell r="D468" t="str">
            <v>CUST-2725</v>
          </cell>
          <cell r="E468" t="str">
            <v>Mira Das</v>
          </cell>
          <cell r="F468" t="str">
            <v>Small Business</v>
          </cell>
          <cell r="G468" t="str">
            <v>East</v>
          </cell>
          <cell r="H468" t="str">
            <v>Bihar</v>
          </cell>
          <cell r="I468" t="str">
            <v>Patna</v>
          </cell>
          <cell r="J468" t="str">
            <v>Technology</v>
          </cell>
          <cell r="K468" t="str">
            <v>Accessories</v>
          </cell>
          <cell r="L468" t="str">
            <v>Max Accessories 486</v>
          </cell>
          <cell r="M468" t="str">
            <v>Same Day</v>
          </cell>
          <cell r="N468">
            <v>9</v>
          </cell>
          <cell r="O468">
            <v>1591.96</v>
          </cell>
          <cell r="P468">
            <v>0.2</v>
          </cell>
          <cell r="S468">
            <v>4356.63</v>
          </cell>
          <cell r="T468" t="str">
            <v>Paid</v>
          </cell>
          <cell r="U468" t="str">
            <v>Completed</v>
          </cell>
        </row>
        <row r="469">
          <cell r="A469" t="str">
            <v>ORD-2024-10468</v>
          </cell>
          <cell r="B469" t="str">
            <v>20-08-2024</v>
          </cell>
          <cell r="C469" t="str">
            <v>21 Aug 2024</v>
          </cell>
          <cell r="D469" t="str">
            <v>CUST-9470</v>
          </cell>
          <cell r="E469" t="str">
            <v>Aditi Sen</v>
          </cell>
          <cell r="F469" t="str">
            <v>Corporate</v>
          </cell>
          <cell r="G469" t="str">
            <v>East</v>
          </cell>
          <cell r="H469" t="str">
            <v>Odisha</v>
          </cell>
          <cell r="I469" t="str">
            <v>Bhubaneswar</v>
          </cell>
          <cell r="J469" t="str">
            <v>Technology</v>
          </cell>
          <cell r="K469" t="str">
            <v>Copiers</v>
          </cell>
          <cell r="L469" t="str">
            <v>Max Copiers 867</v>
          </cell>
          <cell r="M469" t="str">
            <v>First Class</v>
          </cell>
          <cell r="N469">
            <v>5</v>
          </cell>
          <cell r="O469">
            <v>4288.33</v>
          </cell>
          <cell r="P469">
            <v>0.1</v>
          </cell>
          <cell r="S469">
            <v>3845.83</v>
          </cell>
          <cell r="T469" t="str">
            <v>Refunded</v>
          </cell>
          <cell r="U469" t="str">
            <v>Cancelled</v>
          </cell>
        </row>
        <row r="470">
          <cell r="A470" t="str">
            <v>ORD-2025-10469</v>
          </cell>
          <cell r="B470" t="str">
            <v>09 Jan 2025</v>
          </cell>
          <cell r="C470" t="str">
            <v>07 Jan 2025</v>
          </cell>
          <cell r="D470" t="str">
            <v>CUST-4176</v>
          </cell>
          <cell r="E470" t="str">
            <v>Aarav Sharma</v>
          </cell>
          <cell r="F470" t="str">
            <v>Home Office</v>
          </cell>
          <cell r="G470" t="str">
            <v>East</v>
          </cell>
          <cell r="H470" t="str">
            <v>West Bengal</v>
          </cell>
          <cell r="I470" t="str">
            <v>Kolkata</v>
          </cell>
          <cell r="J470" t="str">
            <v>Office Supplies</v>
          </cell>
          <cell r="K470" t="str">
            <v>Binders</v>
          </cell>
          <cell r="L470" t="str">
            <v>Pro Binders 555</v>
          </cell>
          <cell r="M470" t="str">
            <v>Second Class</v>
          </cell>
          <cell r="N470">
            <v>3</v>
          </cell>
          <cell r="O470">
            <v>2188.33</v>
          </cell>
          <cell r="P470">
            <v>0</v>
          </cell>
          <cell r="S470">
            <v>1157.75</v>
          </cell>
          <cell r="T470" t="str">
            <v>Paid</v>
          </cell>
          <cell r="U470" t="str">
            <v>Completed</v>
          </cell>
        </row>
        <row r="471">
          <cell r="A471" t="str">
            <v>ORD-2024-10470</v>
          </cell>
          <cell r="B471" t="str">
            <v>2024-01-19</v>
          </cell>
          <cell r="C471" t="str">
            <v>01/25/2024</v>
          </cell>
          <cell r="D471" t="str">
            <v>CUST-3448</v>
          </cell>
          <cell r="E471" t="str">
            <v>Aditi Sen</v>
          </cell>
          <cell r="F471" t="str">
            <v>Corporate</v>
          </cell>
          <cell r="G471" t="str">
            <v>West</v>
          </cell>
          <cell r="H471" t="str">
            <v>Goa</v>
          </cell>
          <cell r="I471" t="str">
            <v>Panaji</v>
          </cell>
          <cell r="J471" t="str">
            <v>Technology</v>
          </cell>
          <cell r="K471" t="str">
            <v>Copiers</v>
          </cell>
          <cell r="L471" t="str">
            <v>Pro Copiers 971</v>
          </cell>
          <cell r="M471" t="str">
            <v>First Class</v>
          </cell>
          <cell r="N471">
            <v>3</v>
          </cell>
          <cell r="O471">
            <v>1041.6600000000001</v>
          </cell>
          <cell r="P471">
            <v>0.1</v>
          </cell>
          <cell r="S471">
            <v>530.36</v>
          </cell>
          <cell r="T471" t="str">
            <v>Paid</v>
          </cell>
          <cell r="U471" t="str">
            <v>Completed</v>
          </cell>
        </row>
        <row r="472">
          <cell r="A472" t="str">
            <v>ORD-2024-10471</v>
          </cell>
          <cell r="B472" t="str">
            <v>28-07-2024</v>
          </cell>
          <cell r="C472" t="str">
            <v>07/31/2024</v>
          </cell>
          <cell r="D472" t="str">
            <v>CUST-4970</v>
          </cell>
          <cell r="E472" t="str">
            <v>Aditi Sen</v>
          </cell>
          <cell r="F472" t="str">
            <v>Consumer</v>
          </cell>
          <cell r="G472" t="str">
            <v>North</v>
          </cell>
          <cell r="H472" t="str">
            <v>Rajasthan</v>
          </cell>
          <cell r="I472" t="str">
            <v>Jaipur</v>
          </cell>
          <cell r="J472" t="str">
            <v>Furniture</v>
          </cell>
          <cell r="K472" t="str">
            <v>Tables</v>
          </cell>
          <cell r="L472" t="str">
            <v>Pro Tables 833</v>
          </cell>
          <cell r="M472" t="str">
            <v>Same Day</v>
          </cell>
          <cell r="N472">
            <v>2</v>
          </cell>
          <cell r="O472">
            <v>4424.78</v>
          </cell>
          <cell r="P472">
            <v>0.2</v>
          </cell>
          <cell r="S472">
            <v>2613.7399999999998</v>
          </cell>
          <cell r="T472" t="str">
            <v>Paid</v>
          </cell>
          <cell r="U472" t="str">
            <v>Completed</v>
          </cell>
        </row>
        <row r="473">
          <cell r="A473" t="str">
            <v>ORD-2024-10472</v>
          </cell>
          <cell r="B473" t="str">
            <v>11-02-2024</v>
          </cell>
          <cell r="C473" t="str">
            <v>02/15/2024</v>
          </cell>
          <cell r="D473" t="str">
            <v>CUST-6147</v>
          </cell>
          <cell r="E473" t="str">
            <v>Kabir Singh</v>
          </cell>
          <cell r="F473" t="str">
            <v>Consumer</v>
          </cell>
          <cell r="G473" t="str">
            <v>South</v>
          </cell>
          <cell r="H473" t="str">
            <v>Telangana</v>
          </cell>
          <cell r="I473" t="str">
            <v>Hyderabad</v>
          </cell>
          <cell r="J473" t="str">
            <v>Office Supplies</v>
          </cell>
          <cell r="K473" t="str">
            <v>Binders</v>
          </cell>
          <cell r="L473" t="str">
            <v>Prime Binders 497</v>
          </cell>
          <cell r="M473" t="str">
            <v>Standard Class</v>
          </cell>
          <cell r="N473">
            <v>3</v>
          </cell>
          <cell r="O473">
            <v>3019.14</v>
          </cell>
          <cell r="P473">
            <v>0.25</v>
          </cell>
          <cell r="S473">
            <v>1807.85</v>
          </cell>
          <cell r="T473" t="str">
            <v>Paid</v>
          </cell>
          <cell r="U473" t="str">
            <v>Completed</v>
          </cell>
        </row>
        <row r="474">
          <cell r="A474" t="str">
            <v>ORD-2024-10473</v>
          </cell>
          <cell r="B474" t="str">
            <v>02-03-2024</v>
          </cell>
          <cell r="C474" t="str">
            <v>03/07/2024</v>
          </cell>
          <cell r="D474" t="str">
            <v>CUST-7208</v>
          </cell>
          <cell r="E474" t="str">
            <v>Rohan Mehta</v>
          </cell>
          <cell r="F474" t="str">
            <v>Corporate</v>
          </cell>
          <cell r="G474" t="str">
            <v>East</v>
          </cell>
          <cell r="H474" t="str">
            <v>Odisha</v>
          </cell>
          <cell r="I474" t="str">
            <v>Bhubaneswar</v>
          </cell>
          <cell r="J474" t="str">
            <v>Office Supplies</v>
          </cell>
          <cell r="K474" t="str">
            <v>Storage</v>
          </cell>
          <cell r="L474" t="str">
            <v>Pro Storage 756</v>
          </cell>
          <cell r="M474" t="str">
            <v>Standard Class</v>
          </cell>
          <cell r="N474">
            <v>7</v>
          </cell>
          <cell r="O474">
            <v>263.45999999999998</v>
          </cell>
          <cell r="P474">
            <v>0</v>
          </cell>
          <cell r="S474">
            <v>750.01</v>
          </cell>
          <cell r="T474" t="str">
            <v>Paid</v>
          </cell>
          <cell r="U474" t="str">
            <v>Completed</v>
          </cell>
        </row>
        <row r="475">
          <cell r="A475" t="str">
            <v>ORD-2024-10474</v>
          </cell>
          <cell r="B475" t="str">
            <v>13-11-2024</v>
          </cell>
          <cell r="C475" t="str">
            <v>13 Nov 2024</v>
          </cell>
          <cell r="D475" t="str">
            <v>CUST-2794</v>
          </cell>
          <cell r="E475" t="str">
            <v>Priya Menon</v>
          </cell>
          <cell r="F475" t="str">
            <v>Consumer</v>
          </cell>
          <cell r="G475" t="str">
            <v>West</v>
          </cell>
          <cell r="H475" t="str">
            <v>Goa</v>
          </cell>
          <cell r="I475" t="str">
            <v>Panaji</v>
          </cell>
          <cell r="J475" t="str">
            <v>Technology</v>
          </cell>
          <cell r="K475" t="str">
            <v>Copiers</v>
          </cell>
          <cell r="L475" t="str">
            <v>Max Copiers 829</v>
          </cell>
          <cell r="M475" t="str">
            <v>Standard Class</v>
          </cell>
          <cell r="N475">
            <v>6</v>
          </cell>
          <cell r="O475">
            <v>191.45</v>
          </cell>
          <cell r="P475">
            <v>0.2</v>
          </cell>
          <cell r="S475">
            <v>364.78</v>
          </cell>
          <cell r="T475" t="str">
            <v>Paid</v>
          </cell>
          <cell r="U475" t="str">
            <v>Completed</v>
          </cell>
        </row>
        <row r="476">
          <cell r="A476" t="str">
            <v>ORD-2024-10475</v>
          </cell>
          <cell r="B476" t="str">
            <v>03-06-2024</v>
          </cell>
          <cell r="C476" t="str">
            <v>2024-06-10</v>
          </cell>
          <cell r="D476" t="str">
            <v>CUST-6249</v>
          </cell>
          <cell r="E476" t="str">
            <v>Diya Patel</v>
          </cell>
          <cell r="F476" t="str">
            <v>Corporate</v>
          </cell>
          <cell r="G476" t="str">
            <v>North</v>
          </cell>
          <cell r="H476" t="str">
            <v>Punjab</v>
          </cell>
          <cell r="I476" t="str">
            <v>Ludhiana</v>
          </cell>
          <cell r="J476" t="str">
            <v>Furniture</v>
          </cell>
          <cell r="K476" t="str">
            <v>Furnishings</v>
          </cell>
          <cell r="L476" t="str">
            <v>Prime Furnishings 827</v>
          </cell>
          <cell r="M476" t="str">
            <v>Standard Class</v>
          </cell>
          <cell r="N476">
            <v>3</v>
          </cell>
          <cell r="O476">
            <v>1633.57</v>
          </cell>
          <cell r="P476">
            <v>0</v>
          </cell>
          <cell r="S476">
            <v>2186.81</v>
          </cell>
          <cell r="T476" t="str">
            <v>Paid</v>
          </cell>
          <cell r="U476" t="str">
            <v>Completed</v>
          </cell>
        </row>
        <row r="477">
          <cell r="A477" t="str">
            <v>ORD-2025-10476</v>
          </cell>
          <cell r="B477" t="str">
            <v>03/01/2025</v>
          </cell>
          <cell r="C477" t="str">
            <v>08 Mar 2025</v>
          </cell>
          <cell r="D477" t="str">
            <v>CUST-5712</v>
          </cell>
          <cell r="E477" t="str">
            <v>Vikram Iyer</v>
          </cell>
          <cell r="F477" t="str">
            <v>Consumer</v>
          </cell>
          <cell r="G477" t="str">
            <v>East</v>
          </cell>
          <cell r="H477" t="str">
            <v>West Bengal</v>
          </cell>
          <cell r="I477" t="str">
            <v>Kolkata</v>
          </cell>
          <cell r="J477" t="str">
            <v>Furniture</v>
          </cell>
          <cell r="K477" t="str">
            <v>Chairs</v>
          </cell>
          <cell r="L477" t="str">
            <v>Eco Chairs 365</v>
          </cell>
          <cell r="M477" t="str">
            <v>Same Day</v>
          </cell>
          <cell r="N477">
            <v>8</v>
          </cell>
          <cell r="O477">
            <v>3378.82</v>
          </cell>
          <cell r="P477">
            <v>0.25</v>
          </cell>
          <cell r="S477">
            <v>4399.54</v>
          </cell>
          <cell r="T477" t="str">
            <v>Pending</v>
          </cell>
          <cell r="U477" t="str">
            <v>Returned</v>
          </cell>
        </row>
        <row r="478">
          <cell r="A478" t="str">
            <v>ORD-2024-10477</v>
          </cell>
          <cell r="B478" t="str">
            <v>05/07/2024</v>
          </cell>
          <cell r="C478" t="str">
            <v>05/14/2024</v>
          </cell>
          <cell r="D478" t="str">
            <v>CUST-3004</v>
          </cell>
          <cell r="E478" t="str">
            <v>Sneha Kapoor</v>
          </cell>
          <cell r="F478" t="str">
            <v>Small Business</v>
          </cell>
          <cell r="G478" t="str">
            <v>North</v>
          </cell>
          <cell r="H478" t="str">
            <v>Rajasthan</v>
          </cell>
          <cell r="I478" t="str">
            <v>Jaipur</v>
          </cell>
          <cell r="J478" t="str">
            <v>Office Supplies</v>
          </cell>
          <cell r="K478" t="str">
            <v>Storage</v>
          </cell>
          <cell r="L478" t="str">
            <v>Classic Storage 545</v>
          </cell>
          <cell r="M478" t="str">
            <v>First Class</v>
          </cell>
          <cell r="N478">
            <v>3</v>
          </cell>
          <cell r="O478">
            <v>383.58</v>
          </cell>
          <cell r="P478">
            <v>0.1</v>
          </cell>
          <cell r="S478">
            <v>440.25</v>
          </cell>
          <cell r="T478" t="str">
            <v>Paid</v>
          </cell>
          <cell r="U478" t="str">
            <v>Completed</v>
          </cell>
        </row>
        <row r="479">
          <cell r="A479" t="str">
            <v>ORD-2025-10478</v>
          </cell>
          <cell r="B479" t="str">
            <v>08/23/2025</v>
          </cell>
          <cell r="C479" t="str">
            <v>28-08-2025</v>
          </cell>
          <cell r="D479" t="str">
            <v>CUST-6920</v>
          </cell>
          <cell r="E479" t="str">
            <v>Vikram Iyer</v>
          </cell>
          <cell r="F479" t="str">
            <v>Corporate</v>
          </cell>
          <cell r="G479" t="str">
            <v>West</v>
          </cell>
          <cell r="H479" t="str">
            <v>Gujarat</v>
          </cell>
          <cell r="I479" t="str">
            <v>Ahmedabad</v>
          </cell>
          <cell r="J479" t="str">
            <v>Furniture</v>
          </cell>
          <cell r="K479" t="str">
            <v>Chairs</v>
          </cell>
          <cell r="L479" t="str">
            <v>Pro Chairs 186</v>
          </cell>
          <cell r="M479" t="str">
            <v>Standard Class</v>
          </cell>
          <cell r="N479">
            <v>6</v>
          </cell>
          <cell r="O479">
            <v>2193.23</v>
          </cell>
          <cell r="P479">
            <v>0.1</v>
          </cell>
          <cell r="S479">
            <v>2486.56</v>
          </cell>
          <cell r="T479" t="str">
            <v>Paid</v>
          </cell>
          <cell r="U479" t="str">
            <v>Cancelled</v>
          </cell>
        </row>
        <row r="480">
          <cell r="A480" t="str">
            <v>ORD-2024-10479</v>
          </cell>
          <cell r="B480" t="str">
            <v>06/09/2024</v>
          </cell>
          <cell r="C480" t="str">
            <v>2024-06-13</v>
          </cell>
          <cell r="D480" t="str">
            <v>CUST-4838</v>
          </cell>
          <cell r="E480" t="str">
            <v>Mira Das</v>
          </cell>
          <cell r="F480" t="str">
            <v>Home Office</v>
          </cell>
          <cell r="H480" t="str">
            <v>Uttar Pradesh</v>
          </cell>
          <cell r="I480" t="str">
            <v>Noida</v>
          </cell>
          <cell r="J480" t="str">
            <v>Technology</v>
          </cell>
          <cell r="K480" t="str">
            <v>Machines</v>
          </cell>
          <cell r="L480" t="str">
            <v>Classic Machines 561</v>
          </cell>
          <cell r="M480" t="str">
            <v>Same Day</v>
          </cell>
          <cell r="N480">
            <v>7</v>
          </cell>
          <cell r="O480">
            <v>4079.71</v>
          </cell>
          <cell r="P480">
            <v>0.1</v>
          </cell>
          <cell r="S480">
            <v>11130.69</v>
          </cell>
          <cell r="T480" t="str">
            <v>Refunded</v>
          </cell>
          <cell r="U480" t="str">
            <v>Returned</v>
          </cell>
        </row>
        <row r="481">
          <cell r="A481" t="str">
            <v>ORD-2024-10480</v>
          </cell>
          <cell r="B481" t="str">
            <v>23 Feb 2024</v>
          </cell>
          <cell r="C481" t="str">
            <v>2024-02-20</v>
          </cell>
          <cell r="D481" t="str">
            <v>CUST-7520</v>
          </cell>
          <cell r="E481" t="str">
            <v>Arjun Bose</v>
          </cell>
          <cell r="F481" t="str">
            <v>Corporate</v>
          </cell>
          <cell r="G481" t="str">
            <v>East</v>
          </cell>
          <cell r="H481" t="str">
            <v>Odisha</v>
          </cell>
          <cell r="I481" t="str">
            <v>Bhubaneswar</v>
          </cell>
          <cell r="J481" t="str">
            <v>Furniture</v>
          </cell>
          <cell r="K481" t="str">
            <v>Chairs</v>
          </cell>
          <cell r="L481" t="str">
            <v>Max Chairs 594</v>
          </cell>
          <cell r="M481" t="str">
            <v>Second Class</v>
          </cell>
          <cell r="N481">
            <v>1</v>
          </cell>
          <cell r="O481">
            <v>2202.5500000000002</v>
          </cell>
          <cell r="S481">
            <v>617.34</v>
          </cell>
          <cell r="T481" t="str">
            <v>Paid</v>
          </cell>
          <cell r="U481" t="str">
            <v>Completed</v>
          </cell>
        </row>
        <row r="482">
          <cell r="A482" t="str">
            <v>ORD-2025-10481</v>
          </cell>
          <cell r="B482" t="str">
            <v>2025-01-05</v>
          </cell>
          <cell r="C482" t="str">
            <v>09 Jan 2025</v>
          </cell>
          <cell r="D482" t="str">
            <v>CUST-9947</v>
          </cell>
          <cell r="E482" t="str">
            <v>Neha Gupta</v>
          </cell>
          <cell r="F482" t="str">
            <v>Small Business</v>
          </cell>
          <cell r="G482" t="str">
            <v>South</v>
          </cell>
          <cell r="H482" t="str">
            <v>Tamil Nadu</v>
          </cell>
          <cell r="I482" t="str">
            <v>Chennai</v>
          </cell>
          <cell r="J482" t="str">
            <v>Office Supplies</v>
          </cell>
          <cell r="K482" t="str">
            <v>Storage</v>
          </cell>
          <cell r="L482" t="str">
            <v>Eco Storage 923</v>
          </cell>
          <cell r="N482">
            <v>5</v>
          </cell>
          <cell r="O482">
            <v>905.16</v>
          </cell>
          <cell r="P482">
            <v>0</v>
          </cell>
          <cell r="S482">
            <v>1811.29</v>
          </cell>
          <cell r="T482" t="str">
            <v>Paid</v>
          </cell>
          <cell r="U482" t="str">
            <v>Completed</v>
          </cell>
        </row>
        <row r="483">
          <cell r="A483" t="str">
            <v>ORD-2025-10482</v>
          </cell>
          <cell r="B483" t="str">
            <v>2025-06-05</v>
          </cell>
          <cell r="C483" t="str">
            <v>06/13/2025</v>
          </cell>
          <cell r="D483" t="str">
            <v>CUST-4403</v>
          </cell>
          <cell r="E483" t="str">
            <v>Isha Nair</v>
          </cell>
          <cell r="F483" t="str">
            <v>Consumer</v>
          </cell>
          <cell r="G483" t="str">
            <v>North</v>
          </cell>
          <cell r="H483" t="str">
            <v>Uttar Pradesh</v>
          </cell>
          <cell r="I483" t="str">
            <v>Noida</v>
          </cell>
          <cell r="J483" t="str">
            <v>Technology</v>
          </cell>
          <cell r="K483" t="str">
            <v>Machines</v>
          </cell>
          <cell r="L483" t="str">
            <v>Classic Machines 287</v>
          </cell>
          <cell r="M483" t="str">
            <v>Same Day</v>
          </cell>
          <cell r="N483">
            <v>4</v>
          </cell>
          <cell r="O483">
            <v>2793.88</v>
          </cell>
          <cell r="P483" t="str">
            <v>85%</v>
          </cell>
          <cell r="S483">
            <v>4263.1499999999996</v>
          </cell>
          <cell r="T483" t="str">
            <v>Paid</v>
          </cell>
          <cell r="U483" t="str">
            <v>Completed</v>
          </cell>
        </row>
        <row r="484">
          <cell r="A484" t="str">
            <v>ORD-2024-10483</v>
          </cell>
          <cell r="B484" t="str">
            <v>07/22/2024</v>
          </cell>
          <cell r="C484" t="str">
            <v>07/22/2024</v>
          </cell>
          <cell r="D484" t="str">
            <v>CUST-3583</v>
          </cell>
          <cell r="E484" t="str">
            <v>Priya Menon</v>
          </cell>
          <cell r="F484" t="str">
            <v>Consumer</v>
          </cell>
          <cell r="G484" t="str">
            <v>South</v>
          </cell>
          <cell r="H484" t="str">
            <v>Karnataka</v>
          </cell>
          <cell r="I484" t="str">
            <v>Bengaluru</v>
          </cell>
          <cell r="J484" t="str">
            <v>Technology</v>
          </cell>
          <cell r="K484" t="str">
            <v>Accessories</v>
          </cell>
          <cell r="L484" t="str">
            <v>Basic Accessories 518</v>
          </cell>
          <cell r="M484" t="str">
            <v>Second Class</v>
          </cell>
          <cell r="N484">
            <v>3</v>
          </cell>
          <cell r="O484">
            <v>1286.22</v>
          </cell>
          <cell r="P484">
            <v>0.25</v>
          </cell>
          <cell r="S484">
            <v>1037.96</v>
          </cell>
          <cell r="T484" t="str">
            <v>Paid</v>
          </cell>
          <cell r="U484" t="str">
            <v>Completed</v>
          </cell>
        </row>
        <row r="485">
          <cell r="A485" t="str">
            <v>ORD-2024-10484</v>
          </cell>
          <cell r="B485" t="str">
            <v>25 Dec 2024</v>
          </cell>
          <cell r="C485" t="str">
            <v>25-12-2024</v>
          </cell>
          <cell r="D485" t="str">
            <v>CUST-9432</v>
          </cell>
          <cell r="E485" t="str">
            <v>Mira Das</v>
          </cell>
          <cell r="F485" t="str">
            <v>Corporate</v>
          </cell>
          <cell r="G485" t="str">
            <v>East</v>
          </cell>
          <cell r="H485" t="str">
            <v>Bihar</v>
          </cell>
          <cell r="I485" t="str">
            <v>Patna</v>
          </cell>
          <cell r="J485" t="str">
            <v>Technology</v>
          </cell>
          <cell r="K485" t="str">
            <v>Copiers</v>
          </cell>
          <cell r="L485" t="str">
            <v>Pro Copiers 984</v>
          </cell>
          <cell r="M485" t="str">
            <v>Standard Class</v>
          </cell>
          <cell r="N485">
            <v>1</v>
          </cell>
          <cell r="O485">
            <v>829.66</v>
          </cell>
          <cell r="P485">
            <v>0.15</v>
          </cell>
          <cell r="S485">
            <v>266.89</v>
          </cell>
          <cell r="T485" t="str">
            <v>Paid</v>
          </cell>
          <cell r="U485" t="str">
            <v>Completed</v>
          </cell>
        </row>
        <row r="486">
          <cell r="A486" t="str">
            <v>ORD-2024-10485</v>
          </cell>
          <cell r="B486" t="str">
            <v>2024-12-28</v>
          </cell>
          <cell r="C486" t="str">
            <v>12/31/2024</v>
          </cell>
          <cell r="D486" t="str">
            <v>CUST-1801</v>
          </cell>
          <cell r="E486" t="str">
            <v>Mira Das</v>
          </cell>
          <cell r="F486" t="str">
            <v>Small Business</v>
          </cell>
          <cell r="G486" t="str">
            <v>South</v>
          </cell>
          <cell r="H486" t="str">
            <v>Andhra Pradesh</v>
          </cell>
          <cell r="I486" t="str">
            <v>Vijayawada</v>
          </cell>
          <cell r="J486" t="str">
            <v>Furniture</v>
          </cell>
          <cell r="K486" t="str">
            <v>Furnishings</v>
          </cell>
          <cell r="L486" t="str">
            <v>Max Furnishings 297</v>
          </cell>
          <cell r="M486" t="str">
            <v>First Class</v>
          </cell>
          <cell r="N486">
            <v>6</v>
          </cell>
          <cell r="O486">
            <v>3641.22</v>
          </cell>
          <cell r="P486">
            <v>0.25</v>
          </cell>
          <cell r="S486">
            <v>2706.25</v>
          </cell>
          <cell r="T486" t="str">
            <v>Paid</v>
          </cell>
          <cell r="U486" t="str">
            <v>Completed</v>
          </cell>
        </row>
        <row r="487">
          <cell r="A487" t="str">
            <v>ORD-2025-10486</v>
          </cell>
          <cell r="B487" t="str">
            <v>2025-01-22</v>
          </cell>
          <cell r="C487" t="str">
            <v>23 Jan 2025</v>
          </cell>
          <cell r="D487" t="str">
            <v>CUST-1594</v>
          </cell>
          <cell r="E487" t="str">
            <v>Rahul Verma</v>
          </cell>
          <cell r="F487" t="str">
            <v>Corporate</v>
          </cell>
          <cell r="G487" t="str">
            <v>West</v>
          </cell>
          <cell r="H487" t="str">
            <v>Goa</v>
          </cell>
          <cell r="I487" t="str">
            <v>Panaji</v>
          </cell>
          <cell r="J487" t="str">
            <v>Furniture</v>
          </cell>
          <cell r="K487" t="str">
            <v>Bookcases</v>
          </cell>
          <cell r="L487" t="str">
            <v>Elite Bookcases 802</v>
          </cell>
          <cell r="M487" t="str">
            <v>Standard Class</v>
          </cell>
          <cell r="N487">
            <v>4</v>
          </cell>
          <cell r="O487">
            <v>2555.19</v>
          </cell>
          <cell r="P487">
            <v>0.25</v>
          </cell>
          <cell r="S487">
            <v>2069.9699999999998</v>
          </cell>
          <cell r="T487" t="str">
            <v>Paid</v>
          </cell>
          <cell r="U487" t="str">
            <v>Completed</v>
          </cell>
        </row>
        <row r="488">
          <cell r="A488" t="str">
            <v>ORD-2025-10487</v>
          </cell>
          <cell r="B488" t="str">
            <v>22-06-2025</v>
          </cell>
          <cell r="C488" t="str">
            <v>06/26/2025</v>
          </cell>
          <cell r="D488" t="str">
            <v>CUST-8132</v>
          </cell>
          <cell r="E488" t="str">
            <v>Rahul Verma</v>
          </cell>
          <cell r="F488" t="str">
            <v>Corporate</v>
          </cell>
          <cell r="G488" t="str">
            <v>West</v>
          </cell>
          <cell r="H488" t="str">
            <v>Goa</v>
          </cell>
          <cell r="I488" t="str">
            <v>Panaji</v>
          </cell>
          <cell r="J488" t="str">
            <v>Furniture</v>
          </cell>
          <cell r="K488" t="str">
            <v>Tables</v>
          </cell>
          <cell r="L488" t="str">
            <v>Pro Tables 257</v>
          </cell>
          <cell r="M488" t="str">
            <v>Standard Class</v>
          </cell>
          <cell r="N488">
            <v>3</v>
          </cell>
          <cell r="O488">
            <v>1946.18</v>
          </cell>
          <cell r="P488">
            <v>0.2</v>
          </cell>
          <cell r="S488">
            <v>1504.34</v>
          </cell>
          <cell r="T488" t="str">
            <v>Paid</v>
          </cell>
          <cell r="U488" t="str">
            <v>Completed</v>
          </cell>
        </row>
        <row r="489">
          <cell r="A489" t="str">
            <v>ORD-2025-10488</v>
          </cell>
          <cell r="B489" t="str">
            <v>10 Jun 2025</v>
          </cell>
          <cell r="C489" t="str">
            <v>06/17/2025</v>
          </cell>
          <cell r="D489" t="str">
            <v>CUST-7685</v>
          </cell>
          <cell r="E489" t="str">
            <v>Rahul Verma</v>
          </cell>
          <cell r="F489" t="str">
            <v>Corporate</v>
          </cell>
          <cell r="G489" t="str">
            <v>South</v>
          </cell>
          <cell r="H489" t="str">
            <v>Telangana</v>
          </cell>
          <cell r="I489" t="str">
            <v>Hyderabad</v>
          </cell>
          <cell r="J489" t="str">
            <v>Furniture</v>
          </cell>
          <cell r="K489" t="str">
            <v>Furnishings</v>
          </cell>
          <cell r="L489" t="str">
            <v>Prime Furnishings 299</v>
          </cell>
          <cell r="M489" t="str">
            <v>Standard Class</v>
          </cell>
          <cell r="N489">
            <v>5</v>
          </cell>
          <cell r="O489">
            <v>1231.0999999999999</v>
          </cell>
          <cell r="P489">
            <v>0</v>
          </cell>
          <cell r="S489">
            <v>1873.41</v>
          </cell>
          <cell r="T489" t="str">
            <v>Refunded</v>
          </cell>
          <cell r="U489" t="str">
            <v>Returned</v>
          </cell>
        </row>
        <row r="490">
          <cell r="A490" t="str">
            <v>ORD-2024-10489</v>
          </cell>
          <cell r="B490" t="str">
            <v>14 Oct 2024</v>
          </cell>
          <cell r="C490" t="str">
            <v>2024-10-20</v>
          </cell>
          <cell r="D490" t="str">
            <v>CUST-2183</v>
          </cell>
          <cell r="E490" t="str">
            <v>Aditi Sen</v>
          </cell>
          <cell r="F490" t="str">
            <v>Small Business</v>
          </cell>
          <cell r="G490" t="str">
            <v>North</v>
          </cell>
          <cell r="H490" t="str">
            <v>Rajasthan</v>
          </cell>
          <cell r="I490" t="str">
            <v>Jaipur</v>
          </cell>
          <cell r="J490" t="str">
            <v>Furniture</v>
          </cell>
          <cell r="K490" t="str">
            <v>Tables</v>
          </cell>
          <cell r="L490" t="str">
            <v>Eco Tables 487</v>
          </cell>
          <cell r="M490" t="str">
            <v>Same Day</v>
          </cell>
          <cell r="N490">
            <v>7</v>
          </cell>
          <cell r="O490">
            <v>1547.6</v>
          </cell>
          <cell r="P490">
            <v>0.2</v>
          </cell>
          <cell r="S490">
            <v>2699.12</v>
          </cell>
          <cell r="T490" t="str">
            <v>Paid</v>
          </cell>
          <cell r="U490" t="str">
            <v>Completed</v>
          </cell>
        </row>
        <row r="491">
          <cell r="A491" t="str">
            <v>ORD-2024-10490</v>
          </cell>
          <cell r="B491" t="str">
            <v>2024-02-07</v>
          </cell>
          <cell r="C491" t="str">
            <v>2024-02-12</v>
          </cell>
          <cell r="D491" t="str">
            <v>CUST-1636</v>
          </cell>
          <cell r="E491" t="str">
            <v>Arjun Bose</v>
          </cell>
          <cell r="F491" t="str">
            <v>Home Office</v>
          </cell>
          <cell r="G491" t="str">
            <v>East</v>
          </cell>
          <cell r="H491" t="str">
            <v>West Bengal</v>
          </cell>
          <cell r="I491" t="str">
            <v>Kolkata</v>
          </cell>
          <cell r="J491" t="str">
            <v>Technology</v>
          </cell>
          <cell r="K491" t="str">
            <v>Accessories</v>
          </cell>
          <cell r="L491" t="str">
            <v>Prime Accessories 960</v>
          </cell>
          <cell r="M491" t="str">
            <v>Second Class</v>
          </cell>
          <cell r="N491">
            <v>1</v>
          </cell>
          <cell r="O491">
            <v>452.19</v>
          </cell>
          <cell r="P491">
            <v>0.2</v>
          </cell>
          <cell r="S491">
            <v>99.22</v>
          </cell>
          <cell r="T491" t="str">
            <v>Paid</v>
          </cell>
          <cell r="U491" t="str">
            <v>Completed</v>
          </cell>
        </row>
        <row r="492">
          <cell r="A492" t="str">
            <v>ORD-2024-10491</v>
          </cell>
          <cell r="B492" t="str">
            <v>2024-09-16</v>
          </cell>
          <cell r="C492" t="str">
            <v>09/19/2024</v>
          </cell>
          <cell r="D492" t="str">
            <v>CUST-1350</v>
          </cell>
          <cell r="E492" t="str">
            <v>Aditi Sen</v>
          </cell>
          <cell r="F492" t="str">
            <v>Consumer</v>
          </cell>
          <cell r="G492" t="str">
            <v>West</v>
          </cell>
          <cell r="H492" t="str">
            <v>Rajasthan</v>
          </cell>
          <cell r="I492" t="str">
            <v>Udaipur</v>
          </cell>
          <cell r="J492" t="str">
            <v>Office Supplies</v>
          </cell>
          <cell r="K492" t="str">
            <v>Binders</v>
          </cell>
          <cell r="L492" t="str">
            <v>Smart Binders 191</v>
          </cell>
          <cell r="M492" t="str">
            <v>First Class</v>
          </cell>
          <cell r="N492">
            <v>7</v>
          </cell>
          <cell r="O492">
            <v>406.42</v>
          </cell>
          <cell r="P492">
            <v>0.15</v>
          </cell>
          <cell r="S492">
            <v>804.38</v>
          </cell>
          <cell r="T492" t="str">
            <v>Paid</v>
          </cell>
          <cell r="U492" t="str">
            <v>Completed</v>
          </cell>
        </row>
        <row r="493">
          <cell r="A493" t="str">
            <v>ORD-2025-10492</v>
          </cell>
          <cell r="B493" t="str">
            <v>2025-04-29</v>
          </cell>
          <cell r="C493" t="str">
            <v>30-04-2025</v>
          </cell>
          <cell r="D493" t="str">
            <v>CUST-4101</v>
          </cell>
          <cell r="E493" t="str">
            <v>Mira Das</v>
          </cell>
          <cell r="F493" t="str">
            <v>Corporate</v>
          </cell>
          <cell r="G493" t="str">
            <v>South</v>
          </cell>
          <cell r="H493" t="str">
            <v>Kerala</v>
          </cell>
          <cell r="I493" t="str">
            <v>Kochi</v>
          </cell>
          <cell r="J493" t="str">
            <v>Technology</v>
          </cell>
          <cell r="K493" t="str">
            <v>Accessories</v>
          </cell>
          <cell r="L493" t="str">
            <v>Prime Accessories 118</v>
          </cell>
          <cell r="M493" t="str">
            <v>Standard Class</v>
          </cell>
          <cell r="N493">
            <v>4</v>
          </cell>
          <cell r="O493">
            <v>606.58000000000004</v>
          </cell>
          <cell r="P493">
            <v>0.2</v>
          </cell>
          <cell r="S493">
            <v>733.64</v>
          </cell>
          <cell r="T493" t="str">
            <v>Paid</v>
          </cell>
          <cell r="U493" t="str">
            <v>Completed</v>
          </cell>
        </row>
        <row r="494">
          <cell r="A494" t="str">
            <v>ORD-2025-10493</v>
          </cell>
          <cell r="B494" t="str">
            <v>28-06-2025</v>
          </cell>
          <cell r="C494" t="str">
            <v>07/02/2025</v>
          </cell>
          <cell r="D494" t="str">
            <v>CUST-4679</v>
          </cell>
          <cell r="E494" t="str">
            <v>Ananya Rao</v>
          </cell>
          <cell r="F494" t="str">
            <v>Corporate</v>
          </cell>
          <cell r="G494" t="str">
            <v>South</v>
          </cell>
          <cell r="H494" t="str">
            <v>Andhra Pradesh</v>
          </cell>
          <cell r="I494" t="str">
            <v>Vijayawada</v>
          </cell>
          <cell r="J494" t="str">
            <v>Office Supplies</v>
          </cell>
          <cell r="K494" t="str">
            <v>Storage</v>
          </cell>
          <cell r="L494" t="str">
            <v>Elite Storage 331</v>
          </cell>
          <cell r="M494" t="str">
            <v>Second Class</v>
          </cell>
          <cell r="N494">
            <v>2</v>
          </cell>
          <cell r="O494">
            <v>2725.44</v>
          </cell>
          <cell r="P494">
            <v>0.25</v>
          </cell>
          <cell r="S494">
            <v>882.48</v>
          </cell>
          <cell r="T494" t="str">
            <v>Paid</v>
          </cell>
          <cell r="U494" t="str">
            <v>Completed</v>
          </cell>
        </row>
        <row r="495">
          <cell r="A495" t="str">
            <v>ORD-2025-10494</v>
          </cell>
          <cell r="B495" t="str">
            <v>13 Feb 2025</v>
          </cell>
          <cell r="C495" t="str">
            <v>2025-02-13</v>
          </cell>
          <cell r="D495" t="str">
            <v>CUST-3765</v>
          </cell>
          <cell r="E495" t="str">
            <v>Kabir Singh</v>
          </cell>
          <cell r="F495" t="str">
            <v>Corporate</v>
          </cell>
          <cell r="G495" t="str">
            <v>East</v>
          </cell>
          <cell r="H495" t="str">
            <v>Odisha</v>
          </cell>
          <cell r="I495" t="str">
            <v>Bhubaneswar</v>
          </cell>
          <cell r="J495" t="str">
            <v>Office Supplies</v>
          </cell>
          <cell r="K495" t="str">
            <v>Paper</v>
          </cell>
          <cell r="L495" t="str">
            <v>Prime Paper 996</v>
          </cell>
          <cell r="M495" t="str">
            <v>Second Class</v>
          </cell>
          <cell r="N495">
            <v>7</v>
          </cell>
          <cell r="O495">
            <v>2296.6999999999998</v>
          </cell>
          <cell r="P495">
            <v>0.05</v>
          </cell>
          <cell r="S495">
            <v>4184.29</v>
          </cell>
          <cell r="T495" t="str">
            <v>Paid</v>
          </cell>
          <cell r="U495" t="str">
            <v>COMPLETED</v>
          </cell>
        </row>
        <row r="496">
          <cell r="A496" t="str">
            <v>ORD-2024-10495</v>
          </cell>
          <cell r="B496" t="str">
            <v>2024-11-14</v>
          </cell>
          <cell r="C496" t="str">
            <v>2024-11-22</v>
          </cell>
          <cell r="D496" t="str">
            <v>CUST-9056</v>
          </cell>
          <cell r="E496" t="str">
            <v>Isha Nair</v>
          </cell>
          <cell r="F496" t="str">
            <v>Consumer</v>
          </cell>
          <cell r="G496" t="str">
            <v>West</v>
          </cell>
          <cell r="H496" t="str">
            <v>Madhya Pradesh</v>
          </cell>
          <cell r="I496" t="str">
            <v>Indore</v>
          </cell>
          <cell r="J496" t="str">
            <v>Technology</v>
          </cell>
          <cell r="K496" t="str">
            <v>Phones</v>
          </cell>
          <cell r="L496" t="str">
            <v>Smart Phones 125</v>
          </cell>
          <cell r="M496" t="str">
            <v>Standard Class</v>
          </cell>
          <cell r="N496">
            <v>3</v>
          </cell>
          <cell r="O496">
            <v>671.68</v>
          </cell>
          <cell r="P496">
            <v>-0.13</v>
          </cell>
          <cell r="S496">
            <v>360.66</v>
          </cell>
          <cell r="T496" t="str">
            <v>Failed</v>
          </cell>
          <cell r="U496" t="str">
            <v>Cancelled</v>
          </cell>
        </row>
        <row r="497">
          <cell r="A497" t="str">
            <v>ORD-2024-10496</v>
          </cell>
          <cell r="B497" t="str">
            <v>05/09/2024</v>
          </cell>
          <cell r="C497" t="str">
            <v>05/15/2024</v>
          </cell>
          <cell r="D497" t="str">
            <v>CUST-9801</v>
          </cell>
          <cell r="E497" t="str">
            <v>Mira Das</v>
          </cell>
          <cell r="F497" t="str">
            <v>Small Business</v>
          </cell>
          <cell r="G497" t="str">
            <v>East</v>
          </cell>
          <cell r="H497" t="str">
            <v>Assam</v>
          </cell>
          <cell r="I497" t="str">
            <v>Guwahati</v>
          </cell>
          <cell r="J497" t="str">
            <v>Technology</v>
          </cell>
          <cell r="K497" t="str">
            <v>Phones</v>
          </cell>
          <cell r="L497" t="str">
            <v>Eco Phones 220</v>
          </cell>
          <cell r="M497" t="str">
            <v>Second Class</v>
          </cell>
          <cell r="N497">
            <v>4</v>
          </cell>
          <cell r="O497">
            <v>995.98</v>
          </cell>
          <cell r="P497">
            <v>0.05</v>
          </cell>
          <cell r="S497">
            <v>1365.48</v>
          </cell>
          <cell r="T497" t="str">
            <v>Refunded</v>
          </cell>
          <cell r="U497" t="str">
            <v>Returned</v>
          </cell>
        </row>
        <row r="498">
          <cell r="A498" t="str">
            <v>ORD-2025-10497</v>
          </cell>
          <cell r="B498" t="str">
            <v>2025-07-04</v>
          </cell>
          <cell r="C498" t="str">
            <v>2025-07-06</v>
          </cell>
          <cell r="D498" t="str">
            <v>CUST-2038</v>
          </cell>
          <cell r="E498" t="str">
            <v>Kabir Singh</v>
          </cell>
          <cell r="F498" t="str">
            <v>Small Business</v>
          </cell>
          <cell r="G498" t="str">
            <v>East</v>
          </cell>
          <cell r="H498" t="str">
            <v>Jharkhand</v>
          </cell>
          <cell r="I498" t="str">
            <v>Ranchi</v>
          </cell>
          <cell r="J498" t="str">
            <v>Furniture</v>
          </cell>
          <cell r="K498" t="str">
            <v>Chairs</v>
          </cell>
          <cell r="L498" t="str">
            <v>Eco Chairs 795</v>
          </cell>
          <cell r="M498" t="str">
            <v>Second Class</v>
          </cell>
          <cell r="N498">
            <v>2</v>
          </cell>
          <cell r="O498">
            <v>3686.42</v>
          </cell>
          <cell r="P498">
            <v>0.1</v>
          </cell>
          <cell r="S498">
            <v>2982.65</v>
          </cell>
          <cell r="T498" t="str">
            <v>Paid</v>
          </cell>
          <cell r="U498" t="str">
            <v>Completed</v>
          </cell>
        </row>
        <row r="499">
          <cell r="A499" t="str">
            <v>ORD-2024-10498</v>
          </cell>
          <cell r="B499" t="str">
            <v>29 Aug 2024</v>
          </cell>
          <cell r="C499" t="str">
            <v>29 Aug 2024</v>
          </cell>
          <cell r="D499" t="str">
            <v>CUST-1567</v>
          </cell>
          <cell r="E499" t="str">
            <v>Sneha Kapoor</v>
          </cell>
          <cell r="F499" t="str">
            <v>Small Business</v>
          </cell>
          <cell r="G499" t="str">
            <v>NORTH</v>
          </cell>
          <cell r="H499" t="str">
            <v>Uttar Pradesh</v>
          </cell>
          <cell r="I499" t="str">
            <v>Noida</v>
          </cell>
          <cell r="J499" t="str">
            <v>Technology</v>
          </cell>
          <cell r="K499" t="str">
            <v>Accessories</v>
          </cell>
          <cell r="L499" t="str">
            <v>Smart Accessories 896</v>
          </cell>
          <cell r="M499" t="str">
            <v>Second Class</v>
          </cell>
          <cell r="N499">
            <v>1</v>
          </cell>
          <cell r="O499">
            <v>3106.88</v>
          </cell>
          <cell r="P499">
            <v>0.2</v>
          </cell>
          <cell r="S499">
            <v>457.07</v>
          </cell>
          <cell r="T499" t="str">
            <v>Paid</v>
          </cell>
          <cell r="U499" t="str">
            <v>Cancelled</v>
          </cell>
        </row>
        <row r="500">
          <cell r="A500" t="str">
            <v>ORD-2025-10499</v>
          </cell>
          <cell r="B500" t="str">
            <v>2025-09-07</v>
          </cell>
          <cell r="C500" t="str">
            <v>10 Sep 2025</v>
          </cell>
          <cell r="D500" t="str">
            <v>CUST-1190</v>
          </cell>
          <cell r="E500" t="str">
            <v>Karan Malhotra</v>
          </cell>
          <cell r="F500" t="str">
            <v>Consumer</v>
          </cell>
          <cell r="G500" t="str">
            <v>North</v>
          </cell>
          <cell r="H500" t="str">
            <v>Punjab</v>
          </cell>
          <cell r="I500" t="str">
            <v>Ludhiana</v>
          </cell>
          <cell r="J500" t="str">
            <v>Furniture</v>
          </cell>
          <cell r="K500" t="str">
            <v>Chairs</v>
          </cell>
          <cell r="L500" t="str">
            <v>Basic Chairs 255</v>
          </cell>
          <cell r="M500" t="str">
            <v>Same Day</v>
          </cell>
          <cell r="N500">
            <v>2</v>
          </cell>
          <cell r="O500">
            <v>447.55</v>
          </cell>
          <cell r="P500">
            <v>0.05</v>
          </cell>
          <cell r="S500">
            <v>249.37</v>
          </cell>
          <cell r="T500" t="str">
            <v>Refunded</v>
          </cell>
          <cell r="U500" t="str">
            <v>cancelled</v>
          </cell>
        </row>
        <row r="501">
          <cell r="A501" t="str">
            <v>ORD-2024-10500</v>
          </cell>
          <cell r="B501" t="str">
            <v>2024-12-22</v>
          </cell>
          <cell r="C501" t="str">
            <v>26-12-2024</v>
          </cell>
          <cell r="D501" t="str">
            <v>CUST-5604</v>
          </cell>
          <cell r="E501" t="str">
            <v>Rahul Verma</v>
          </cell>
          <cell r="F501" t="str">
            <v>Home Office</v>
          </cell>
          <cell r="G501" t="str">
            <v>North</v>
          </cell>
          <cell r="H501" t="str">
            <v>Uttar Pradesh</v>
          </cell>
          <cell r="I501" t="str">
            <v>Noida</v>
          </cell>
          <cell r="J501" t="str">
            <v>Furniture</v>
          </cell>
          <cell r="K501" t="str">
            <v>Chairs</v>
          </cell>
          <cell r="L501" t="str">
            <v>Eco Chairs 210</v>
          </cell>
          <cell r="M501" t="str">
            <v>Standard Class</v>
          </cell>
          <cell r="N501">
            <v>9</v>
          </cell>
          <cell r="O501">
            <v>1110.8699999999999</v>
          </cell>
          <cell r="S501">
            <v>1439.3</v>
          </cell>
          <cell r="T501" t="str">
            <v>Paid</v>
          </cell>
          <cell r="U501" t="str">
            <v>Cancelled</v>
          </cell>
        </row>
        <row r="502">
          <cell r="A502" t="str">
            <v>ORD-2024-10501</v>
          </cell>
          <cell r="B502" t="str">
            <v>05/17/2024</v>
          </cell>
          <cell r="C502" t="str">
            <v>05/22/2024</v>
          </cell>
          <cell r="D502" t="str">
            <v>CUST-7661</v>
          </cell>
          <cell r="E502" t="str">
            <v>Sneha Kapoor</v>
          </cell>
          <cell r="F502" t="str">
            <v>Consumer</v>
          </cell>
          <cell r="G502" t="str">
            <v>South</v>
          </cell>
          <cell r="H502" t="str">
            <v>Kerala</v>
          </cell>
          <cell r="I502" t="str">
            <v>Kochi</v>
          </cell>
          <cell r="J502" t="str">
            <v>Technology</v>
          </cell>
          <cell r="K502" t="str">
            <v>Phones</v>
          </cell>
          <cell r="L502" t="str">
            <v>Prime Phones 533</v>
          </cell>
          <cell r="M502" t="str">
            <v>Same Day</v>
          </cell>
          <cell r="N502">
            <v>9</v>
          </cell>
          <cell r="O502">
            <v>3795.99</v>
          </cell>
          <cell r="P502" t="str">
            <v>85%</v>
          </cell>
          <cell r="S502">
            <v>5586.76</v>
          </cell>
          <cell r="T502" t="str">
            <v>Paid</v>
          </cell>
          <cell r="U502" t="str">
            <v>Completed</v>
          </cell>
        </row>
        <row r="503">
          <cell r="A503" t="str">
            <v>ORD-2024-10502</v>
          </cell>
          <cell r="B503" t="str">
            <v>11 Aug 2024</v>
          </cell>
          <cell r="C503" t="str">
            <v>08/17/2024</v>
          </cell>
          <cell r="D503" t="str">
            <v>CUST-3710</v>
          </cell>
          <cell r="E503" t="str">
            <v>Neha Gupta</v>
          </cell>
          <cell r="F503" t="str">
            <v>Consumer</v>
          </cell>
          <cell r="G503" t="str">
            <v>East</v>
          </cell>
          <cell r="H503" t="str">
            <v>Jharkhand</v>
          </cell>
          <cell r="I503" t="str">
            <v>Ranchi</v>
          </cell>
          <cell r="J503" t="str">
            <v>Office Supplies</v>
          </cell>
          <cell r="K503" t="str">
            <v>Art</v>
          </cell>
          <cell r="L503" t="str">
            <v>Elite Art 325</v>
          </cell>
          <cell r="M503" t="str">
            <v>Second Class</v>
          </cell>
          <cell r="N503">
            <v>6</v>
          </cell>
          <cell r="O503">
            <v>3497.54</v>
          </cell>
          <cell r="P503">
            <v>0.15</v>
          </cell>
          <cell r="S503">
            <v>4210.43</v>
          </cell>
          <cell r="T503" t="str">
            <v>Paid</v>
          </cell>
          <cell r="U503" t="str">
            <v>Completed</v>
          </cell>
        </row>
        <row r="504">
          <cell r="A504" t="str">
            <v>ORD-2024-10503</v>
          </cell>
          <cell r="B504" t="str">
            <v>04/01/2024</v>
          </cell>
          <cell r="C504" t="str">
            <v>2024-04-09</v>
          </cell>
          <cell r="D504" t="str">
            <v>CUST-1534</v>
          </cell>
          <cell r="E504" t="str">
            <v>Priya Menon</v>
          </cell>
          <cell r="F504" t="str">
            <v>Small Business</v>
          </cell>
          <cell r="G504" t="str">
            <v>East</v>
          </cell>
          <cell r="H504" t="str">
            <v>Odisha</v>
          </cell>
          <cell r="I504" t="str">
            <v>Bhubaneswar</v>
          </cell>
          <cell r="J504" t="str">
            <v>Technology</v>
          </cell>
          <cell r="K504" t="str">
            <v>Copiers</v>
          </cell>
          <cell r="L504" t="str">
            <v>Prime Copiers 557</v>
          </cell>
          <cell r="M504" t="str">
            <v>Second Class</v>
          </cell>
          <cell r="N504">
            <v>6</v>
          </cell>
          <cell r="O504">
            <v>826.93</v>
          </cell>
          <cell r="P504">
            <v>0.1</v>
          </cell>
          <cell r="S504">
            <v>1088.32</v>
          </cell>
          <cell r="T504" t="str">
            <v>Paid</v>
          </cell>
          <cell r="U504" t="str">
            <v>Completed</v>
          </cell>
        </row>
        <row r="505">
          <cell r="A505" t="str">
            <v>ORD-2024-10504</v>
          </cell>
          <cell r="B505" t="str">
            <v>2024-09-28</v>
          </cell>
          <cell r="C505" t="str">
            <v>2024-10-05</v>
          </cell>
          <cell r="D505" t="str">
            <v>CUST-7422</v>
          </cell>
          <cell r="E505" t="str">
            <v>Aarav Sharma</v>
          </cell>
          <cell r="F505" t="str">
            <v>Consumer</v>
          </cell>
          <cell r="G505" t="str">
            <v>South</v>
          </cell>
          <cell r="H505" t="str">
            <v>Tamil Nadu</v>
          </cell>
          <cell r="I505" t="str">
            <v>Chennai</v>
          </cell>
          <cell r="J505" t="str">
            <v>Technology</v>
          </cell>
          <cell r="K505" t="str">
            <v>Phones</v>
          </cell>
          <cell r="L505" t="str">
            <v>Smart Phones 674</v>
          </cell>
          <cell r="M505" t="str">
            <v>Standard Class</v>
          </cell>
          <cell r="N505">
            <v>7</v>
          </cell>
          <cell r="O505">
            <v>1681.6</v>
          </cell>
          <cell r="P505">
            <v>0.1</v>
          </cell>
          <cell r="S505">
            <v>3433.77</v>
          </cell>
          <cell r="T505" t="str">
            <v>Paid</v>
          </cell>
          <cell r="U505" t="str">
            <v>Completed</v>
          </cell>
        </row>
        <row r="506">
          <cell r="A506" t="str">
            <v>ORD-2025-10505</v>
          </cell>
          <cell r="B506" t="str">
            <v>2025-02-12</v>
          </cell>
          <cell r="C506" t="str">
            <v>2025-02-17</v>
          </cell>
          <cell r="D506" t="str">
            <v>CUST-9693</v>
          </cell>
          <cell r="E506" t="str">
            <v>Arjun Bose</v>
          </cell>
          <cell r="F506" t="str">
            <v>Corporate</v>
          </cell>
          <cell r="G506" t="str">
            <v>West</v>
          </cell>
          <cell r="H506" t="str">
            <v>Gujarat</v>
          </cell>
          <cell r="I506" t="str">
            <v>Ahmedabad</v>
          </cell>
          <cell r="J506" t="str">
            <v>Office Supplies</v>
          </cell>
          <cell r="K506" t="str">
            <v>Art</v>
          </cell>
          <cell r="L506" t="str">
            <v>Elite Art 553</v>
          </cell>
          <cell r="M506" t="str">
            <v>Standard Class</v>
          </cell>
          <cell r="N506">
            <v>4</v>
          </cell>
          <cell r="O506">
            <v>4328.12</v>
          </cell>
          <cell r="P506">
            <v>0</v>
          </cell>
          <cell r="S506">
            <v>2888.26</v>
          </cell>
          <cell r="T506" t="str">
            <v>Paid</v>
          </cell>
          <cell r="U506" t="str">
            <v>Completed</v>
          </cell>
        </row>
        <row r="507">
          <cell r="A507" t="str">
            <v>ORD-2024-10506</v>
          </cell>
          <cell r="B507" t="str">
            <v>2024-11-09</v>
          </cell>
          <cell r="C507" t="str">
            <v>14 Nov 2024</v>
          </cell>
          <cell r="D507" t="str">
            <v>CUST-5458</v>
          </cell>
          <cell r="E507" t="str">
            <v>Neha Gupta</v>
          </cell>
          <cell r="F507" t="str">
            <v>Corporate</v>
          </cell>
          <cell r="G507" t="str">
            <v>West</v>
          </cell>
          <cell r="H507" t="str">
            <v>Madhya Pradesh</v>
          </cell>
          <cell r="I507" t="str">
            <v>Indore</v>
          </cell>
          <cell r="J507" t="str">
            <v>Office Supplies</v>
          </cell>
          <cell r="K507" t="str">
            <v>Art</v>
          </cell>
          <cell r="L507" t="str">
            <v>Classic Art 339</v>
          </cell>
          <cell r="M507" t="str">
            <v>First Class</v>
          </cell>
          <cell r="N507">
            <v>9</v>
          </cell>
          <cell r="O507">
            <v>2438.29</v>
          </cell>
          <cell r="P507">
            <v>0.2</v>
          </cell>
          <cell r="S507">
            <v>4262.49</v>
          </cell>
          <cell r="T507" t="str">
            <v>Paid</v>
          </cell>
          <cell r="U507" t="str">
            <v>Cancelled</v>
          </cell>
        </row>
        <row r="508">
          <cell r="A508" t="str">
            <v>ORD-2024-10507</v>
          </cell>
          <cell r="B508" t="str">
            <v>15-12-2024</v>
          </cell>
          <cell r="C508" t="str">
            <v>2024-12-15</v>
          </cell>
          <cell r="D508" t="str">
            <v>CUST-3011</v>
          </cell>
          <cell r="E508" t="str">
            <v>Aarav Sharma</v>
          </cell>
          <cell r="F508" t="str">
            <v>Small Business</v>
          </cell>
          <cell r="G508" t="str">
            <v>North</v>
          </cell>
          <cell r="H508" t="str">
            <v>Punjab</v>
          </cell>
          <cell r="I508" t="str">
            <v>Ludhiana</v>
          </cell>
          <cell r="J508" t="str">
            <v>Furniture</v>
          </cell>
          <cell r="K508" t="str">
            <v>Furnishings</v>
          </cell>
          <cell r="L508" t="str">
            <v>Smart Furnishings 352</v>
          </cell>
          <cell r="M508" t="str">
            <v>First Class</v>
          </cell>
          <cell r="N508">
            <v>2</v>
          </cell>
          <cell r="O508">
            <v>669.8</v>
          </cell>
          <cell r="P508">
            <v>0.1</v>
          </cell>
          <cell r="S508">
            <v>363.57</v>
          </cell>
          <cell r="T508" t="str">
            <v>Refunded</v>
          </cell>
          <cell r="U508" t="str">
            <v>Returned</v>
          </cell>
        </row>
        <row r="509">
          <cell r="A509" t="str">
            <v>ORD-2025-10508</v>
          </cell>
          <cell r="B509" t="str">
            <v>2025-04-15</v>
          </cell>
          <cell r="C509" t="str">
            <v>2025-04-22</v>
          </cell>
          <cell r="D509" t="str">
            <v>CUST-1826</v>
          </cell>
          <cell r="E509" t="str">
            <v>Isha Nair</v>
          </cell>
          <cell r="F509" t="str">
            <v>Small Business</v>
          </cell>
          <cell r="G509" t="str">
            <v>North</v>
          </cell>
          <cell r="H509" t="str">
            <v>Haryana</v>
          </cell>
          <cell r="I509" t="str">
            <v>Gurugram</v>
          </cell>
          <cell r="J509" t="str">
            <v>Office Supplies</v>
          </cell>
          <cell r="K509" t="str">
            <v>Binders</v>
          </cell>
          <cell r="L509" t="str">
            <v>Classic Binders 602</v>
          </cell>
          <cell r="M509" t="str">
            <v>Same Day</v>
          </cell>
          <cell r="N509">
            <v>4</v>
          </cell>
          <cell r="O509">
            <v>2990.42</v>
          </cell>
          <cell r="P509">
            <v>0.25</v>
          </cell>
          <cell r="S509">
            <v>2156.91</v>
          </cell>
          <cell r="T509" t="str">
            <v>Paid</v>
          </cell>
          <cell r="U509" t="str">
            <v>Completed</v>
          </cell>
        </row>
        <row r="510">
          <cell r="A510" t="str">
            <v>ORD-2024-10509</v>
          </cell>
          <cell r="B510" t="str">
            <v>31 Mar 2024</v>
          </cell>
          <cell r="C510" t="str">
            <v>07-04-2024</v>
          </cell>
          <cell r="D510" t="str">
            <v>CUST-3333</v>
          </cell>
          <cell r="E510" t="str">
            <v>Isha Nair</v>
          </cell>
          <cell r="F510" t="str">
            <v>Small Business</v>
          </cell>
          <cell r="G510" t="str">
            <v>North</v>
          </cell>
          <cell r="H510" t="str">
            <v>Haryana</v>
          </cell>
          <cell r="I510" t="str">
            <v>Gurugram</v>
          </cell>
          <cell r="J510" t="str">
            <v>Technology</v>
          </cell>
          <cell r="K510" t="str">
            <v>Machines</v>
          </cell>
          <cell r="L510" t="str">
            <v>Smart Machines 853</v>
          </cell>
          <cell r="M510" t="str">
            <v>Second Class</v>
          </cell>
          <cell r="N510">
            <v>4</v>
          </cell>
          <cell r="O510">
            <v>1831</v>
          </cell>
          <cell r="P510">
            <v>0</v>
          </cell>
          <cell r="S510">
            <v>3144.37</v>
          </cell>
          <cell r="T510" t="str">
            <v>Paid</v>
          </cell>
          <cell r="U510" t="str">
            <v>Completed</v>
          </cell>
        </row>
        <row r="511">
          <cell r="A511" t="str">
            <v>ORD-2025-10510</v>
          </cell>
          <cell r="B511" t="str">
            <v>2025-05-12</v>
          </cell>
          <cell r="C511" t="str">
            <v>05/14/2025</v>
          </cell>
          <cell r="D511" t="str">
            <v>CUST-7901</v>
          </cell>
          <cell r="E511" t="str">
            <v>Neha Gupta</v>
          </cell>
          <cell r="F511" t="str">
            <v>Consumer</v>
          </cell>
          <cell r="G511" t="str">
            <v>West</v>
          </cell>
          <cell r="H511" t="str">
            <v>Gujarat</v>
          </cell>
          <cell r="I511" t="str">
            <v>Ahmedabad</v>
          </cell>
          <cell r="J511" t="str">
            <v>Technology</v>
          </cell>
          <cell r="K511" t="str">
            <v>Machines</v>
          </cell>
          <cell r="L511" t="str">
            <v>Classic Machines 599</v>
          </cell>
          <cell r="M511" t="str">
            <v>Same Day</v>
          </cell>
          <cell r="N511">
            <v>8</v>
          </cell>
          <cell r="O511">
            <v>3631.44</v>
          </cell>
          <cell r="P511">
            <v>0.2</v>
          </cell>
          <cell r="S511">
            <v>6020.32</v>
          </cell>
          <cell r="T511" t="str">
            <v>Paid</v>
          </cell>
          <cell r="U511" t="str">
            <v>Completed</v>
          </cell>
        </row>
        <row r="512">
          <cell r="A512" t="str">
            <v>ORD-2024-10511</v>
          </cell>
          <cell r="B512" t="str">
            <v>10/18/2024</v>
          </cell>
          <cell r="C512" t="str">
            <v>21-10-2024</v>
          </cell>
          <cell r="D512" t="str">
            <v>CUST-9759</v>
          </cell>
          <cell r="E512" t="str">
            <v>Aarav  Sharma</v>
          </cell>
          <cell r="F512" t="str">
            <v>Consumer</v>
          </cell>
          <cell r="G512" t="str">
            <v>South</v>
          </cell>
          <cell r="H512" t="str">
            <v>Karnataka</v>
          </cell>
          <cell r="I512" t="str">
            <v>Bengaluru</v>
          </cell>
          <cell r="J512" t="str">
            <v>Office Supplies</v>
          </cell>
          <cell r="K512" t="str">
            <v>Storage</v>
          </cell>
          <cell r="L512" t="str">
            <v>Pro Storage 373</v>
          </cell>
          <cell r="M512" t="str">
            <v>Second Class</v>
          </cell>
          <cell r="N512">
            <v>2</v>
          </cell>
          <cell r="O512">
            <v>4238.51</v>
          </cell>
          <cell r="P512">
            <v>0</v>
          </cell>
          <cell r="S512">
            <v>1592.06</v>
          </cell>
          <cell r="T512" t="str">
            <v>Paid</v>
          </cell>
          <cell r="U512" t="str">
            <v>Completed</v>
          </cell>
        </row>
        <row r="513">
          <cell r="A513" t="str">
            <v>ORD-2024-10512</v>
          </cell>
          <cell r="B513" t="str">
            <v>10/23/2024</v>
          </cell>
          <cell r="C513" t="str">
            <v>26 Oct 2024</v>
          </cell>
          <cell r="D513" t="str">
            <v>CUST-7232</v>
          </cell>
          <cell r="E513" t="str">
            <v>Sneha Kapoor</v>
          </cell>
          <cell r="F513" t="str">
            <v>Consumer</v>
          </cell>
          <cell r="G513" t="str">
            <v>West</v>
          </cell>
          <cell r="H513" t="str">
            <v>Madhya Pradesh</v>
          </cell>
          <cell r="I513" t="str">
            <v>Indore</v>
          </cell>
          <cell r="J513" t="str">
            <v>Furniture</v>
          </cell>
          <cell r="K513" t="str">
            <v>Bookcases</v>
          </cell>
          <cell r="L513" t="str">
            <v>Smart Bookcases 920</v>
          </cell>
          <cell r="M513" t="str">
            <v>Standard Class</v>
          </cell>
          <cell r="N513">
            <v>9</v>
          </cell>
          <cell r="O513">
            <v>544.27</v>
          </cell>
          <cell r="P513">
            <v>0.25</v>
          </cell>
          <cell r="S513">
            <v>1585.67</v>
          </cell>
          <cell r="T513" t="str">
            <v>Paid</v>
          </cell>
          <cell r="U513" t="str">
            <v>Completed</v>
          </cell>
        </row>
        <row r="514">
          <cell r="A514" t="str">
            <v>ORD-2025-10513</v>
          </cell>
          <cell r="B514" t="str">
            <v>03/02/2025</v>
          </cell>
          <cell r="C514" t="str">
            <v>2025-03-03</v>
          </cell>
          <cell r="D514" t="str">
            <v>CUST-9943</v>
          </cell>
          <cell r="E514" t="str">
            <v>Isha Nair</v>
          </cell>
          <cell r="F514" t="str">
            <v>Corporate</v>
          </cell>
          <cell r="G514" t="str">
            <v>South</v>
          </cell>
          <cell r="H514" t="str">
            <v>Kerala</v>
          </cell>
          <cell r="I514" t="str">
            <v>Kochi</v>
          </cell>
          <cell r="J514" t="str">
            <v>Office Supplies</v>
          </cell>
          <cell r="K514" t="str">
            <v>Labels</v>
          </cell>
          <cell r="L514" t="str">
            <v>Pro Labels 849</v>
          </cell>
          <cell r="M514" t="str">
            <v>Second Class</v>
          </cell>
          <cell r="N514">
            <v>2</v>
          </cell>
          <cell r="O514">
            <v>4031.45</v>
          </cell>
          <cell r="P514">
            <v>0.25</v>
          </cell>
          <cell r="S514">
            <v>2678.38</v>
          </cell>
          <cell r="T514" t="str">
            <v>Paid</v>
          </cell>
          <cell r="U514" t="str">
            <v>Completed</v>
          </cell>
        </row>
        <row r="515">
          <cell r="A515" t="str">
            <v>ORD-2025-10514</v>
          </cell>
          <cell r="B515" t="str">
            <v>27-06-2025</v>
          </cell>
          <cell r="C515" t="str">
            <v>07/02/2025</v>
          </cell>
          <cell r="D515" t="str">
            <v>CUST-8993</v>
          </cell>
          <cell r="E515" t="str">
            <v>Aarav Sharma</v>
          </cell>
          <cell r="F515" t="str">
            <v>Corporate</v>
          </cell>
          <cell r="G515" t="str">
            <v>South</v>
          </cell>
          <cell r="H515" t="str">
            <v>Kerala</v>
          </cell>
          <cell r="I515" t="str">
            <v>Kochi</v>
          </cell>
          <cell r="J515" t="str">
            <v>Technology</v>
          </cell>
          <cell r="K515" t="str">
            <v>Accessories</v>
          </cell>
          <cell r="L515" t="str">
            <v>Prime Accessories 849</v>
          </cell>
          <cell r="M515" t="str">
            <v>First Class</v>
          </cell>
          <cell r="N515">
            <v>6</v>
          </cell>
          <cell r="O515">
            <v>1099.49</v>
          </cell>
          <cell r="P515">
            <v>0.1</v>
          </cell>
          <cell r="S515">
            <v>1848.79</v>
          </cell>
          <cell r="T515" t="str">
            <v>Paid</v>
          </cell>
          <cell r="U515" t="str">
            <v>Completed</v>
          </cell>
        </row>
        <row r="516">
          <cell r="A516" t="str">
            <v>ORD-2024-10515</v>
          </cell>
          <cell r="B516" t="str">
            <v>18 Nov 2024</v>
          </cell>
          <cell r="C516" t="str">
            <v>2024-11-22</v>
          </cell>
          <cell r="D516" t="str">
            <v>CUST-7729</v>
          </cell>
          <cell r="E516" t="str">
            <v>Karan Malhotra</v>
          </cell>
          <cell r="F516" t="str">
            <v>Home Office</v>
          </cell>
          <cell r="G516" t="str">
            <v>South</v>
          </cell>
          <cell r="H516" t="str">
            <v>Kerala</v>
          </cell>
          <cell r="I516" t="str">
            <v>Kochi</v>
          </cell>
          <cell r="J516" t="str">
            <v>Technology</v>
          </cell>
          <cell r="K516" t="str">
            <v>Accessories</v>
          </cell>
          <cell r="L516" t="str">
            <v>Smart Accessories 388</v>
          </cell>
          <cell r="M516" t="str">
            <v>Standard Class</v>
          </cell>
          <cell r="N516">
            <v>6</v>
          </cell>
          <cell r="O516">
            <v>3872.94</v>
          </cell>
          <cell r="P516">
            <v>0.1</v>
          </cell>
          <cell r="S516">
            <v>9229.2000000000007</v>
          </cell>
          <cell r="T516" t="str">
            <v>Paid</v>
          </cell>
          <cell r="U516" t="str">
            <v>Completed</v>
          </cell>
        </row>
        <row r="517">
          <cell r="A517" t="str">
            <v>ORD-2025-10516</v>
          </cell>
          <cell r="B517" t="str">
            <v>04/11/2025</v>
          </cell>
          <cell r="C517" t="str">
            <v>2025-04-11</v>
          </cell>
          <cell r="D517" t="str">
            <v>CUST-9986</v>
          </cell>
          <cell r="E517" t="str">
            <v>Rahul Verma</v>
          </cell>
          <cell r="F517" t="str">
            <v>Corporate</v>
          </cell>
          <cell r="G517" t="str">
            <v>North</v>
          </cell>
          <cell r="H517" t="str">
            <v>Delhi</v>
          </cell>
          <cell r="I517" t="str">
            <v>New Delhi</v>
          </cell>
          <cell r="J517" t="str">
            <v>Office Supplies</v>
          </cell>
          <cell r="K517" t="str">
            <v>Paper</v>
          </cell>
          <cell r="L517" t="str">
            <v>Classic Paper 752</v>
          </cell>
          <cell r="M517" t="str">
            <v>Standard Class</v>
          </cell>
          <cell r="N517">
            <v>1</v>
          </cell>
          <cell r="O517">
            <v>4458.49</v>
          </cell>
          <cell r="P517">
            <v>-7.0000000000000007E-2</v>
          </cell>
          <cell r="S517">
            <v>1483.38</v>
          </cell>
          <cell r="T517" t="str">
            <v>Paid</v>
          </cell>
          <cell r="U517" t="str">
            <v>Completed</v>
          </cell>
        </row>
        <row r="518">
          <cell r="A518" t="str">
            <v>ORD-2024-10517</v>
          </cell>
          <cell r="B518" t="str">
            <v>09/28/2024</v>
          </cell>
          <cell r="C518" t="str">
            <v>04 Oct 2024</v>
          </cell>
          <cell r="D518" t="str">
            <v>CUST-2731</v>
          </cell>
          <cell r="E518" t="str">
            <v>Kabir Singh</v>
          </cell>
          <cell r="F518" t="str">
            <v>Home Office</v>
          </cell>
          <cell r="G518" t="str">
            <v>North</v>
          </cell>
          <cell r="H518" t="str">
            <v>Delhi</v>
          </cell>
          <cell r="I518" t="str">
            <v>New Delhi</v>
          </cell>
          <cell r="J518" t="str">
            <v>Technology</v>
          </cell>
          <cell r="K518" t="str">
            <v>Copiers</v>
          </cell>
          <cell r="L518" t="str">
            <v>Classic Copiers 143</v>
          </cell>
          <cell r="M518" t="str">
            <v>Standard Class</v>
          </cell>
          <cell r="N518">
            <v>1</v>
          </cell>
          <cell r="O518">
            <v>2233.1799999999998</v>
          </cell>
          <cell r="P518">
            <v>0</v>
          </cell>
          <cell r="S518">
            <v>647.36</v>
          </cell>
          <cell r="T518" t="str">
            <v>Failed</v>
          </cell>
          <cell r="U518" t="str">
            <v>Returned</v>
          </cell>
        </row>
        <row r="519">
          <cell r="A519" t="str">
            <v>ORD-2025-10518</v>
          </cell>
          <cell r="B519" t="str">
            <v>2025-05-25</v>
          </cell>
          <cell r="C519" t="str">
            <v>27 May 2025</v>
          </cell>
          <cell r="D519" t="str">
            <v>CUST-4235</v>
          </cell>
          <cell r="E519" t="str">
            <v>Rahul Verma</v>
          </cell>
          <cell r="F519" t="str">
            <v>Consumer</v>
          </cell>
          <cell r="G519" t="str">
            <v>East</v>
          </cell>
          <cell r="H519" t="str">
            <v>Odisha</v>
          </cell>
          <cell r="I519" t="str">
            <v>Bhubaneswar</v>
          </cell>
          <cell r="J519" t="str">
            <v>Furniture</v>
          </cell>
          <cell r="K519" t="str">
            <v>Furnishings</v>
          </cell>
          <cell r="L519" t="str">
            <v>Basic Furnishings 386</v>
          </cell>
          <cell r="M519" t="str">
            <v>Second Class</v>
          </cell>
          <cell r="N519">
            <v>7</v>
          </cell>
          <cell r="O519">
            <v>2123.2800000000002</v>
          </cell>
          <cell r="P519">
            <v>0.2</v>
          </cell>
          <cell r="S519">
            <v>2655.84</v>
          </cell>
          <cell r="T519" t="str">
            <v>Refunded</v>
          </cell>
          <cell r="U519" t="str">
            <v>Returned</v>
          </cell>
        </row>
        <row r="520">
          <cell r="A520" t="str">
            <v>ORD-2025-10519</v>
          </cell>
          <cell r="B520" t="str">
            <v>30-04-2025</v>
          </cell>
          <cell r="C520" t="str">
            <v>26 Apr 2025</v>
          </cell>
          <cell r="D520" t="str">
            <v>CUST-3377</v>
          </cell>
          <cell r="E520" t="str">
            <v>Diya Patel</v>
          </cell>
          <cell r="F520" t="str">
            <v>Corporate</v>
          </cell>
          <cell r="G520" t="str">
            <v>East</v>
          </cell>
          <cell r="H520" t="str">
            <v>Odisha</v>
          </cell>
          <cell r="I520" t="str">
            <v>Bhubaneswar</v>
          </cell>
          <cell r="J520" t="str">
            <v>Furniture</v>
          </cell>
          <cell r="K520" t="str">
            <v>Tables</v>
          </cell>
          <cell r="L520" t="str">
            <v>Classic Tables 592</v>
          </cell>
          <cell r="M520" t="str">
            <v>First Class</v>
          </cell>
          <cell r="N520">
            <v>7</v>
          </cell>
          <cell r="O520">
            <v>1604.13</v>
          </cell>
          <cell r="P520">
            <v>0.25</v>
          </cell>
          <cell r="S520">
            <v>1887.21</v>
          </cell>
          <cell r="T520" t="str">
            <v>Paid</v>
          </cell>
          <cell r="U520" t="str">
            <v>Cancelled</v>
          </cell>
        </row>
        <row r="521">
          <cell r="A521" t="str">
            <v>ORD-2025-10520</v>
          </cell>
          <cell r="B521" t="str">
            <v>03-07-2025</v>
          </cell>
          <cell r="C521" t="str">
            <v>2025-07-07</v>
          </cell>
          <cell r="D521" t="str">
            <v>CUST-3258</v>
          </cell>
          <cell r="E521" t="str">
            <v>Priya Menon</v>
          </cell>
          <cell r="F521" t="str">
            <v>Consumer</v>
          </cell>
          <cell r="G521" t="str">
            <v>North</v>
          </cell>
          <cell r="H521" t="str">
            <v>Uttar Pradesh</v>
          </cell>
          <cell r="I521" t="str">
            <v>Noida</v>
          </cell>
          <cell r="J521" t="str">
            <v>Furniture</v>
          </cell>
          <cell r="K521" t="str">
            <v>Tables</v>
          </cell>
          <cell r="L521" t="str">
            <v>Pro Tables 412</v>
          </cell>
          <cell r="M521" t="str">
            <v>Standard Class</v>
          </cell>
          <cell r="N521">
            <v>4</v>
          </cell>
          <cell r="O521">
            <v>4365.21</v>
          </cell>
          <cell r="P521">
            <v>0.2</v>
          </cell>
          <cell r="S521">
            <v>5111.09</v>
          </cell>
          <cell r="T521" t="str">
            <v>Pending</v>
          </cell>
          <cell r="U521" t="str">
            <v>Cancelled</v>
          </cell>
        </row>
        <row r="522">
          <cell r="A522" t="str">
            <v>ORD-2024-10521</v>
          </cell>
          <cell r="B522" t="str">
            <v>2024-07-16</v>
          </cell>
          <cell r="C522" t="str">
            <v>23 Jul 2024</v>
          </cell>
          <cell r="D522" t="str">
            <v>CUST-2155</v>
          </cell>
          <cell r="E522" t="str">
            <v>Aarav Sharma</v>
          </cell>
          <cell r="F522" t="str">
            <v>Home Office</v>
          </cell>
          <cell r="G522" t="str">
            <v>South</v>
          </cell>
          <cell r="H522" t="str">
            <v>Karnataka</v>
          </cell>
          <cell r="I522" t="str">
            <v>Bengaluru</v>
          </cell>
          <cell r="J522" t="str">
            <v>Technology</v>
          </cell>
          <cell r="K522" t="str">
            <v>Machines</v>
          </cell>
          <cell r="L522" t="str">
            <v>Prime Machines 393</v>
          </cell>
          <cell r="M522" t="str">
            <v>Same Day</v>
          </cell>
          <cell r="N522">
            <v>1</v>
          </cell>
          <cell r="O522">
            <v>1695.91</v>
          </cell>
          <cell r="P522">
            <v>0.05</v>
          </cell>
          <cell r="S522">
            <v>715.96</v>
          </cell>
          <cell r="T522" t="str">
            <v>Paid</v>
          </cell>
          <cell r="U522" t="str">
            <v>Completed</v>
          </cell>
        </row>
        <row r="523">
          <cell r="A523" t="str">
            <v>ORD-2025-10522</v>
          </cell>
          <cell r="B523" t="str">
            <v>2025-03-25</v>
          </cell>
          <cell r="C523" t="str">
            <v>2025-04-01</v>
          </cell>
          <cell r="D523" t="str">
            <v>CUST-8012</v>
          </cell>
          <cell r="E523" t="str">
            <v>Diya Patel</v>
          </cell>
          <cell r="F523" t="str">
            <v>Consumer</v>
          </cell>
          <cell r="G523" t="str">
            <v>North</v>
          </cell>
          <cell r="H523" t="str">
            <v>Punjab</v>
          </cell>
          <cell r="I523" t="str">
            <v>Ludhiana</v>
          </cell>
          <cell r="J523" t="str">
            <v>Office Supplies</v>
          </cell>
          <cell r="K523" t="str">
            <v>Labels</v>
          </cell>
          <cell r="L523" t="str">
            <v>Classic Labels 776</v>
          </cell>
          <cell r="M523" t="str">
            <v>Second Class</v>
          </cell>
          <cell r="N523">
            <v>6</v>
          </cell>
          <cell r="O523">
            <v>2192.11</v>
          </cell>
          <cell r="P523">
            <v>0.05</v>
          </cell>
          <cell r="S523">
            <v>3310.51</v>
          </cell>
          <cell r="T523" t="str">
            <v>Paid</v>
          </cell>
          <cell r="U523" t="str">
            <v>Completed</v>
          </cell>
        </row>
        <row r="524">
          <cell r="A524" t="str">
            <v>ORD-2025-10523</v>
          </cell>
          <cell r="B524" t="str">
            <v>02/28/2025</v>
          </cell>
          <cell r="C524" t="str">
            <v>08 Mar 2025</v>
          </cell>
          <cell r="D524" t="str">
            <v>CUST-2917</v>
          </cell>
          <cell r="E524" t="str">
            <v>Neha Gupta</v>
          </cell>
          <cell r="F524" t="str">
            <v>Small Business</v>
          </cell>
          <cell r="G524" t="str">
            <v>East</v>
          </cell>
          <cell r="H524" t="str">
            <v>Jharkhand</v>
          </cell>
          <cell r="I524" t="str">
            <v>Ranchi</v>
          </cell>
          <cell r="J524" t="str">
            <v>Technology</v>
          </cell>
          <cell r="K524" t="str">
            <v>Phones</v>
          </cell>
          <cell r="L524" t="str">
            <v>Max Phones 612</v>
          </cell>
          <cell r="M524" t="str">
            <v>First Class</v>
          </cell>
          <cell r="N524">
            <v>9</v>
          </cell>
          <cell r="O524">
            <v>3670.54</v>
          </cell>
          <cell r="P524">
            <v>0</v>
          </cell>
          <cell r="S524">
            <v>8495.0300000000007</v>
          </cell>
          <cell r="T524" t="str">
            <v>Paid</v>
          </cell>
          <cell r="U524" t="str">
            <v>Completed</v>
          </cell>
        </row>
        <row r="525">
          <cell r="A525" t="str">
            <v>ORD-2024-10524</v>
          </cell>
          <cell r="B525" t="str">
            <v>02-04-2024</v>
          </cell>
          <cell r="C525" t="str">
            <v>2024-04-03</v>
          </cell>
          <cell r="D525" t="str">
            <v>CUST-4653</v>
          </cell>
          <cell r="E525" t="str">
            <v>Kabir Singh</v>
          </cell>
          <cell r="F525" t="str">
            <v>Home Office</v>
          </cell>
          <cell r="G525" t="str">
            <v>West</v>
          </cell>
          <cell r="H525" t="str">
            <v>Goa</v>
          </cell>
          <cell r="I525" t="str">
            <v>Panaji</v>
          </cell>
          <cell r="J525" t="str">
            <v>Office Supplies</v>
          </cell>
          <cell r="K525" t="str">
            <v>Paper</v>
          </cell>
          <cell r="L525" t="str">
            <v>Basic Paper 315</v>
          </cell>
          <cell r="M525" t="str">
            <v>Second Class</v>
          </cell>
          <cell r="N525">
            <v>2</v>
          </cell>
          <cell r="O525">
            <v>2902.63</v>
          </cell>
          <cell r="P525">
            <v>0</v>
          </cell>
          <cell r="S525">
            <v>1150.9000000000001</v>
          </cell>
          <cell r="T525" t="str">
            <v>Paid</v>
          </cell>
          <cell r="U525" t="str">
            <v>Returned</v>
          </cell>
        </row>
        <row r="526">
          <cell r="A526" t="str">
            <v>ORD-2024-10525</v>
          </cell>
          <cell r="B526" t="str">
            <v>30 Nov 2024</v>
          </cell>
          <cell r="C526" t="str">
            <v>01 Dec 2024</v>
          </cell>
          <cell r="D526" t="str">
            <v>CUST-3311</v>
          </cell>
          <cell r="E526" t="str">
            <v>Ananya Rao</v>
          </cell>
          <cell r="F526" t="str">
            <v>Corporate</v>
          </cell>
          <cell r="G526" t="str">
            <v>West</v>
          </cell>
          <cell r="H526" t="str">
            <v>Gujarat</v>
          </cell>
          <cell r="I526" t="str">
            <v>Ahmedabad</v>
          </cell>
          <cell r="J526" t="str">
            <v>Furniture</v>
          </cell>
          <cell r="K526" t="str">
            <v>Chairs</v>
          </cell>
          <cell r="L526" t="str">
            <v>Basic Chairs 333</v>
          </cell>
          <cell r="M526" t="str">
            <v>First Class</v>
          </cell>
          <cell r="N526">
            <v>9</v>
          </cell>
          <cell r="O526">
            <v>4207.3599999999997</v>
          </cell>
          <cell r="P526">
            <v>0.1</v>
          </cell>
          <cell r="S526">
            <v>12208.23</v>
          </cell>
          <cell r="T526" t="str">
            <v>Paid</v>
          </cell>
          <cell r="U526" t="str">
            <v>Completed</v>
          </cell>
        </row>
        <row r="527">
          <cell r="A527" t="str">
            <v>ORD-2024-10526</v>
          </cell>
          <cell r="B527" t="str">
            <v>10/17/2024</v>
          </cell>
          <cell r="C527" t="str">
            <v>2024-10-17</v>
          </cell>
          <cell r="D527" t="str">
            <v>CUST-2924</v>
          </cell>
          <cell r="E527" t="str">
            <v>Priya Menon</v>
          </cell>
          <cell r="F527" t="str">
            <v>Home Office</v>
          </cell>
          <cell r="G527" t="str">
            <v>East</v>
          </cell>
          <cell r="H527" t="str">
            <v>West Bengal</v>
          </cell>
          <cell r="I527" t="str">
            <v>Kolkata</v>
          </cell>
          <cell r="J527" t="str">
            <v>Furniture</v>
          </cell>
          <cell r="K527" t="str">
            <v>Chairs</v>
          </cell>
          <cell r="L527" t="str">
            <v>Prime Chairs 215</v>
          </cell>
          <cell r="M527" t="str">
            <v>Standard Class</v>
          </cell>
          <cell r="N527">
            <v>5</v>
          </cell>
          <cell r="O527">
            <v>2524.4</v>
          </cell>
          <cell r="P527">
            <v>0.1</v>
          </cell>
          <cell r="S527">
            <v>4297.3599999999997</v>
          </cell>
          <cell r="T527" t="str">
            <v>Paid</v>
          </cell>
          <cell r="U527" t="str">
            <v>Completed</v>
          </cell>
        </row>
        <row r="528">
          <cell r="A528" t="str">
            <v>ORD-2025-10527</v>
          </cell>
          <cell r="B528" t="str">
            <v>2025-07-18</v>
          </cell>
          <cell r="C528" t="str">
            <v>21 Jul 2025</v>
          </cell>
          <cell r="D528" t="str">
            <v>CUST-7198</v>
          </cell>
          <cell r="E528" t="str">
            <v>Priya Menon</v>
          </cell>
          <cell r="F528" t="str">
            <v>Consumer</v>
          </cell>
          <cell r="G528" t="str">
            <v>East</v>
          </cell>
          <cell r="H528" t="str">
            <v>Odisha</v>
          </cell>
          <cell r="I528" t="str">
            <v>Bhubaneswar</v>
          </cell>
          <cell r="J528" t="str">
            <v>Furniture</v>
          </cell>
          <cell r="K528" t="str">
            <v>Tables</v>
          </cell>
          <cell r="L528" t="str">
            <v>Elite Tables 815</v>
          </cell>
          <cell r="M528" t="str">
            <v>Second Class</v>
          </cell>
          <cell r="N528">
            <v>4</v>
          </cell>
          <cell r="O528">
            <v>284.04000000000002</v>
          </cell>
          <cell r="S528">
            <v>336.85</v>
          </cell>
          <cell r="T528" t="str">
            <v>Paid</v>
          </cell>
          <cell r="U528" t="str">
            <v>Completed</v>
          </cell>
        </row>
        <row r="529">
          <cell r="A529" t="str">
            <v>ORD-2025-10528</v>
          </cell>
          <cell r="B529" t="str">
            <v>01-10-2025</v>
          </cell>
          <cell r="C529" t="str">
            <v>2025-10-05</v>
          </cell>
          <cell r="D529" t="str">
            <v>CUST-3419</v>
          </cell>
          <cell r="E529" t="str">
            <v>Aditi Sen</v>
          </cell>
          <cell r="F529" t="str">
            <v>Home Office</v>
          </cell>
          <cell r="G529" t="str">
            <v>North</v>
          </cell>
          <cell r="H529" t="str">
            <v>Haryana</v>
          </cell>
          <cell r="I529" t="str">
            <v>Gurugram</v>
          </cell>
          <cell r="J529" t="str">
            <v>Office Supplies</v>
          </cell>
          <cell r="K529" t="str">
            <v>Paper</v>
          </cell>
          <cell r="L529" t="str">
            <v>Basic Paper 388</v>
          </cell>
          <cell r="M529" t="str">
            <v>First Class</v>
          </cell>
          <cell r="N529">
            <v>5</v>
          </cell>
          <cell r="O529">
            <v>3247.56</v>
          </cell>
          <cell r="P529">
            <v>0.15</v>
          </cell>
          <cell r="S529">
            <v>3726.2</v>
          </cell>
          <cell r="T529" t="str">
            <v>Paid</v>
          </cell>
          <cell r="U529" t="str">
            <v>Completed</v>
          </cell>
        </row>
        <row r="530">
          <cell r="A530" t="str">
            <v>ORD-2024-10529</v>
          </cell>
          <cell r="B530" t="str">
            <v>2024-10-07</v>
          </cell>
          <cell r="C530" t="str">
            <v>09-10-2024</v>
          </cell>
          <cell r="D530" t="str">
            <v>CUST-2390</v>
          </cell>
          <cell r="E530" t="str">
            <v>Diya Patel</v>
          </cell>
          <cell r="F530" t="str">
            <v>Consumer</v>
          </cell>
          <cell r="G530" t="str">
            <v>South</v>
          </cell>
          <cell r="H530" t="str">
            <v>Tamil Nadu</v>
          </cell>
          <cell r="I530" t="str">
            <v>Chennai</v>
          </cell>
          <cell r="J530" t="str">
            <v>Office Supplies</v>
          </cell>
          <cell r="K530" t="str">
            <v>Binders</v>
          </cell>
          <cell r="L530" t="str">
            <v>Eco Binders 855</v>
          </cell>
          <cell r="M530" t="str">
            <v>Standard Class</v>
          </cell>
          <cell r="N530">
            <v>9</v>
          </cell>
          <cell r="O530">
            <v>3457.09</v>
          </cell>
          <cell r="P530">
            <v>0.05</v>
          </cell>
          <cell r="S530">
            <v>8255.99</v>
          </cell>
          <cell r="T530" t="str">
            <v>Pending</v>
          </cell>
          <cell r="U530" t="str">
            <v>Returned</v>
          </cell>
        </row>
        <row r="531">
          <cell r="A531" t="str">
            <v>ORD-2024-10530</v>
          </cell>
          <cell r="B531" t="str">
            <v>2024-02-06</v>
          </cell>
          <cell r="C531" t="str">
            <v>2024-02-08</v>
          </cell>
          <cell r="D531" t="str">
            <v>CUST-3362</v>
          </cell>
          <cell r="E531" t="str">
            <v>Karan Malhotra</v>
          </cell>
          <cell r="F531" t="str">
            <v>Consumer</v>
          </cell>
          <cell r="G531" t="str">
            <v>East</v>
          </cell>
          <cell r="H531" t="str">
            <v>Jharkhand</v>
          </cell>
          <cell r="I531" t="str">
            <v>Ranchi</v>
          </cell>
          <cell r="J531" t="str">
            <v>Furniture</v>
          </cell>
          <cell r="K531" t="str">
            <v>Bookcases</v>
          </cell>
          <cell r="L531" t="str">
            <v>Classic Bookcases 947</v>
          </cell>
          <cell r="M531" t="str">
            <v>Second Class</v>
          </cell>
          <cell r="N531">
            <v>9</v>
          </cell>
          <cell r="O531">
            <v>1822.25</v>
          </cell>
          <cell r="P531">
            <v>0</v>
          </cell>
          <cell r="S531">
            <v>4253.29</v>
          </cell>
          <cell r="T531" t="str">
            <v>Paid</v>
          </cell>
          <cell r="U531" t="str">
            <v>Completed</v>
          </cell>
        </row>
        <row r="532">
          <cell r="A532" t="str">
            <v>ORD-2025-10531</v>
          </cell>
          <cell r="B532" t="str">
            <v>05/30/2025</v>
          </cell>
          <cell r="C532" t="str">
            <v>2025-06-01</v>
          </cell>
          <cell r="D532" t="str">
            <v>CUST-8177</v>
          </cell>
          <cell r="E532" t="str">
            <v>Rahul Verma</v>
          </cell>
          <cell r="F532" t="str">
            <v>Home Office</v>
          </cell>
          <cell r="G532" t="str">
            <v>South</v>
          </cell>
          <cell r="H532" t="str">
            <v>Tamil Nadu</v>
          </cell>
          <cell r="I532" t="str">
            <v>Chennai</v>
          </cell>
          <cell r="J532" t="str">
            <v>Office Supplies</v>
          </cell>
          <cell r="K532" t="str">
            <v>Binders</v>
          </cell>
          <cell r="L532" t="str">
            <v>Eco Binders 352</v>
          </cell>
          <cell r="M532" t="str">
            <v>Standard Class</v>
          </cell>
          <cell r="N532">
            <v>9</v>
          </cell>
          <cell r="O532">
            <v>1994.51</v>
          </cell>
          <cell r="P532">
            <v>0.05</v>
          </cell>
          <cell r="S532">
            <v>6310.68</v>
          </cell>
          <cell r="T532" t="str">
            <v>Paid</v>
          </cell>
          <cell r="U532" t="str">
            <v>Completed</v>
          </cell>
        </row>
        <row r="533">
          <cell r="A533" t="str">
            <v>ORD-2024-10532</v>
          </cell>
          <cell r="B533" t="str">
            <v>01 Aug 2024</v>
          </cell>
          <cell r="C533" t="str">
            <v>08-08-2024</v>
          </cell>
          <cell r="D533" t="str">
            <v>CUST-6357</v>
          </cell>
          <cell r="E533" t="str">
            <v>Diya Patel</v>
          </cell>
          <cell r="F533" t="str">
            <v>Small Business</v>
          </cell>
          <cell r="G533" t="str">
            <v>West</v>
          </cell>
          <cell r="H533" t="str">
            <v>Maharashtra</v>
          </cell>
          <cell r="I533" t="str">
            <v>Mumbai</v>
          </cell>
          <cell r="J533" t="str">
            <v>Office Supplies</v>
          </cell>
          <cell r="K533" t="str">
            <v>Storage</v>
          </cell>
          <cell r="L533" t="str">
            <v>Pro Storage 364</v>
          </cell>
          <cell r="N533">
            <v>1</v>
          </cell>
          <cell r="O533">
            <v>442.97</v>
          </cell>
          <cell r="P533">
            <v>0.1</v>
          </cell>
          <cell r="S533">
            <v>87.01</v>
          </cell>
          <cell r="T533" t="str">
            <v>Paid</v>
          </cell>
          <cell r="U533" t="str">
            <v>Completed</v>
          </cell>
        </row>
        <row r="534">
          <cell r="A534" t="str">
            <v>ORD-2025-10533</v>
          </cell>
          <cell r="B534" t="str">
            <v>2025-10-05</v>
          </cell>
          <cell r="C534" t="str">
            <v>2025-10-10</v>
          </cell>
          <cell r="D534" t="str">
            <v>CUST-7690</v>
          </cell>
          <cell r="E534" t="str">
            <v>Priya Menon</v>
          </cell>
          <cell r="F534" t="str">
            <v>Corporate</v>
          </cell>
          <cell r="G534" t="str">
            <v>East</v>
          </cell>
          <cell r="H534" t="str">
            <v>Assam</v>
          </cell>
          <cell r="I534" t="str">
            <v>Guwahati</v>
          </cell>
          <cell r="J534" t="str">
            <v>Furniture</v>
          </cell>
          <cell r="K534" t="str">
            <v>Tables</v>
          </cell>
          <cell r="L534" t="str">
            <v>Classic Tables 213</v>
          </cell>
          <cell r="M534" t="str">
            <v>Second Class</v>
          </cell>
          <cell r="N534">
            <v>9</v>
          </cell>
          <cell r="O534">
            <v>2089.14</v>
          </cell>
          <cell r="P534">
            <v>0.05</v>
          </cell>
          <cell r="S534">
            <v>7969.94</v>
          </cell>
          <cell r="T534" t="str">
            <v>Failed</v>
          </cell>
          <cell r="U534" t="str">
            <v>Cancelled</v>
          </cell>
        </row>
        <row r="535">
          <cell r="A535" t="str">
            <v>ORD-2024-10534</v>
          </cell>
          <cell r="B535" t="str">
            <v>25 Aug 2024</v>
          </cell>
          <cell r="C535" t="str">
            <v>2024-09-01</v>
          </cell>
          <cell r="D535" t="str">
            <v>CUST-4487</v>
          </cell>
          <cell r="E535" t="str">
            <v>Isha Nair</v>
          </cell>
          <cell r="F535" t="str">
            <v>Home Office</v>
          </cell>
          <cell r="G535" t="str">
            <v>North</v>
          </cell>
          <cell r="H535" t="str">
            <v>Rajasthan</v>
          </cell>
          <cell r="I535" t="str">
            <v>Jaipur</v>
          </cell>
          <cell r="J535" t="str">
            <v>Furniture</v>
          </cell>
          <cell r="K535" t="str">
            <v>Tables</v>
          </cell>
          <cell r="L535" t="str">
            <v>Smart Tables 659</v>
          </cell>
          <cell r="M535" t="str">
            <v>Same Day</v>
          </cell>
          <cell r="N535">
            <v>6</v>
          </cell>
          <cell r="O535">
            <v>481.3</v>
          </cell>
          <cell r="P535">
            <v>0.25</v>
          </cell>
          <cell r="S535">
            <v>430.45</v>
          </cell>
          <cell r="T535" t="str">
            <v>Paid</v>
          </cell>
          <cell r="U535" t="str">
            <v>Completed</v>
          </cell>
        </row>
        <row r="536">
          <cell r="A536" t="str">
            <v>ORD-2025-10535</v>
          </cell>
          <cell r="B536" t="str">
            <v>04/27/2025</v>
          </cell>
          <cell r="C536" t="str">
            <v>2025-05-05</v>
          </cell>
          <cell r="D536" t="str">
            <v>CUST-8204</v>
          </cell>
          <cell r="E536" t="str">
            <v>Rohan Mehta</v>
          </cell>
          <cell r="F536" t="str">
            <v>Home Office</v>
          </cell>
          <cell r="G536" t="str">
            <v>East</v>
          </cell>
          <cell r="H536" t="str">
            <v>Bihar</v>
          </cell>
          <cell r="I536" t="str">
            <v>Patna</v>
          </cell>
          <cell r="J536" t="str">
            <v>Technology</v>
          </cell>
          <cell r="K536" t="str">
            <v>Accessories</v>
          </cell>
          <cell r="L536" t="str">
            <v>Classic Accessories 325</v>
          </cell>
          <cell r="M536" t="str">
            <v>Second Class</v>
          </cell>
          <cell r="N536">
            <v>4</v>
          </cell>
          <cell r="O536">
            <v>3963.39</v>
          </cell>
          <cell r="P536">
            <v>0.1</v>
          </cell>
          <cell r="S536">
            <v>2562.9</v>
          </cell>
          <cell r="T536" t="str">
            <v>Pending</v>
          </cell>
          <cell r="U536" t="str">
            <v>Returned</v>
          </cell>
        </row>
        <row r="537">
          <cell r="A537" t="str">
            <v>ORD-2024-10536</v>
          </cell>
          <cell r="B537" t="str">
            <v>19-05-2024</v>
          </cell>
          <cell r="C537" t="str">
            <v>21 May 2024</v>
          </cell>
          <cell r="D537" t="str">
            <v>CUST-1729</v>
          </cell>
          <cell r="E537" t="str">
            <v>Diya Patel</v>
          </cell>
          <cell r="F537" t="str">
            <v>Small Business</v>
          </cell>
          <cell r="G537" t="str">
            <v>West</v>
          </cell>
          <cell r="H537" t="str">
            <v>Maharashtra</v>
          </cell>
          <cell r="I537" t="str">
            <v>Mumbai</v>
          </cell>
          <cell r="J537" t="str">
            <v>Technology</v>
          </cell>
          <cell r="K537" t="str">
            <v>Copiers</v>
          </cell>
          <cell r="L537" t="str">
            <v>Eco Copiers 243</v>
          </cell>
          <cell r="M537" t="str">
            <v>First Class</v>
          </cell>
          <cell r="N537">
            <v>3</v>
          </cell>
          <cell r="O537">
            <v>4000.98</v>
          </cell>
          <cell r="P537">
            <v>0.2</v>
          </cell>
          <cell r="S537">
            <v>2214.7800000000002</v>
          </cell>
          <cell r="T537" t="str">
            <v>Paid</v>
          </cell>
          <cell r="U537" t="str">
            <v>Completed</v>
          </cell>
        </row>
        <row r="538">
          <cell r="A538" t="str">
            <v>ORD-2025-10537</v>
          </cell>
          <cell r="B538" t="str">
            <v>2025-04-10</v>
          </cell>
          <cell r="C538" t="str">
            <v>2025-04-17</v>
          </cell>
          <cell r="D538" t="str">
            <v>CUST-4269</v>
          </cell>
          <cell r="E538" t="str">
            <v>Ananya Rao</v>
          </cell>
          <cell r="F538" t="str">
            <v>Small Business</v>
          </cell>
          <cell r="G538" t="str">
            <v>West</v>
          </cell>
          <cell r="H538" t="str">
            <v>Rajasthan</v>
          </cell>
          <cell r="I538" t="str">
            <v>Udaipur</v>
          </cell>
          <cell r="J538" t="str">
            <v>Furniture</v>
          </cell>
          <cell r="K538" t="str">
            <v>Chairs</v>
          </cell>
          <cell r="L538" t="str">
            <v>Elite Chairs 777</v>
          </cell>
          <cell r="M538" t="str">
            <v>First Class</v>
          </cell>
          <cell r="N538">
            <v>7</v>
          </cell>
          <cell r="O538">
            <v>3788.9</v>
          </cell>
          <cell r="P538">
            <v>0.25</v>
          </cell>
          <cell r="S538">
            <v>7595.96</v>
          </cell>
          <cell r="T538" t="str">
            <v>Failed</v>
          </cell>
          <cell r="U538" t="str">
            <v>Cancelled</v>
          </cell>
        </row>
        <row r="539">
          <cell r="A539" t="str">
            <v>ORD-2024-10538</v>
          </cell>
          <cell r="B539" t="str">
            <v>2024-01-22</v>
          </cell>
          <cell r="C539" t="str">
            <v>2024-01-30</v>
          </cell>
          <cell r="D539" t="str">
            <v>CUST-1370</v>
          </cell>
          <cell r="E539" t="str">
            <v>Ananya Rao</v>
          </cell>
          <cell r="F539" t="str">
            <v>Small Business</v>
          </cell>
          <cell r="G539" t="str">
            <v>North</v>
          </cell>
          <cell r="H539" t="str">
            <v>Haryana</v>
          </cell>
          <cell r="I539" t="str">
            <v>Gurugram</v>
          </cell>
          <cell r="J539" t="str">
            <v>Office Supplies</v>
          </cell>
          <cell r="K539" t="str">
            <v>Art</v>
          </cell>
          <cell r="L539" t="str">
            <v>Classic Art 772</v>
          </cell>
          <cell r="M539" t="str">
            <v>Same Day</v>
          </cell>
          <cell r="N539">
            <v>3</v>
          </cell>
          <cell r="O539">
            <v>676.37</v>
          </cell>
          <cell r="P539">
            <v>0.05</v>
          </cell>
          <cell r="S539">
            <v>467.05</v>
          </cell>
          <cell r="T539" t="str">
            <v>Failed</v>
          </cell>
          <cell r="U539" t="str">
            <v>Cancelled</v>
          </cell>
        </row>
        <row r="540">
          <cell r="A540" t="str">
            <v>ORD-2024-10539</v>
          </cell>
          <cell r="B540" t="str">
            <v>25-09-2024</v>
          </cell>
          <cell r="C540" t="str">
            <v>01-10-2024</v>
          </cell>
          <cell r="D540" t="str">
            <v>CUST-5381</v>
          </cell>
          <cell r="E540" t="str">
            <v>Diya Patel</v>
          </cell>
          <cell r="F540" t="str">
            <v>Small Business</v>
          </cell>
          <cell r="G540" t="str">
            <v>East</v>
          </cell>
          <cell r="H540" t="str">
            <v>Jharkhand</v>
          </cell>
          <cell r="I540" t="str">
            <v>Ranchi</v>
          </cell>
          <cell r="J540" t="str">
            <v>Furniture</v>
          </cell>
          <cell r="K540" t="str">
            <v>Tables</v>
          </cell>
          <cell r="L540" t="str">
            <v>Elite Tables 888</v>
          </cell>
          <cell r="M540" t="str">
            <v>Second Class</v>
          </cell>
          <cell r="N540">
            <v>9</v>
          </cell>
          <cell r="O540">
            <v>3908.6</v>
          </cell>
          <cell r="P540">
            <v>0.15</v>
          </cell>
          <cell r="S540">
            <v>5250.12</v>
          </cell>
          <cell r="T540" t="str">
            <v>Paid</v>
          </cell>
          <cell r="U540" t="str">
            <v>Completed</v>
          </cell>
        </row>
        <row r="541">
          <cell r="A541" t="str">
            <v>ORD-2025-10540</v>
          </cell>
          <cell r="B541" t="str">
            <v>07/04/2025</v>
          </cell>
          <cell r="C541" t="str">
            <v>2025-07-04</v>
          </cell>
          <cell r="D541" t="str">
            <v>CUST-3694</v>
          </cell>
          <cell r="E541" t="str">
            <v>mira das</v>
          </cell>
          <cell r="F541" t="str">
            <v>Small Business</v>
          </cell>
          <cell r="G541" t="str">
            <v>South</v>
          </cell>
          <cell r="H541" t="str">
            <v>Tamil Nadu</v>
          </cell>
          <cell r="I541" t="str">
            <v>Chennai</v>
          </cell>
          <cell r="J541" t="str">
            <v>Furniture</v>
          </cell>
          <cell r="K541" t="str">
            <v>Chairs</v>
          </cell>
          <cell r="L541" t="str">
            <v>Classic Chairs 666</v>
          </cell>
          <cell r="M541" t="str">
            <v>Standard Class</v>
          </cell>
          <cell r="N541">
            <v>3</v>
          </cell>
          <cell r="O541">
            <v>705.35</v>
          </cell>
          <cell r="P541">
            <v>0.1</v>
          </cell>
          <cell r="S541">
            <v>587.91</v>
          </cell>
          <cell r="T541" t="str">
            <v>Paid</v>
          </cell>
          <cell r="U541" t="str">
            <v>Cancelled</v>
          </cell>
        </row>
        <row r="542">
          <cell r="A542" t="str">
            <v>ORD-2024-10541</v>
          </cell>
          <cell r="B542" t="str">
            <v>26-02-2024</v>
          </cell>
          <cell r="C542" t="str">
            <v>23 Feb 2024</v>
          </cell>
          <cell r="D542" t="str">
            <v>CUST-7563</v>
          </cell>
          <cell r="E542" t="str">
            <v>Kabir Singh</v>
          </cell>
          <cell r="F542" t="str">
            <v>Consumer</v>
          </cell>
          <cell r="G542" t="str">
            <v>West</v>
          </cell>
          <cell r="H542" t="str">
            <v>Gujarat</v>
          </cell>
          <cell r="I542" t="str">
            <v>Ahmedabad</v>
          </cell>
          <cell r="J542" t="str">
            <v>Furniture</v>
          </cell>
          <cell r="K542" t="str">
            <v>Furnishings</v>
          </cell>
          <cell r="L542" t="str">
            <v>Basic Furnishings 350</v>
          </cell>
          <cell r="M542" t="str">
            <v>Standard Class</v>
          </cell>
          <cell r="N542">
            <v>7</v>
          </cell>
          <cell r="O542">
            <v>3852.07</v>
          </cell>
          <cell r="P542">
            <v>0.2</v>
          </cell>
          <cell r="S542">
            <v>4453.5200000000004</v>
          </cell>
          <cell r="T542" t="str">
            <v>Paid</v>
          </cell>
          <cell r="U542" t="str">
            <v>Completed</v>
          </cell>
        </row>
        <row r="543">
          <cell r="A543" t="str">
            <v>ORD-2025-10542</v>
          </cell>
          <cell r="B543" t="str">
            <v>08-07-2025</v>
          </cell>
          <cell r="C543" t="str">
            <v>2025-07-09</v>
          </cell>
          <cell r="D543" t="str">
            <v>CUST-4188</v>
          </cell>
          <cell r="E543" t="str">
            <v>Sneha Kapoor</v>
          </cell>
          <cell r="F543" t="str">
            <v>Consumer</v>
          </cell>
          <cell r="G543" t="str">
            <v>West</v>
          </cell>
          <cell r="H543" t="str">
            <v>Maharashtra</v>
          </cell>
          <cell r="I543" t="str">
            <v>Mumbai</v>
          </cell>
          <cell r="J543" t="str">
            <v>Technology</v>
          </cell>
          <cell r="K543" t="str">
            <v>Copiers</v>
          </cell>
          <cell r="L543" t="str">
            <v>Elite Copiers 831</v>
          </cell>
          <cell r="M543" t="str">
            <v>Same Day</v>
          </cell>
          <cell r="N543">
            <v>3</v>
          </cell>
          <cell r="O543">
            <v>2880.56</v>
          </cell>
          <cell r="P543">
            <v>0</v>
          </cell>
          <cell r="S543">
            <v>2894.59</v>
          </cell>
          <cell r="T543" t="str">
            <v>Paid</v>
          </cell>
          <cell r="U543" t="str">
            <v>Returned</v>
          </cell>
        </row>
        <row r="544">
          <cell r="A544" t="str">
            <v>ORD-2024-10543</v>
          </cell>
          <cell r="B544" t="str">
            <v>09/17/2024</v>
          </cell>
          <cell r="C544" t="str">
            <v>2024-09-23</v>
          </cell>
          <cell r="D544" t="str">
            <v>CUST-9376</v>
          </cell>
          <cell r="E544" t="str">
            <v>Rahul Verma</v>
          </cell>
          <cell r="F544" t="str">
            <v>Home Office</v>
          </cell>
          <cell r="G544" t="str">
            <v>South</v>
          </cell>
          <cell r="H544" t="str">
            <v>Kerala</v>
          </cell>
          <cell r="I544" t="str">
            <v>Kochi</v>
          </cell>
          <cell r="J544" t="str">
            <v>Furniture</v>
          </cell>
          <cell r="K544" t="str">
            <v>Bookcases</v>
          </cell>
          <cell r="L544" t="str">
            <v>Eco Bookcases 759</v>
          </cell>
          <cell r="M544" t="str">
            <v>Second Class</v>
          </cell>
          <cell r="N544">
            <v>3</v>
          </cell>
          <cell r="O544">
            <v>4067.62</v>
          </cell>
          <cell r="P544">
            <v>0.2</v>
          </cell>
          <cell r="S544">
            <v>1394.05</v>
          </cell>
          <cell r="T544" t="str">
            <v>Paid</v>
          </cell>
          <cell r="U544" t="str">
            <v>CANCELLED</v>
          </cell>
        </row>
        <row r="545">
          <cell r="A545" t="str">
            <v>ORD-2024-10544</v>
          </cell>
          <cell r="B545" t="str">
            <v>2024-07-14</v>
          </cell>
          <cell r="C545" t="str">
            <v>20-07-2024</v>
          </cell>
          <cell r="D545" t="str">
            <v>CUST-9094</v>
          </cell>
          <cell r="E545" t="str">
            <v>Mira Das</v>
          </cell>
          <cell r="F545" t="str">
            <v>Consumer</v>
          </cell>
          <cell r="G545" t="str">
            <v>East</v>
          </cell>
          <cell r="H545" t="str">
            <v>Bihar</v>
          </cell>
          <cell r="I545" t="str">
            <v>Patna</v>
          </cell>
          <cell r="J545" t="str">
            <v>Technology</v>
          </cell>
          <cell r="K545" t="str">
            <v>Copiers</v>
          </cell>
          <cell r="L545" t="str">
            <v>Max Copiers 440</v>
          </cell>
          <cell r="M545" t="str">
            <v>Same Day</v>
          </cell>
          <cell r="N545">
            <v>1</v>
          </cell>
          <cell r="O545">
            <v>492.67</v>
          </cell>
          <cell r="P545">
            <v>0.15</v>
          </cell>
          <cell r="S545">
            <v>105.05</v>
          </cell>
          <cell r="T545" t="str">
            <v>Paid</v>
          </cell>
          <cell r="U545" t="str">
            <v>Completed</v>
          </cell>
        </row>
        <row r="546">
          <cell r="A546" t="str">
            <v>ORD-2025-10545</v>
          </cell>
          <cell r="B546" t="str">
            <v>2025-01-29</v>
          </cell>
          <cell r="C546" t="str">
            <v>02/05/2025</v>
          </cell>
          <cell r="D546" t="str">
            <v>CUST-2366</v>
          </cell>
          <cell r="E546" t="str">
            <v>Ananya Rao</v>
          </cell>
          <cell r="F546" t="str">
            <v>Consumer</v>
          </cell>
          <cell r="G546" t="str">
            <v>South</v>
          </cell>
          <cell r="H546" t="str">
            <v>Kerala</v>
          </cell>
          <cell r="I546" t="str">
            <v>Kochi</v>
          </cell>
          <cell r="J546" t="str">
            <v>Office Supplies</v>
          </cell>
          <cell r="K546" t="str">
            <v>Art</v>
          </cell>
          <cell r="L546" t="str">
            <v>Smart Art 201</v>
          </cell>
          <cell r="M546" t="str">
            <v>Same Day</v>
          </cell>
          <cell r="N546">
            <v>8</v>
          </cell>
          <cell r="O546">
            <v>3643.62</v>
          </cell>
          <cell r="P546">
            <v>0.25</v>
          </cell>
          <cell r="S546">
            <v>3397.38</v>
          </cell>
          <cell r="T546" t="str">
            <v>Paid</v>
          </cell>
          <cell r="U546" t="str">
            <v>Cancelled</v>
          </cell>
        </row>
        <row r="547">
          <cell r="A547" t="str">
            <v>ORD-2024-10546</v>
          </cell>
          <cell r="B547" t="str">
            <v>05/27/2024</v>
          </cell>
          <cell r="C547" t="str">
            <v>30 May 2024</v>
          </cell>
          <cell r="D547" t="str">
            <v>CUST-7168</v>
          </cell>
          <cell r="E547" t="str">
            <v>Kabir Singh</v>
          </cell>
          <cell r="F547" t="str">
            <v>Small Business</v>
          </cell>
          <cell r="G547" t="str">
            <v>East</v>
          </cell>
          <cell r="H547" t="str">
            <v>Jharkhand</v>
          </cell>
          <cell r="I547" t="str">
            <v>Ranchi</v>
          </cell>
          <cell r="J547" t="str">
            <v>Office Supplies</v>
          </cell>
          <cell r="K547" t="str">
            <v>Storage</v>
          </cell>
          <cell r="L547" t="str">
            <v>Classic Storage 755</v>
          </cell>
          <cell r="M547" t="str">
            <v>Same Day</v>
          </cell>
          <cell r="N547">
            <v>7</v>
          </cell>
          <cell r="O547">
            <v>2900.86</v>
          </cell>
          <cell r="P547">
            <v>0.15</v>
          </cell>
          <cell r="S547">
            <v>3746.61</v>
          </cell>
          <cell r="T547" t="str">
            <v>Paid</v>
          </cell>
          <cell r="U547" t="str">
            <v>Completed</v>
          </cell>
        </row>
        <row r="548">
          <cell r="A548" t="str">
            <v>ORD-2025-10547</v>
          </cell>
          <cell r="B548" t="str">
            <v>2025-08-14</v>
          </cell>
          <cell r="C548" t="str">
            <v>22 Aug 2025</v>
          </cell>
          <cell r="D548" t="str">
            <v>CUST-8157</v>
          </cell>
          <cell r="E548" t="str">
            <v>Arjun Bose</v>
          </cell>
          <cell r="F548" t="str">
            <v>Corporate</v>
          </cell>
          <cell r="G548" t="str">
            <v>West</v>
          </cell>
          <cell r="H548" t="str">
            <v>Gujarat</v>
          </cell>
          <cell r="I548" t="str">
            <v>Ahmedabad</v>
          </cell>
          <cell r="J548" t="str">
            <v>office supplies</v>
          </cell>
          <cell r="K548" t="str">
            <v>Paper</v>
          </cell>
          <cell r="L548" t="str">
            <v>Prime Paper 143</v>
          </cell>
          <cell r="M548" t="str">
            <v>First Class</v>
          </cell>
          <cell r="N548">
            <v>5</v>
          </cell>
          <cell r="O548">
            <v>2567.37</v>
          </cell>
          <cell r="P548">
            <v>0.15</v>
          </cell>
          <cell r="S548">
            <v>4395.17</v>
          </cell>
          <cell r="T548" t="str">
            <v>Paid</v>
          </cell>
          <cell r="U548" t="str">
            <v>Completed</v>
          </cell>
        </row>
        <row r="549">
          <cell r="A549" t="str">
            <v>ORD-2024-10548</v>
          </cell>
          <cell r="B549" t="str">
            <v>16 May 2024</v>
          </cell>
          <cell r="C549" t="str">
            <v>23 May 2024</v>
          </cell>
          <cell r="D549" t="str">
            <v>CUST-9146</v>
          </cell>
          <cell r="E549" t="str">
            <v>Neha Gupta</v>
          </cell>
          <cell r="F549" t="str">
            <v>Small Business</v>
          </cell>
          <cell r="G549" t="str">
            <v>North</v>
          </cell>
          <cell r="H549" t="str">
            <v>Uttar Pradesh</v>
          </cell>
          <cell r="I549" t="str">
            <v>Noida</v>
          </cell>
          <cell r="J549" t="str">
            <v>Technology</v>
          </cell>
          <cell r="K549" t="str">
            <v>Copiers</v>
          </cell>
          <cell r="L549" t="str">
            <v>Max Copiers 607</v>
          </cell>
          <cell r="M549" t="str">
            <v>Standard Class</v>
          </cell>
          <cell r="N549">
            <v>9</v>
          </cell>
          <cell r="O549">
            <v>3722.09</v>
          </cell>
          <cell r="P549">
            <v>0.1</v>
          </cell>
          <cell r="S549">
            <v>4993.8599999999997</v>
          </cell>
          <cell r="T549" t="str">
            <v>Paid</v>
          </cell>
          <cell r="U549" t="str">
            <v>Completed</v>
          </cell>
        </row>
        <row r="550">
          <cell r="A550" t="str">
            <v>ORD-2024-10549</v>
          </cell>
          <cell r="B550" t="str">
            <v>29 May 2024</v>
          </cell>
          <cell r="C550" t="str">
            <v>29-05-2024</v>
          </cell>
          <cell r="D550" t="str">
            <v>CUST-5129</v>
          </cell>
          <cell r="E550" t="str">
            <v>Rohan Mehta</v>
          </cell>
          <cell r="F550" t="str">
            <v>Corporate</v>
          </cell>
          <cell r="G550" t="str">
            <v>East</v>
          </cell>
          <cell r="H550" t="str">
            <v>Bihar</v>
          </cell>
          <cell r="I550" t="str">
            <v>Patna</v>
          </cell>
          <cell r="J550" t="str">
            <v>Furniture</v>
          </cell>
          <cell r="K550" t="str">
            <v>Bookcases</v>
          </cell>
          <cell r="L550" t="str">
            <v>Prime Bookcases 402</v>
          </cell>
          <cell r="M550" t="str">
            <v>Same Day</v>
          </cell>
          <cell r="N550">
            <v>1</v>
          </cell>
          <cell r="O550">
            <v>1072.01</v>
          </cell>
          <cell r="P550">
            <v>0</v>
          </cell>
          <cell r="S550">
            <v>219.39</v>
          </cell>
          <cell r="T550" t="str">
            <v>Pending</v>
          </cell>
          <cell r="U550" t="str">
            <v>Cancelled</v>
          </cell>
        </row>
        <row r="551">
          <cell r="A551" t="str">
            <v>ORD-2025-10550</v>
          </cell>
          <cell r="B551" t="str">
            <v>10/11/2025</v>
          </cell>
          <cell r="C551" t="str">
            <v>13 Oct 2025</v>
          </cell>
          <cell r="D551" t="str">
            <v>CUST-6028</v>
          </cell>
          <cell r="E551" t="str">
            <v>Mira Das</v>
          </cell>
          <cell r="F551" t="str">
            <v>Corporate</v>
          </cell>
          <cell r="G551" t="str">
            <v>South</v>
          </cell>
          <cell r="H551" t="str">
            <v>Telangana</v>
          </cell>
          <cell r="I551" t="str">
            <v>Hyderabad</v>
          </cell>
          <cell r="J551" t="str">
            <v>Office Supplies</v>
          </cell>
          <cell r="K551" t="str">
            <v>Art</v>
          </cell>
          <cell r="L551" t="str">
            <v>Pro Art 287</v>
          </cell>
          <cell r="M551" t="str">
            <v>Second Class</v>
          </cell>
          <cell r="N551">
            <v>3</v>
          </cell>
          <cell r="O551">
            <v>3804.27</v>
          </cell>
          <cell r="P551">
            <v>0.1</v>
          </cell>
          <cell r="S551">
            <v>1999.29</v>
          </cell>
          <cell r="T551" t="str">
            <v>Paid</v>
          </cell>
          <cell r="U551" t="str">
            <v>Completed</v>
          </cell>
        </row>
        <row r="552">
          <cell r="A552" t="str">
            <v>ORD-2024-10551</v>
          </cell>
          <cell r="B552" t="str">
            <v>02-08-2024</v>
          </cell>
          <cell r="C552" t="str">
            <v>08/10/2024</v>
          </cell>
          <cell r="D552" t="str">
            <v>CUST-8687</v>
          </cell>
          <cell r="E552" t="str">
            <v>Mira Das</v>
          </cell>
          <cell r="F552" t="str">
            <v>Home Office</v>
          </cell>
          <cell r="G552" t="str">
            <v>East</v>
          </cell>
          <cell r="H552" t="str">
            <v>Odisha</v>
          </cell>
          <cell r="I552" t="str">
            <v>Bhubaneswar</v>
          </cell>
          <cell r="J552" t="str">
            <v>Technology</v>
          </cell>
          <cell r="K552" t="str">
            <v>Accessories</v>
          </cell>
          <cell r="L552" t="str">
            <v>Max Accessories 591</v>
          </cell>
          <cell r="M552" t="str">
            <v>Standard Class</v>
          </cell>
          <cell r="N552">
            <v>6</v>
          </cell>
          <cell r="O552">
            <v>2126.44</v>
          </cell>
          <cell r="P552">
            <v>0.2</v>
          </cell>
          <cell r="S552">
            <v>3442.38</v>
          </cell>
          <cell r="T552" t="str">
            <v>Paid</v>
          </cell>
          <cell r="U552" t="str">
            <v>Completed</v>
          </cell>
        </row>
        <row r="553">
          <cell r="A553" t="str">
            <v>ORD-2024-10552</v>
          </cell>
          <cell r="B553" t="str">
            <v>27-02-2024</v>
          </cell>
          <cell r="C553" t="str">
            <v>2024-02-27</v>
          </cell>
          <cell r="D553" t="str">
            <v>CUST-8172</v>
          </cell>
          <cell r="E553" t="str">
            <v>Sneha Kapoor</v>
          </cell>
          <cell r="F553" t="str">
            <v>Consumer</v>
          </cell>
          <cell r="G553" t="str">
            <v>East</v>
          </cell>
          <cell r="H553" t="str">
            <v>Jharkhand</v>
          </cell>
          <cell r="I553" t="str">
            <v>Ranchi</v>
          </cell>
          <cell r="J553" t="str">
            <v>Furniture</v>
          </cell>
          <cell r="K553" t="str">
            <v>Chairs</v>
          </cell>
          <cell r="L553" t="str">
            <v>Elite Chairs 314</v>
          </cell>
          <cell r="M553" t="str">
            <v>Second Class</v>
          </cell>
          <cell r="N553">
            <v>3</v>
          </cell>
          <cell r="O553">
            <v>3148.09</v>
          </cell>
          <cell r="P553">
            <v>0.15</v>
          </cell>
          <cell r="S553">
            <v>2531.54</v>
          </cell>
          <cell r="T553" t="str">
            <v>Paid</v>
          </cell>
          <cell r="U553" t="str">
            <v>Completed</v>
          </cell>
        </row>
        <row r="554">
          <cell r="A554" t="str">
            <v>ORD-2025-10553</v>
          </cell>
          <cell r="B554" t="str">
            <v>24-01-2025</v>
          </cell>
          <cell r="C554" t="str">
            <v>30 Jan 2025</v>
          </cell>
          <cell r="D554" t="str">
            <v>CUST-8861</v>
          </cell>
          <cell r="E554" t="str">
            <v>Ananya Rao</v>
          </cell>
          <cell r="F554" t="str">
            <v>Corporate</v>
          </cell>
          <cell r="G554" t="str">
            <v>East</v>
          </cell>
          <cell r="H554" t="str">
            <v>West Bengal</v>
          </cell>
          <cell r="I554" t="str">
            <v>Kolkata</v>
          </cell>
          <cell r="J554" t="str">
            <v>Technology</v>
          </cell>
          <cell r="K554" t="str">
            <v>Copiers</v>
          </cell>
          <cell r="L554" t="str">
            <v>Pro Copiers 246</v>
          </cell>
          <cell r="M554" t="str">
            <v>Standard Class</v>
          </cell>
          <cell r="N554">
            <v>8</v>
          </cell>
          <cell r="O554">
            <v>312.52999999999997</v>
          </cell>
          <cell r="P554" t="str">
            <v>70%</v>
          </cell>
          <cell r="S554">
            <v>296.01</v>
          </cell>
          <cell r="T554" t="str">
            <v>Paid</v>
          </cell>
          <cell r="U554" t="str">
            <v>Completed</v>
          </cell>
        </row>
        <row r="555">
          <cell r="A555" t="str">
            <v>ORD-2025-10554</v>
          </cell>
          <cell r="B555" t="str">
            <v>04/25/2025</v>
          </cell>
          <cell r="C555" t="str">
            <v>2025-04-28</v>
          </cell>
          <cell r="D555" t="str">
            <v>CUST-9241</v>
          </cell>
          <cell r="E555" t="str">
            <v>Aarav Sharma</v>
          </cell>
          <cell r="F555" t="str">
            <v>Small Business</v>
          </cell>
          <cell r="G555" t="str">
            <v>West</v>
          </cell>
          <cell r="H555" t="str">
            <v>Gujarat</v>
          </cell>
          <cell r="I555" t="str">
            <v>Ahmedabad</v>
          </cell>
          <cell r="J555" t="str">
            <v>Office Supplies</v>
          </cell>
          <cell r="K555" t="str">
            <v>Storage</v>
          </cell>
          <cell r="L555" t="str">
            <v>Pro Storage 128</v>
          </cell>
          <cell r="M555" t="str">
            <v>First Class</v>
          </cell>
          <cell r="N555">
            <v>9</v>
          </cell>
          <cell r="O555">
            <v>1294.1099999999999</v>
          </cell>
          <cell r="P555">
            <v>0.25</v>
          </cell>
          <cell r="S555">
            <v>2115.17</v>
          </cell>
          <cell r="T555" t="str">
            <v>Paid</v>
          </cell>
          <cell r="U555" t="str">
            <v>Completed</v>
          </cell>
        </row>
        <row r="556">
          <cell r="A556" t="str">
            <v>ORD-2024-10555</v>
          </cell>
          <cell r="B556" t="str">
            <v>2024-10-12</v>
          </cell>
          <cell r="C556" t="str">
            <v>17 Oct 2024</v>
          </cell>
          <cell r="D556" t="str">
            <v>CUST-2126</v>
          </cell>
          <cell r="E556" t="str">
            <v>Arjun Bose</v>
          </cell>
          <cell r="F556" t="str">
            <v>Consumer</v>
          </cell>
          <cell r="H556" t="str">
            <v>Jharkhand</v>
          </cell>
          <cell r="I556" t="str">
            <v>Ranchi</v>
          </cell>
          <cell r="J556" t="str">
            <v>Furniture</v>
          </cell>
          <cell r="K556" t="str">
            <v>Furnishings</v>
          </cell>
          <cell r="L556" t="str">
            <v>Prime Furnishings 892</v>
          </cell>
          <cell r="M556" t="str">
            <v>Standard Class</v>
          </cell>
          <cell r="N556">
            <v>4</v>
          </cell>
          <cell r="O556">
            <v>1071.22</v>
          </cell>
          <cell r="P556">
            <v>0.05</v>
          </cell>
          <cell r="S556">
            <v>1239.02</v>
          </cell>
          <cell r="T556" t="str">
            <v>Paid</v>
          </cell>
          <cell r="U556" t="str">
            <v>Completed</v>
          </cell>
        </row>
        <row r="557">
          <cell r="A557" t="str">
            <v>ORD-2025-10556</v>
          </cell>
          <cell r="B557" t="str">
            <v>04-02-2025</v>
          </cell>
          <cell r="C557" t="str">
            <v>10 Feb 2025</v>
          </cell>
          <cell r="D557" t="str">
            <v>CUST-7513</v>
          </cell>
          <cell r="E557" t="str">
            <v>Ananya Rao</v>
          </cell>
          <cell r="F557" t="str">
            <v>Small Business</v>
          </cell>
          <cell r="G557" t="str">
            <v>South</v>
          </cell>
          <cell r="H557" t="str">
            <v>Telangana</v>
          </cell>
          <cell r="I557" t="str">
            <v>Hyderabad</v>
          </cell>
          <cell r="J557" t="str">
            <v>Office Supplies</v>
          </cell>
          <cell r="K557" t="str">
            <v>Storage</v>
          </cell>
          <cell r="L557" t="str">
            <v>Prime Storage 689</v>
          </cell>
          <cell r="M557" t="str">
            <v>Standard Class</v>
          </cell>
          <cell r="N557">
            <v>6</v>
          </cell>
          <cell r="O557">
            <v>1042.8</v>
          </cell>
          <cell r="P557">
            <v>0.05</v>
          </cell>
          <cell r="S557">
            <v>2339.8200000000002</v>
          </cell>
          <cell r="T557" t="str">
            <v>Paid</v>
          </cell>
          <cell r="U557" t="str">
            <v>Completed</v>
          </cell>
        </row>
        <row r="558">
          <cell r="A558" t="str">
            <v>ORD-2024-10557</v>
          </cell>
          <cell r="B558" t="str">
            <v>23 Jun 2024</v>
          </cell>
          <cell r="C558" t="str">
            <v>2024-06-29</v>
          </cell>
          <cell r="D558" t="str">
            <v>CUST-1992</v>
          </cell>
          <cell r="E558" t="str">
            <v>Neha Gupta</v>
          </cell>
          <cell r="F558" t="str">
            <v>Consumer</v>
          </cell>
          <cell r="G558" t="str">
            <v>North</v>
          </cell>
          <cell r="H558" t="str">
            <v>Haryana</v>
          </cell>
          <cell r="I558" t="str">
            <v>Gurugram</v>
          </cell>
          <cell r="J558" t="str">
            <v>Furniture</v>
          </cell>
          <cell r="K558" t="str">
            <v>Tables</v>
          </cell>
          <cell r="L558" t="str">
            <v>Classic Tables 769</v>
          </cell>
          <cell r="M558" t="str">
            <v>First Class</v>
          </cell>
          <cell r="N558">
            <v>1</v>
          </cell>
          <cell r="O558">
            <v>4426.66</v>
          </cell>
          <cell r="P558">
            <v>0</v>
          </cell>
          <cell r="S558">
            <v>1816.23</v>
          </cell>
          <cell r="T558" t="str">
            <v>Paid</v>
          </cell>
          <cell r="U558" t="str">
            <v>Returned</v>
          </cell>
        </row>
        <row r="559">
          <cell r="A559" t="str">
            <v>ORD-2024-10558</v>
          </cell>
          <cell r="B559" t="str">
            <v>2024-05-08</v>
          </cell>
          <cell r="C559" t="str">
            <v>14-05-2024</v>
          </cell>
          <cell r="D559" t="str">
            <v>CUST-8848</v>
          </cell>
          <cell r="E559" t="str">
            <v>Vikram Iyer</v>
          </cell>
          <cell r="F559" t="str">
            <v>Home Office</v>
          </cell>
          <cell r="G559" t="str">
            <v>North</v>
          </cell>
          <cell r="H559" t="str">
            <v>Haryana</v>
          </cell>
          <cell r="I559" t="str">
            <v>Gurugram</v>
          </cell>
          <cell r="J559" t="str">
            <v>Technology</v>
          </cell>
          <cell r="K559" t="str">
            <v>Phones</v>
          </cell>
          <cell r="L559" t="str">
            <v>Prime Phones 503</v>
          </cell>
          <cell r="M559" t="str">
            <v>First Class</v>
          </cell>
          <cell r="N559">
            <v>9</v>
          </cell>
          <cell r="O559">
            <v>3769.46</v>
          </cell>
          <cell r="P559">
            <v>0.05</v>
          </cell>
          <cell r="S559">
            <v>7257.52</v>
          </cell>
          <cell r="T559" t="str">
            <v>Paid</v>
          </cell>
          <cell r="U559" t="str">
            <v>Cancelled</v>
          </cell>
        </row>
        <row r="560">
          <cell r="A560" t="str">
            <v>ORD-2025-10559</v>
          </cell>
          <cell r="B560" t="str">
            <v>2025-09-04</v>
          </cell>
          <cell r="C560" t="str">
            <v>09/04/2025</v>
          </cell>
          <cell r="D560" t="str">
            <v>CUST-9368</v>
          </cell>
          <cell r="E560" t="str">
            <v>Aditi Sen</v>
          </cell>
          <cell r="F560" t="str">
            <v>Corporate</v>
          </cell>
          <cell r="G560" t="str">
            <v>North</v>
          </cell>
          <cell r="H560" t="str">
            <v>Punjab</v>
          </cell>
          <cell r="I560" t="str">
            <v>Ludhiana</v>
          </cell>
          <cell r="J560" t="str">
            <v>Technology</v>
          </cell>
          <cell r="K560" t="str">
            <v>Machines</v>
          </cell>
          <cell r="L560" t="str">
            <v>Basic Machines 136</v>
          </cell>
          <cell r="M560" t="str">
            <v>First Class</v>
          </cell>
          <cell r="N560">
            <v>8</v>
          </cell>
          <cell r="O560">
            <v>3079.95</v>
          </cell>
          <cell r="P560">
            <v>0.2</v>
          </cell>
          <cell r="S560">
            <v>5249.88</v>
          </cell>
          <cell r="T560" t="str">
            <v>Paid</v>
          </cell>
          <cell r="U560" t="str">
            <v>Completed</v>
          </cell>
        </row>
        <row r="561">
          <cell r="A561" t="str">
            <v>ORD-2025-10560</v>
          </cell>
          <cell r="B561" t="str">
            <v>30 Sep 2025</v>
          </cell>
          <cell r="C561" t="str">
            <v>2025-10-07</v>
          </cell>
          <cell r="D561" t="str">
            <v>CUST-6797</v>
          </cell>
          <cell r="E561" t="str">
            <v>Diya Patel</v>
          </cell>
          <cell r="F561" t="str">
            <v>Corporate</v>
          </cell>
          <cell r="G561" t="str">
            <v>East</v>
          </cell>
          <cell r="H561" t="str">
            <v>Bihar</v>
          </cell>
          <cell r="I561" t="str">
            <v>Patna</v>
          </cell>
          <cell r="J561" t="str">
            <v>Technology</v>
          </cell>
          <cell r="K561" t="str">
            <v>Copiers</v>
          </cell>
          <cell r="L561" t="str">
            <v>Basic Copiers 512</v>
          </cell>
          <cell r="M561" t="str">
            <v>Second Class</v>
          </cell>
          <cell r="N561">
            <v>5</v>
          </cell>
          <cell r="O561">
            <v>3277.82</v>
          </cell>
          <cell r="P561">
            <v>0.1</v>
          </cell>
          <cell r="S561">
            <v>5267.61</v>
          </cell>
          <cell r="T561" t="str">
            <v>Paid</v>
          </cell>
          <cell r="U561" t="str">
            <v>Returned</v>
          </cell>
        </row>
        <row r="562">
          <cell r="A562" t="str">
            <v>ORD-2024-10561</v>
          </cell>
          <cell r="B562" t="str">
            <v>2024-01-16</v>
          </cell>
          <cell r="C562" t="str">
            <v>22-01-2024</v>
          </cell>
          <cell r="D562" t="str">
            <v>CUST-9333</v>
          </cell>
          <cell r="E562" t="str">
            <v>Arjun Bose</v>
          </cell>
          <cell r="F562" t="str">
            <v>Consumer</v>
          </cell>
          <cell r="G562" t="str">
            <v>West</v>
          </cell>
          <cell r="H562" t="str">
            <v>Goa</v>
          </cell>
          <cell r="I562" t="str">
            <v>Panaji</v>
          </cell>
          <cell r="J562" t="str">
            <v>Office Supplies</v>
          </cell>
          <cell r="K562" t="str">
            <v>Storage</v>
          </cell>
          <cell r="L562" t="str">
            <v>Smart Storage 767</v>
          </cell>
          <cell r="M562" t="str">
            <v>Standard Class</v>
          </cell>
          <cell r="N562">
            <v>4</v>
          </cell>
          <cell r="O562">
            <v>282.52999999999997</v>
          </cell>
          <cell r="P562">
            <v>0</v>
          </cell>
          <cell r="S562">
            <v>281.5</v>
          </cell>
          <cell r="T562" t="str">
            <v>Paid</v>
          </cell>
          <cell r="U562" t="str">
            <v>Cancelled</v>
          </cell>
        </row>
        <row r="563">
          <cell r="A563" t="str">
            <v>ORD-2025-10562</v>
          </cell>
          <cell r="B563" t="str">
            <v>2025-07-14</v>
          </cell>
          <cell r="C563" t="str">
            <v>18 Jul 2025</v>
          </cell>
          <cell r="D563" t="str">
            <v>CUST-6654</v>
          </cell>
          <cell r="E563" t="str">
            <v>Aditi Sen</v>
          </cell>
          <cell r="F563" t="str">
            <v>Consumer</v>
          </cell>
          <cell r="G563" t="str">
            <v>North</v>
          </cell>
          <cell r="H563" t="str">
            <v>Punjab</v>
          </cell>
          <cell r="I563" t="str">
            <v>Ludhiana</v>
          </cell>
          <cell r="J563" t="str">
            <v>Technology</v>
          </cell>
          <cell r="K563" t="str">
            <v>Copiers</v>
          </cell>
          <cell r="L563" t="str">
            <v>Eco Copiers 954</v>
          </cell>
          <cell r="M563" t="str">
            <v>First Class</v>
          </cell>
          <cell r="N563">
            <v>4</v>
          </cell>
          <cell r="O563">
            <v>725.22</v>
          </cell>
          <cell r="P563">
            <v>0</v>
          </cell>
          <cell r="S563">
            <v>509.03</v>
          </cell>
          <cell r="T563" t="str">
            <v>Pending</v>
          </cell>
          <cell r="U563" t="str">
            <v>Returned</v>
          </cell>
        </row>
        <row r="564">
          <cell r="A564" t="str">
            <v>ORD-2024-10563</v>
          </cell>
          <cell r="B564" t="str">
            <v>10 May 2024</v>
          </cell>
          <cell r="C564" t="str">
            <v>16 May 2024</v>
          </cell>
          <cell r="D564" t="str">
            <v>CUST-8622</v>
          </cell>
          <cell r="E564" t="str">
            <v>Karan Malhotra</v>
          </cell>
          <cell r="F564" t="str">
            <v>Consumer</v>
          </cell>
          <cell r="G564" t="str">
            <v>North</v>
          </cell>
          <cell r="H564" t="str">
            <v>Punjab</v>
          </cell>
          <cell r="I564" t="str">
            <v>Ludhiana</v>
          </cell>
          <cell r="J564" t="str">
            <v>Office Supplies</v>
          </cell>
          <cell r="K564" t="str">
            <v>Binders</v>
          </cell>
          <cell r="L564" t="str">
            <v>Elite Binders 143</v>
          </cell>
          <cell r="M564" t="str">
            <v>Same Day</v>
          </cell>
          <cell r="N564">
            <v>7</v>
          </cell>
          <cell r="O564">
            <v>121.54</v>
          </cell>
          <cell r="P564">
            <v>0.2</v>
          </cell>
          <cell r="S564">
            <v>217.13</v>
          </cell>
          <cell r="T564" t="str">
            <v>Failed</v>
          </cell>
          <cell r="U564" t="str">
            <v>Returned</v>
          </cell>
        </row>
        <row r="565">
          <cell r="A565" t="str">
            <v>ORD-2024-10564</v>
          </cell>
          <cell r="B565" t="str">
            <v>05/06/2024</v>
          </cell>
          <cell r="C565" t="str">
            <v>12-05-2024</v>
          </cell>
          <cell r="D565" t="str">
            <v>CUST-8776</v>
          </cell>
          <cell r="E565" t="str">
            <v>Arjun Bose</v>
          </cell>
          <cell r="F565" t="str">
            <v>Corporate</v>
          </cell>
          <cell r="G565" t="str">
            <v>West</v>
          </cell>
          <cell r="H565" t="str">
            <v>Goa</v>
          </cell>
          <cell r="I565" t="str">
            <v>Panaji</v>
          </cell>
          <cell r="J565" t="str">
            <v>Furniture</v>
          </cell>
          <cell r="K565" t="str">
            <v>Tables</v>
          </cell>
          <cell r="L565" t="str">
            <v>Classic Tables 560</v>
          </cell>
          <cell r="M565" t="str">
            <v>Standard Class</v>
          </cell>
          <cell r="N565">
            <v>9</v>
          </cell>
          <cell r="O565">
            <v>790.97</v>
          </cell>
          <cell r="P565">
            <v>0.2</v>
          </cell>
          <cell r="S565">
            <v>1076.6500000000001</v>
          </cell>
          <cell r="T565" t="str">
            <v>Pending</v>
          </cell>
          <cell r="U565" t="str">
            <v>Cancelled</v>
          </cell>
        </row>
        <row r="566">
          <cell r="A566" t="str">
            <v>ORD-2024-10565</v>
          </cell>
          <cell r="B566" t="str">
            <v>11/10/2024</v>
          </cell>
          <cell r="C566" t="str">
            <v>14-11-2024</v>
          </cell>
          <cell r="D566" t="str">
            <v>CUST-9100</v>
          </cell>
          <cell r="E566" t="str">
            <v>Sneha Kapoor</v>
          </cell>
          <cell r="F566" t="str">
            <v>Corporate</v>
          </cell>
          <cell r="G566" t="str">
            <v>South</v>
          </cell>
          <cell r="H566" t="str">
            <v>Andhra Pradesh</v>
          </cell>
          <cell r="I566" t="str">
            <v>Vijayawada</v>
          </cell>
          <cell r="J566" t="str">
            <v>Furniture</v>
          </cell>
          <cell r="K566" t="str">
            <v>Tables</v>
          </cell>
          <cell r="L566" t="str">
            <v>Basic Tables 759</v>
          </cell>
          <cell r="M566" t="str">
            <v>First Class</v>
          </cell>
          <cell r="N566">
            <v>2</v>
          </cell>
          <cell r="O566">
            <v>921.34</v>
          </cell>
          <cell r="P566">
            <v>0.2</v>
          </cell>
          <cell r="S566">
            <v>505.68</v>
          </cell>
          <cell r="T566" t="str">
            <v>Paid</v>
          </cell>
          <cell r="U566" t="str">
            <v>Completed</v>
          </cell>
        </row>
        <row r="567">
          <cell r="A567" t="str">
            <v>ORD-2025-10566</v>
          </cell>
          <cell r="B567" t="str">
            <v>07 Aug 2025</v>
          </cell>
          <cell r="C567" t="str">
            <v>13-08-2025</v>
          </cell>
          <cell r="D567" t="str">
            <v>CUST-5601</v>
          </cell>
          <cell r="E567" t="str">
            <v>Mira Das</v>
          </cell>
          <cell r="F567" t="str">
            <v>Corporate</v>
          </cell>
          <cell r="G567" t="str">
            <v>North</v>
          </cell>
          <cell r="H567" t="str">
            <v>Delhi</v>
          </cell>
          <cell r="I567" t="str">
            <v>New Delhi</v>
          </cell>
          <cell r="J567" t="str">
            <v>Technology</v>
          </cell>
          <cell r="K567" t="str">
            <v>Phones</v>
          </cell>
          <cell r="L567" t="str">
            <v>Prime Phones 564</v>
          </cell>
          <cell r="M567" t="str">
            <v>Standard Class</v>
          </cell>
          <cell r="N567">
            <v>6</v>
          </cell>
          <cell r="O567">
            <v>1921.86</v>
          </cell>
          <cell r="P567">
            <v>0.2</v>
          </cell>
          <cell r="S567">
            <v>2219.73</v>
          </cell>
          <cell r="T567" t="str">
            <v>Refunded</v>
          </cell>
          <cell r="U567" t="str">
            <v>Cancelled</v>
          </cell>
        </row>
        <row r="568">
          <cell r="A568" t="str">
            <v>ORD-2024-10567</v>
          </cell>
          <cell r="B568" t="str">
            <v>11 Aug 2024</v>
          </cell>
          <cell r="C568" t="str">
            <v>2024-08-19</v>
          </cell>
          <cell r="D568" t="str">
            <v>CUST-5246</v>
          </cell>
          <cell r="E568" t="str">
            <v>Sneha Kapoor</v>
          </cell>
          <cell r="F568" t="str">
            <v>Small Business</v>
          </cell>
          <cell r="G568" t="str">
            <v>West</v>
          </cell>
          <cell r="H568" t="str">
            <v>Maharashtra</v>
          </cell>
          <cell r="I568" t="str">
            <v>Mumbai</v>
          </cell>
          <cell r="J568" t="str">
            <v>Office Supplies</v>
          </cell>
          <cell r="K568" t="str">
            <v>Paper</v>
          </cell>
          <cell r="L568" t="str">
            <v>Smart Paper 807</v>
          </cell>
          <cell r="M568" t="str">
            <v>Same Day</v>
          </cell>
          <cell r="N568">
            <v>2</v>
          </cell>
          <cell r="O568">
            <v>2617.89</v>
          </cell>
          <cell r="P568">
            <v>0.1</v>
          </cell>
          <cell r="S568">
            <v>860.29</v>
          </cell>
          <cell r="T568" t="str">
            <v>Failed</v>
          </cell>
          <cell r="U568" t="str">
            <v>Returned</v>
          </cell>
        </row>
        <row r="569">
          <cell r="A569" t="str">
            <v>ORD-2024-10568</v>
          </cell>
          <cell r="B569" t="str">
            <v>06 Feb 2024</v>
          </cell>
          <cell r="C569" t="str">
            <v>10-02-2024</v>
          </cell>
          <cell r="D569" t="str">
            <v>CUST-3128</v>
          </cell>
          <cell r="E569" t="str">
            <v>Arjun Bose</v>
          </cell>
          <cell r="F569" t="str">
            <v>Home Office</v>
          </cell>
          <cell r="G569" t="str">
            <v>North</v>
          </cell>
          <cell r="H569" t="str">
            <v>Uttar Pradesh</v>
          </cell>
          <cell r="I569" t="str">
            <v>Noida</v>
          </cell>
          <cell r="J569" t="str">
            <v>Furniture</v>
          </cell>
          <cell r="K569" t="str">
            <v>Furnishings</v>
          </cell>
          <cell r="L569" t="str">
            <v>Pro Furnishings 108</v>
          </cell>
          <cell r="M569" t="str">
            <v>Same Day</v>
          </cell>
          <cell r="N569">
            <v>1</v>
          </cell>
          <cell r="O569">
            <v>1374.06</v>
          </cell>
          <cell r="P569">
            <v>0.05</v>
          </cell>
          <cell r="S569">
            <v>573.47</v>
          </cell>
          <cell r="T569" t="str">
            <v>Paid</v>
          </cell>
          <cell r="U569" t="str">
            <v>Completed</v>
          </cell>
        </row>
        <row r="570">
          <cell r="A570" t="str">
            <v>ORD-2024-10569</v>
          </cell>
          <cell r="B570" t="str">
            <v>21 Jan 2024</v>
          </cell>
          <cell r="C570" t="str">
            <v>24 Jan 2024</v>
          </cell>
          <cell r="D570" t="str">
            <v>CUST-4604</v>
          </cell>
          <cell r="E570" t="str">
            <v>Kabir Singh</v>
          </cell>
          <cell r="F570" t="str">
            <v>Corporate</v>
          </cell>
          <cell r="G570" t="str">
            <v>North</v>
          </cell>
          <cell r="H570" t="str">
            <v>Punjab</v>
          </cell>
          <cell r="I570" t="str">
            <v>Ludhiana</v>
          </cell>
          <cell r="J570" t="str">
            <v>Technology</v>
          </cell>
          <cell r="K570" t="str">
            <v>Machines</v>
          </cell>
          <cell r="L570" t="str">
            <v>Classic Machines 522</v>
          </cell>
          <cell r="M570" t="str">
            <v>Same Day</v>
          </cell>
          <cell r="N570">
            <v>1</v>
          </cell>
          <cell r="O570">
            <v>3806.3</v>
          </cell>
          <cell r="P570">
            <v>0.25</v>
          </cell>
          <cell r="S570">
            <v>886.61</v>
          </cell>
          <cell r="T570" t="str">
            <v>Paid</v>
          </cell>
          <cell r="U570" t="str">
            <v>Completed</v>
          </cell>
        </row>
        <row r="571">
          <cell r="A571" t="str">
            <v>ORD-2025-10570</v>
          </cell>
          <cell r="B571" t="str">
            <v>09/08/2025</v>
          </cell>
          <cell r="C571" t="str">
            <v>2025-09-10</v>
          </cell>
          <cell r="D571" t="str">
            <v>CUST-2586</v>
          </cell>
          <cell r="E571" t="str">
            <v>Rahul Verma</v>
          </cell>
          <cell r="F571" t="str">
            <v>Home Office</v>
          </cell>
          <cell r="G571" t="str">
            <v>West</v>
          </cell>
          <cell r="H571" t="str">
            <v>Maharashtra</v>
          </cell>
          <cell r="I571" t="str">
            <v>Mumbai</v>
          </cell>
          <cell r="J571" t="str">
            <v>Furniture</v>
          </cell>
          <cell r="K571" t="str">
            <v>Furnishings</v>
          </cell>
          <cell r="L571" t="str">
            <v>Elite Furnishings 822</v>
          </cell>
          <cell r="M571" t="str">
            <v>Standard Class</v>
          </cell>
          <cell r="N571">
            <v>6</v>
          </cell>
          <cell r="O571">
            <v>3251.17</v>
          </cell>
          <cell r="P571">
            <v>0.25</v>
          </cell>
          <cell r="S571">
            <v>2723.9</v>
          </cell>
          <cell r="T571" t="str">
            <v>Refunded</v>
          </cell>
          <cell r="U571" t="str">
            <v>Returned</v>
          </cell>
        </row>
        <row r="572">
          <cell r="A572" t="str">
            <v>ORD-2025-10571</v>
          </cell>
          <cell r="B572" t="str">
            <v>2025-08-18</v>
          </cell>
          <cell r="C572" t="str">
            <v>08/22/2025</v>
          </cell>
          <cell r="D572" t="str">
            <v>CUST-6585</v>
          </cell>
          <cell r="E572" t="str">
            <v>Arjun Bose</v>
          </cell>
          <cell r="F572" t="str">
            <v>Consumer</v>
          </cell>
          <cell r="G572" t="str">
            <v>East</v>
          </cell>
          <cell r="H572" t="str">
            <v>Jharkhand</v>
          </cell>
          <cell r="I572" t="str">
            <v>Ranchi</v>
          </cell>
          <cell r="J572" t="str">
            <v>Furniture</v>
          </cell>
          <cell r="K572" t="str">
            <v>Furnishings</v>
          </cell>
          <cell r="L572" t="str">
            <v>Max Furnishings 647</v>
          </cell>
          <cell r="M572" t="str">
            <v>Second Class</v>
          </cell>
          <cell r="N572">
            <v>3</v>
          </cell>
          <cell r="O572">
            <v>3946.44</v>
          </cell>
          <cell r="P572">
            <v>0.25</v>
          </cell>
          <cell r="S572">
            <v>2534.92</v>
          </cell>
          <cell r="T572" t="str">
            <v>Failed</v>
          </cell>
          <cell r="U572" t="str">
            <v>Returned</v>
          </cell>
        </row>
        <row r="573">
          <cell r="A573" t="str">
            <v>ORD-2025-10572</v>
          </cell>
          <cell r="B573" t="str">
            <v>10 Feb 2025</v>
          </cell>
          <cell r="C573" t="str">
            <v>2025-02-14</v>
          </cell>
          <cell r="D573" t="str">
            <v>CUST-3425</v>
          </cell>
          <cell r="E573" t="str">
            <v>Priya Menon</v>
          </cell>
          <cell r="F573" t="str">
            <v>Small Business</v>
          </cell>
          <cell r="G573" t="str">
            <v>North</v>
          </cell>
          <cell r="H573" t="str">
            <v>Uttar Pradesh</v>
          </cell>
          <cell r="I573" t="str">
            <v>Noida</v>
          </cell>
          <cell r="J573" t="str">
            <v>Technology</v>
          </cell>
          <cell r="K573" t="str">
            <v>Phones</v>
          </cell>
          <cell r="L573" t="str">
            <v>Prime Phones 895</v>
          </cell>
          <cell r="N573">
            <v>5</v>
          </cell>
          <cell r="O573">
            <v>4276.29</v>
          </cell>
          <cell r="P573">
            <v>0</v>
          </cell>
          <cell r="S573">
            <v>8141.24</v>
          </cell>
          <cell r="T573" t="str">
            <v>Failed</v>
          </cell>
          <cell r="U573" t="str">
            <v>Returned</v>
          </cell>
        </row>
        <row r="574">
          <cell r="A574" t="str">
            <v>ORD-2024-10573</v>
          </cell>
          <cell r="B574" t="str">
            <v>01/02/2024</v>
          </cell>
          <cell r="C574" t="str">
            <v>09-01-2024</v>
          </cell>
          <cell r="D574" t="str">
            <v>CUST-8633</v>
          </cell>
          <cell r="E574" t="str">
            <v>Diya Patel</v>
          </cell>
          <cell r="F574" t="str">
            <v>Corporate</v>
          </cell>
          <cell r="G574" t="str">
            <v>North</v>
          </cell>
          <cell r="H574" t="str">
            <v>Delhi</v>
          </cell>
          <cell r="I574" t="str">
            <v>New Delhi</v>
          </cell>
          <cell r="J574" t="str">
            <v>Technology</v>
          </cell>
          <cell r="K574" t="str">
            <v>Phones</v>
          </cell>
          <cell r="L574" t="str">
            <v>Eco Phones 368</v>
          </cell>
          <cell r="M574" t="str">
            <v>Standard Class</v>
          </cell>
          <cell r="N574">
            <v>3</v>
          </cell>
          <cell r="O574">
            <v>739.56</v>
          </cell>
          <cell r="P574">
            <v>0.2</v>
          </cell>
          <cell r="S574">
            <v>767.54</v>
          </cell>
          <cell r="T574" t="str">
            <v>Paid</v>
          </cell>
          <cell r="U574" t="str">
            <v>Completed</v>
          </cell>
        </row>
        <row r="575">
          <cell r="A575" t="str">
            <v>ORD-2025-10574</v>
          </cell>
          <cell r="B575" t="str">
            <v>09/22/2025</v>
          </cell>
          <cell r="C575" t="str">
            <v>09/26/2025</v>
          </cell>
          <cell r="D575" t="str">
            <v>CUST-8243</v>
          </cell>
          <cell r="E575" t="str">
            <v>Isha Nair</v>
          </cell>
          <cell r="F575" t="str">
            <v>Consumer</v>
          </cell>
          <cell r="G575" t="str">
            <v>South</v>
          </cell>
          <cell r="H575" t="str">
            <v>Andhra Pradesh</v>
          </cell>
          <cell r="I575" t="str">
            <v>Vijayawada</v>
          </cell>
          <cell r="J575" t="str">
            <v>Technology</v>
          </cell>
          <cell r="K575" t="str">
            <v>Phones</v>
          </cell>
          <cell r="L575" t="str">
            <v>Pro Phones 644</v>
          </cell>
          <cell r="M575" t="str">
            <v>Standard Class</v>
          </cell>
          <cell r="N575">
            <v>1</v>
          </cell>
          <cell r="O575">
            <v>573.65</v>
          </cell>
          <cell r="P575">
            <v>0</v>
          </cell>
          <cell r="S575">
            <v>250.98</v>
          </cell>
          <cell r="T575" t="str">
            <v>Paid</v>
          </cell>
          <cell r="U575" t="str">
            <v>Completed</v>
          </cell>
        </row>
        <row r="576">
          <cell r="A576" t="str">
            <v>ORD-2024-10575</v>
          </cell>
          <cell r="B576" t="str">
            <v>20 Feb 2024</v>
          </cell>
          <cell r="C576" t="str">
            <v>25-02-2024</v>
          </cell>
          <cell r="D576" t="str">
            <v>CUST-9139</v>
          </cell>
          <cell r="E576" t="str">
            <v>Diya Patel</v>
          </cell>
          <cell r="F576" t="str">
            <v>Home Office</v>
          </cell>
          <cell r="G576" t="str">
            <v>North</v>
          </cell>
          <cell r="H576" t="str">
            <v>Punjab</v>
          </cell>
          <cell r="I576" t="str">
            <v>Ludhiana</v>
          </cell>
          <cell r="J576" t="str">
            <v>Technology</v>
          </cell>
          <cell r="K576" t="str">
            <v>Machines</v>
          </cell>
          <cell r="L576" t="str">
            <v>Smart Machines 566</v>
          </cell>
          <cell r="M576" t="str">
            <v>Standard Class</v>
          </cell>
          <cell r="N576">
            <v>4</v>
          </cell>
          <cell r="O576">
            <v>1355.8</v>
          </cell>
          <cell r="P576">
            <v>0</v>
          </cell>
          <cell r="S576">
            <v>1350.76</v>
          </cell>
          <cell r="T576" t="str">
            <v>Paid</v>
          </cell>
          <cell r="U576" t="str">
            <v>Completed</v>
          </cell>
        </row>
        <row r="577">
          <cell r="A577" t="str">
            <v>ORD-2025-10576</v>
          </cell>
          <cell r="B577" t="str">
            <v>11 Mar 2025</v>
          </cell>
          <cell r="C577" t="str">
            <v>14 Mar 2025</v>
          </cell>
          <cell r="D577" t="str">
            <v>CUST-5496</v>
          </cell>
          <cell r="E577" t="str">
            <v>Sneha Kapoor</v>
          </cell>
          <cell r="F577" t="str">
            <v>Home Office</v>
          </cell>
          <cell r="G577" t="str">
            <v>South</v>
          </cell>
          <cell r="H577" t="str">
            <v>Kerala</v>
          </cell>
          <cell r="I577" t="str">
            <v>Kochi</v>
          </cell>
          <cell r="J577" t="str">
            <v>Furniture</v>
          </cell>
          <cell r="K577" t="str">
            <v>Furnishings</v>
          </cell>
          <cell r="L577" t="str">
            <v>Elite Furnishings 173</v>
          </cell>
          <cell r="M577" t="str">
            <v>Same Day</v>
          </cell>
          <cell r="N577">
            <v>4</v>
          </cell>
          <cell r="O577">
            <v>1244.82</v>
          </cell>
          <cell r="P577">
            <v>0.2</v>
          </cell>
          <cell r="S577">
            <v>808.51</v>
          </cell>
          <cell r="T577" t="str">
            <v>Failed</v>
          </cell>
          <cell r="U577" t="str">
            <v>Returned</v>
          </cell>
        </row>
        <row r="578">
          <cell r="A578" t="str">
            <v>ORD-2024-10577</v>
          </cell>
          <cell r="B578" t="str">
            <v>17-02-2024</v>
          </cell>
          <cell r="C578" t="str">
            <v>02/23/2024</v>
          </cell>
          <cell r="D578" t="str">
            <v>CUST-2228</v>
          </cell>
          <cell r="E578" t="str">
            <v>Rohan Mehta</v>
          </cell>
          <cell r="F578" t="str">
            <v>Home Office</v>
          </cell>
          <cell r="H578" t="str">
            <v>Bihar</v>
          </cell>
          <cell r="I578" t="str">
            <v>Patna</v>
          </cell>
          <cell r="J578" t="str">
            <v>Office Supplies</v>
          </cell>
          <cell r="K578" t="str">
            <v>Binders</v>
          </cell>
          <cell r="L578" t="str">
            <v>Smart Binders 417</v>
          </cell>
          <cell r="M578" t="str">
            <v>Standard Class</v>
          </cell>
          <cell r="N578">
            <v>9</v>
          </cell>
          <cell r="O578">
            <v>2614.46</v>
          </cell>
          <cell r="P578">
            <v>0</v>
          </cell>
          <cell r="S578">
            <v>3992.35</v>
          </cell>
          <cell r="T578" t="str">
            <v>Refunded</v>
          </cell>
          <cell r="U578" t="str">
            <v>Returned</v>
          </cell>
        </row>
        <row r="579">
          <cell r="A579" t="str">
            <v>ORD-2025-10578</v>
          </cell>
          <cell r="B579" t="str">
            <v>08/28/2025</v>
          </cell>
          <cell r="C579" t="str">
            <v>2025-09-03</v>
          </cell>
          <cell r="D579" t="str">
            <v>CUST-4151</v>
          </cell>
          <cell r="E579" t="str">
            <v>Priya Menon</v>
          </cell>
          <cell r="F579" t="str">
            <v>Corporate</v>
          </cell>
          <cell r="G579" t="str">
            <v>West</v>
          </cell>
          <cell r="H579" t="str">
            <v>Madhya Pradesh</v>
          </cell>
          <cell r="I579" t="str">
            <v>Indore</v>
          </cell>
          <cell r="J579" t="str">
            <v>Furniture</v>
          </cell>
          <cell r="K579" t="str">
            <v>Furnishings</v>
          </cell>
          <cell r="L579" t="str">
            <v>Smart Furnishings 714</v>
          </cell>
          <cell r="M579" t="str">
            <v>Standard Class</v>
          </cell>
          <cell r="N579">
            <v>7</v>
          </cell>
          <cell r="O579">
            <v>268.45</v>
          </cell>
          <cell r="P579">
            <v>0</v>
          </cell>
          <cell r="S579">
            <v>744.25</v>
          </cell>
          <cell r="T579" t="str">
            <v>Paid</v>
          </cell>
          <cell r="U579" t="str">
            <v>Completed</v>
          </cell>
        </row>
        <row r="580">
          <cell r="A580" t="str">
            <v>ORD-2024-10579</v>
          </cell>
          <cell r="B580" t="str">
            <v>2024-02-21</v>
          </cell>
          <cell r="C580" t="str">
            <v>23-02-2024</v>
          </cell>
          <cell r="D580" t="str">
            <v>CUST-4900</v>
          </cell>
          <cell r="E580" t="str">
            <v>Neha Gupta</v>
          </cell>
          <cell r="F580" t="str">
            <v>Small Business</v>
          </cell>
          <cell r="G580" t="str">
            <v>West</v>
          </cell>
          <cell r="H580" t="str">
            <v>Gujarat</v>
          </cell>
          <cell r="I580" t="str">
            <v>Ahmedabad</v>
          </cell>
          <cell r="J580" t="str">
            <v>Technology</v>
          </cell>
          <cell r="K580" t="str">
            <v>Copiers</v>
          </cell>
          <cell r="L580" t="str">
            <v>Elite Copiers 682</v>
          </cell>
          <cell r="M580" t="str">
            <v>First Class</v>
          </cell>
          <cell r="N580">
            <v>6</v>
          </cell>
          <cell r="O580">
            <v>2633.65</v>
          </cell>
          <cell r="P580">
            <v>0.05</v>
          </cell>
          <cell r="S580">
            <v>5351.45</v>
          </cell>
          <cell r="T580" t="str">
            <v>Paid</v>
          </cell>
          <cell r="U580" t="str">
            <v>Completed</v>
          </cell>
        </row>
        <row r="581">
          <cell r="A581" t="str">
            <v>ORD-2024-10580</v>
          </cell>
          <cell r="B581" t="str">
            <v>19-06-2024</v>
          </cell>
          <cell r="C581" t="str">
            <v>24 Jun 2024</v>
          </cell>
          <cell r="D581" t="str">
            <v>CUST-9617</v>
          </cell>
          <cell r="E581" t="str">
            <v>Aarav Sharma</v>
          </cell>
          <cell r="F581" t="str">
            <v>Small Business</v>
          </cell>
          <cell r="G581" t="str">
            <v>South</v>
          </cell>
          <cell r="H581" t="str">
            <v>Tamil Nadu</v>
          </cell>
          <cell r="I581" t="str">
            <v>Chennai</v>
          </cell>
          <cell r="J581" t="str">
            <v>Office Supplies</v>
          </cell>
          <cell r="K581" t="str">
            <v>Storage</v>
          </cell>
          <cell r="L581" t="str">
            <v>Pro Storage 482</v>
          </cell>
          <cell r="M581" t="str">
            <v>Same Day</v>
          </cell>
          <cell r="N581">
            <v>1</v>
          </cell>
          <cell r="O581">
            <v>3202.41</v>
          </cell>
          <cell r="P581">
            <v>0</v>
          </cell>
          <cell r="S581">
            <v>593.97</v>
          </cell>
          <cell r="T581" t="str">
            <v>Paid</v>
          </cell>
          <cell r="U581" t="str">
            <v>Completed</v>
          </cell>
        </row>
        <row r="582">
          <cell r="A582" t="str">
            <v>ORD-2025-10581</v>
          </cell>
          <cell r="B582" t="str">
            <v>06-03-2025</v>
          </cell>
          <cell r="C582" t="str">
            <v>03/13/2025</v>
          </cell>
          <cell r="D582" t="str">
            <v>CUST-7958</v>
          </cell>
          <cell r="E582" t="str">
            <v>Kabir Singh</v>
          </cell>
          <cell r="F582" t="str">
            <v>Consumer</v>
          </cell>
          <cell r="G582" t="str">
            <v>South</v>
          </cell>
          <cell r="H582" t="str">
            <v>Kerala</v>
          </cell>
          <cell r="I582" t="str">
            <v>Kochi</v>
          </cell>
          <cell r="J582" t="str">
            <v>Furniture</v>
          </cell>
          <cell r="K582" t="str">
            <v>Chairs</v>
          </cell>
          <cell r="L582" t="str">
            <v>Pro Chairs 888</v>
          </cell>
          <cell r="M582" t="str">
            <v>Standard Class</v>
          </cell>
          <cell r="N582">
            <v>3</v>
          </cell>
          <cell r="O582">
            <v>163.72</v>
          </cell>
          <cell r="P582">
            <v>0.15</v>
          </cell>
          <cell r="S582">
            <v>155.82</v>
          </cell>
          <cell r="T582" t="str">
            <v>Failed</v>
          </cell>
          <cell r="U582" t="str">
            <v>Returned</v>
          </cell>
        </row>
        <row r="583">
          <cell r="A583" t="str">
            <v>ORD-2025-10582</v>
          </cell>
          <cell r="B583" t="str">
            <v>2025-08-09</v>
          </cell>
          <cell r="C583" t="str">
            <v>08/10/2025</v>
          </cell>
          <cell r="D583" t="str">
            <v>CUST-9931</v>
          </cell>
          <cell r="E583" t="str">
            <v>Neha Gupta</v>
          </cell>
          <cell r="F583" t="str">
            <v>Consumer</v>
          </cell>
          <cell r="G583" t="str">
            <v>North</v>
          </cell>
          <cell r="H583" t="str">
            <v>Delhi</v>
          </cell>
          <cell r="I583" t="str">
            <v>New Delhi</v>
          </cell>
          <cell r="J583" t="str">
            <v>Office Supplies</v>
          </cell>
          <cell r="K583" t="str">
            <v>Art</v>
          </cell>
          <cell r="L583" t="str">
            <v>Classic Art 611</v>
          </cell>
          <cell r="M583" t="str">
            <v>Second Class</v>
          </cell>
          <cell r="N583">
            <v>4</v>
          </cell>
          <cell r="O583">
            <v>4080.95</v>
          </cell>
          <cell r="P583">
            <v>0</v>
          </cell>
          <cell r="S583">
            <v>6358.01</v>
          </cell>
          <cell r="T583" t="str">
            <v>Refunded</v>
          </cell>
          <cell r="U583" t="str">
            <v>Returned</v>
          </cell>
        </row>
        <row r="584">
          <cell r="A584" t="str">
            <v>ORD-2024-10583</v>
          </cell>
          <cell r="B584" t="str">
            <v>2024-10-15</v>
          </cell>
          <cell r="C584" t="str">
            <v>10/20/2024</v>
          </cell>
          <cell r="D584" t="str">
            <v>CUST-2088</v>
          </cell>
          <cell r="E584" t="str">
            <v>Ananya Rao</v>
          </cell>
          <cell r="F584" t="str">
            <v>Consumer</v>
          </cell>
          <cell r="G584" t="str">
            <v>East</v>
          </cell>
          <cell r="H584" t="str">
            <v>Odisha</v>
          </cell>
          <cell r="I584" t="str">
            <v>Bhubaneswar</v>
          </cell>
          <cell r="J584" t="str">
            <v>Office Supplies</v>
          </cell>
          <cell r="K584" t="str">
            <v>Art</v>
          </cell>
          <cell r="L584" t="str">
            <v>Basic Art 174</v>
          </cell>
          <cell r="M584" t="str">
            <v>First Class</v>
          </cell>
          <cell r="N584">
            <v>5</v>
          </cell>
          <cell r="O584">
            <v>671.24</v>
          </cell>
          <cell r="P584">
            <v>0</v>
          </cell>
          <cell r="S584">
            <v>1150.48</v>
          </cell>
          <cell r="T584" t="str">
            <v>Pending</v>
          </cell>
          <cell r="U584" t="str">
            <v>Returned</v>
          </cell>
        </row>
        <row r="585">
          <cell r="A585" t="str">
            <v>ORD-2024-10584</v>
          </cell>
          <cell r="B585" t="str">
            <v>28 Feb 2024</v>
          </cell>
          <cell r="C585" t="str">
            <v>02/28/2024</v>
          </cell>
          <cell r="D585" t="str">
            <v>CUST-1686</v>
          </cell>
          <cell r="E585" t="str">
            <v>Rohan Mehta</v>
          </cell>
          <cell r="F585" t="str">
            <v>Small Business</v>
          </cell>
          <cell r="G585" t="str">
            <v>East</v>
          </cell>
          <cell r="H585" t="str">
            <v>West Bengal</v>
          </cell>
          <cell r="I585" t="str">
            <v>Kolkata</v>
          </cell>
          <cell r="J585" t="str">
            <v>Office Supplies</v>
          </cell>
          <cell r="K585" t="str">
            <v>Storage</v>
          </cell>
          <cell r="L585" t="str">
            <v>Classic Storage 451</v>
          </cell>
          <cell r="M585" t="str">
            <v>First Class</v>
          </cell>
          <cell r="N585">
            <v>1</v>
          </cell>
          <cell r="O585">
            <v>2626.84</v>
          </cell>
          <cell r="P585">
            <v>0.2</v>
          </cell>
          <cell r="S585">
            <v>883.64</v>
          </cell>
          <cell r="T585" t="str">
            <v>Failed</v>
          </cell>
          <cell r="U585" t="str">
            <v>Returned</v>
          </cell>
        </row>
        <row r="586">
          <cell r="A586" t="str">
            <v>ORD-2024-10585</v>
          </cell>
          <cell r="B586" t="str">
            <v>08/04/2024</v>
          </cell>
          <cell r="C586" t="str">
            <v>10-08-2024</v>
          </cell>
          <cell r="D586" t="str">
            <v>CUST-4894</v>
          </cell>
          <cell r="E586" t="str">
            <v>Vikram Iyer</v>
          </cell>
          <cell r="F586" t="str">
            <v>Consumer</v>
          </cell>
          <cell r="G586" t="str">
            <v>East</v>
          </cell>
          <cell r="H586" t="str">
            <v>Bihar</v>
          </cell>
          <cell r="I586" t="str">
            <v>Patna</v>
          </cell>
          <cell r="J586" t="str">
            <v>Office Supplies</v>
          </cell>
          <cell r="K586" t="str">
            <v>Art</v>
          </cell>
          <cell r="L586" t="str">
            <v>Pro Art 172</v>
          </cell>
          <cell r="M586" t="str">
            <v>Same Day</v>
          </cell>
          <cell r="N586">
            <v>1</v>
          </cell>
          <cell r="O586">
            <v>984.93</v>
          </cell>
          <cell r="P586">
            <v>0.15</v>
          </cell>
          <cell r="S586">
            <v>253.4</v>
          </cell>
          <cell r="T586" t="str">
            <v>Pending</v>
          </cell>
          <cell r="U586" t="str">
            <v>Returned</v>
          </cell>
        </row>
        <row r="587">
          <cell r="A587" t="str">
            <v>ORD-2025-10586</v>
          </cell>
          <cell r="B587" t="str">
            <v>22 Jun 2025</v>
          </cell>
          <cell r="C587" t="str">
            <v>2025-06-25</v>
          </cell>
          <cell r="D587" t="str">
            <v>CUST-5201</v>
          </cell>
          <cell r="E587" t="str">
            <v>Diya Patel</v>
          </cell>
          <cell r="F587" t="str">
            <v>Small Business</v>
          </cell>
          <cell r="G587" t="str">
            <v>WEST</v>
          </cell>
          <cell r="H587" t="str">
            <v>Maharashtra</v>
          </cell>
          <cell r="I587" t="str">
            <v>Mumbai</v>
          </cell>
          <cell r="J587" t="str">
            <v>Technology</v>
          </cell>
          <cell r="K587" t="str">
            <v>Phones</v>
          </cell>
          <cell r="L587" t="str">
            <v>Prime Phones 744</v>
          </cell>
          <cell r="M587" t="str">
            <v>First Class</v>
          </cell>
          <cell r="N587">
            <v>8</v>
          </cell>
          <cell r="O587">
            <v>3453.66</v>
          </cell>
          <cell r="P587">
            <v>0</v>
          </cell>
          <cell r="S587">
            <v>5602.8</v>
          </cell>
          <cell r="T587" t="str">
            <v>Paid</v>
          </cell>
          <cell r="U587" t="str">
            <v>Completed</v>
          </cell>
        </row>
        <row r="588">
          <cell r="A588" t="str">
            <v>ORD-2025-10587</v>
          </cell>
          <cell r="B588" t="str">
            <v>12-04-2025</v>
          </cell>
          <cell r="C588" t="str">
            <v>12 Apr 2025</v>
          </cell>
          <cell r="D588" t="str">
            <v>CUST-8626</v>
          </cell>
          <cell r="E588" t="str">
            <v>Mira Das</v>
          </cell>
          <cell r="F588" t="str">
            <v>Home Office</v>
          </cell>
          <cell r="G588" t="str">
            <v>North</v>
          </cell>
          <cell r="H588" t="str">
            <v>Punjab</v>
          </cell>
          <cell r="I588" t="str">
            <v>Ludhiana</v>
          </cell>
          <cell r="J588" t="str">
            <v>Office Supplies</v>
          </cell>
          <cell r="K588" t="str">
            <v>Binders</v>
          </cell>
          <cell r="L588" t="str">
            <v>Prime Binders 249</v>
          </cell>
          <cell r="M588" t="str">
            <v>Second Class</v>
          </cell>
          <cell r="N588">
            <v>7</v>
          </cell>
          <cell r="O588">
            <v>1334.2</v>
          </cell>
          <cell r="P588">
            <v>0.2</v>
          </cell>
          <cell r="S588">
            <v>1287.2</v>
          </cell>
          <cell r="T588" t="str">
            <v>Paid</v>
          </cell>
          <cell r="U588" t="str">
            <v>Completed</v>
          </cell>
        </row>
        <row r="589">
          <cell r="A589" t="str">
            <v>ORD-2025-10588</v>
          </cell>
          <cell r="B589" t="str">
            <v>23-07-2025</v>
          </cell>
          <cell r="C589" t="str">
            <v>2025-07-31</v>
          </cell>
          <cell r="D589" t="str">
            <v>CUST-1013</v>
          </cell>
          <cell r="E589" t="str">
            <v>Kabir Singh</v>
          </cell>
          <cell r="F589" t="str">
            <v>Home Office</v>
          </cell>
          <cell r="G589" t="str">
            <v>West</v>
          </cell>
          <cell r="H589" t="str">
            <v>Madhya Pradesh</v>
          </cell>
          <cell r="I589" t="str">
            <v>Indore</v>
          </cell>
          <cell r="J589" t="str">
            <v>Technology</v>
          </cell>
          <cell r="K589" t="str">
            <v>Accessories</v>
          </cell>
          <cell r="L589" t="str">
            <v>Eco Accessories 948</v>
          </cell>
          <cell r="M589" t="str">
            <v>First Class</v>
          </cell>
          <cell r="N589">
            <v>1</v>
          </cell>
          <cell r="O589">
            <v>4253.84</v>
          </cell>
          <cell r="P589">
            <v>0.15</v>
          </cell>
          <cell r="S589">
            <v>664.24</v>
          </cell>
          <cell r="T589" t="str">
            <v>Refunded</v>
          </cell>
          <cell r="U589" t="str">
            <v>Cancelled</v>
          </cell>
        </row>
        <row r="590">
          <cell r="A590" t="str">
            <v>ORD-2025-10589</v>
          </cell>
          <cell r="B590" t="str">
            <v>2025-03-11</v>
          </cell>
          <cell r="C590" t="str">
            <v>15 Mar 2025</v>
          </cell>
          <cell r="D590" t="str">
            <v>CUST-3601</v>
          </cell>
          <cell r="E590" t="str">
            <v>Aarav Sharma</v>
          </cell>
          <cell r="F590" t="str">
            <v>Home Office</v>
          </cell>
          <cell r="G590" t="str">
            <v>South</v>
          </cell>
          <cell r="H590" t="str">
            <v>Karnataka</v>
          </cell>
          <cell r="I590" t="str">
            <v>Bengaluru</v>
          </cell>
          <cell r="J590" t="str">
            <v>Technology</v>
          </cell>
          <cell r="K590" t="str">
            <v>Accessories</v>
          </cell>
          <cell r="L590" t="str">
            <v>Classic Accessories 458</v>
          </cell>
          <cell r="M590" t="str">
            <v>Second Class</v>
          </cell>
          <cell r="N590">
            <v>8</v>
          </cell>
          <cell r="O590">
            <v>4446.3599999999997</v>
          </cell>
          <cell r="P590">
            <v>0.1</v>
          </cell>
          <cell r="S590">
            <v>11116.91</v>
          </cell>
          <cell r="T590" t="str">
            <v>Refunded</v>
          </cell>
          <cell r="U590" t="str">
            <v>Cancelled</v>
          </cell>
        </row>
        <row r="591">
          <cell r="A591" t="str">
            <v>ORD-2024-10590</v>
          </cell>
          <cell r="B591" t="str">
            <v>06 Dec 2024</v>
          </cell>
          <cell r="C591" t="str">
            <v>12/12/2024</v>
          </cell>
          <cell r="D591" t="str">
            <v>CUST-7846</v>
          </cell>
          <cell r="E591" t="str">
            <v>Rohan Mehta</v>
          </cell>
          <cell r="F591" t="str">
            <v>Corporate</v>
          </cell>
          <cell r="G591" t="str">
            <v>North</v>
          </cell>
          <cell r="H591" t="str">
            <v>Uttar Pradesh</v>
          </cell>
          <cell r="I591" t="str">
            <v>Noida</v>
          </cell>
          <cell r="J591" t="str">
            <v>Technology</v>
          </cell>
          <cell r="K591" t="str">
            <v>Phones</v>
          </cell>
          <cell r="L591" t="str">
            <v>Max Phones 318</v>
          </cell>
          <cell r="M591" t="str">
            <v>First Class</v>
          </cell>
          <cell r="N591">
            <v>3</v>
          </cell>
          <cell r="O591">
            <v>524.75</v>
          </cell>
          <cell r="P591">
            <v>0</v>
          </cell>
          <cell r="S591">
            <v>248.13</v>
          </cell>
          <cell r="T591" t="str">
            <v>Paid</v>
          </cell>
          <cell r="U591" t="str">
            <v>Completed</v>
          </cell>
        </row>
        <row r="592">
          <cell r="A592" t="str">
            <v>ORD-2024-10591</v>
          </cell>
          <cell r="B592" t="str">
            <v>29-05-2024</v>
          </cell>
          <cell r="C592" t="str">
            <v>2024-05-29</v>
          </cell>
          <cell r="D592" t="str">
            <v>CUST-3433</v>
          </cell>
          <cell r="E592" t="str">
            <v>Aarav Sharma</v>
          </cell>
          <cell r="F592" t="str">
            <v>Home Office</v>
          </cell>
          <cell r="G592" t="str">
            <v>North</v>
          </cell>
          <cell r="H592" t="str">
            <v>Delhi</v>
          </cell>
          <cell r="I592" t="str">
            <v>New Delhi</v>
          </cell>
          <cell r="J592" t="str">
            <v>Furniture</v>
          </cell>
          <cell r="K592" t="str">
            <v>Chairs</v>
          </cell>
          <cell r="L592" t="str">
            <v>Elite Chairs 372</v>
          </cell>
          <cell r="M592" t="str">
            <v>Same Day</v>
          </cell>
          <cell r="N592">
            <v>6</v>
          </cell>
          <cell r="O592">
            <v>3430.35</v>
          </cell>
          <cell r="P592">
            <v>0</v>
          </cell>
          <cell r="S592">
            <v>4684.45</v>
          </cell>
          <cell r="T592" t="str">
            <v>Pending</v>
          </cell>
          <cell r="U592" t="str">
            <v>Cancelled</v>
          </cell>
        </row>
        <row r="593">
          <cell r="A593" t="str">
            <v>ORD-2024-10592</v>
          </cell>
          <cell r="B593" t="str">
            <v>2024-02-22</v>
          </cell>
          <cell r="C593" t="str">
            <v>24-02-2024</v>
          </cell>
          <cell r="D593" t="str">
            <v>CUST-2423</v>
          </cell>
          <cell r="E593" t="str">
            <v>Sneha Kapoor</v>
          </cell>
          <cell r="F593" t="str">
            <v>Consumer</v>
          </cell>
          <cell r="G593" t="str">
            <v>South</v>
          </cell>
          <cell r="H593" t="str">
            <v>Karnataka</v>
          </cell>
          <cell r="I593" t="str">
            <v>Bengaluru</v>
          </cell>
          <cell r="J593" t="str">
            <v>Technology</v>
          </cell>
          <cell r="K593" t="str">
            <v>Copiers</v>
          </cell>
          <cell r="L593" t="str">
            <v>Eco Copiers 324</v>
          </cell>
          <cell r="M593" t="str">
            <v>First Class</v>
          </cell>
          <cell r="N593">
            <v>3</v>
          </cell>
          <cell r="O593">
            <v>3545.08</v>
          </cell>
          <cell r="P593">
            <v>0</v>
          </cell>
          <cell r="S593">
            <v>4603.3599999999997</v>
          </cell>
          <cell r="T593" t="str">
            <v>Failed</v>
          </cell>
          <cell r="U593" t="str">
            <v>Returned</v>
          </cell>
        </row>
        <row r="594">
          <cell r="A594" t="str">
            <v>ORD-2024-10593</v>
          </cell>
          <cell r="B594" t="str">
            <v>04-03-2024</v>
          </cell>
          <cell r="C594" t="str">
            <v>2024-03-09</v>
          </cell>
          <cell r="D594" t="str">
            <v>CUST-3559</v>
          </cell>
          <cell r="E594" t="str">
            <v>Mira Das</v>
          </cell>
          <cell r="F594" t="str">
            <v>Consumer</v>
          </cell>
          <cell r="G594" t="str">
            <v>East</v>
          </cell>
          <cell r="H594" t="str">
            <v>West Bengal</v>
          </cell>
          <cell r="I594" t="str">
            <v>Kolkata</v>
          </cell>
          <cell r="J594" t="str">
            <v>Technology</v>
          </cell>
          <cell r="K594" t="str">
            <v>Accessories</v>
          </cell>
          <cell r="L594" t="str">
            <v>Classic Accessories 131</v>
          </cell>
          <cell r="M594" t="str">
            <v>Same Day</v>
          </cell>
          <cell r="N594">
            <v>8</v>
          </cell>
          <cell r="O594">
            <v>4401.41</v>
          </cell>
          <cell r="P594">
            <v>0.15</v>
          </cell>
          <cell r="S594">
            <v>7493.56</v>
          </cell>
          <cell r="T594" t="str">
            <v>Paid</v>
          </cell>
          <cell r="U594" t="str">
            <v>Completed</v>
          </cell>
        </row>
        <row r="595">
          <cell r="A595" t="str">
            <v>ORD-2025-10594</v>
          </cell>
          <cell r="B595" t="str">
            <v>09/27/2025</v>
          </cell>
          <cell r="C595" t="str">
            <v>2025-09-29</v>
          </cell>
          <cell r="D595" t="str">
            <v>CUST-2917</v>
          </cell>
          <cell r="E595" t="str">
            <v>Arjun Bose</v>
          </cell>
          <cell r="F595" t="str">
            <v>Home Office</v>
          </cell>
          <cell r="G595" t="str">
            <v>North</v>
          </cell>
          <cell r="H595" t="str">
            <v>Uttar Pradesh</v>
          </cell>
          <cell r="I595" t="str">
            <v>Noida</v>
          </cell>
          <cell r="J595" t="str">
            <v>Furniture</v>
          </cell>
          <cell r="K595" t="str">
            <v>Tables</v>
          </cell>
          <cell r="L595" t="str">
            <v>Eco Tables 550</v>
          </cell>
          <cell r="M595" t="str">
            <v>Second Class</v>
          </cell>
          <cell r="N595">
            <v>9</v>
          </cell>
          <cell r="O595">
            <v>4100.1099999999997</v>
          </cell>
          <cell r="P595">
            <v>0.25</v>
          </cell>
          <cell r="S595">
            <v>12104.66</v>
          </cell>
          <cell r="T595" t="str">
            <v>Paid</v>
          </cell>
          <cell r="U595" t="str">
            <v>Completed</v>
          </cell>
        </row>
        <row r="596">
          <cell r="A596" t="str">
            <v>ORD-2024-10595</v>
          </cell>
          <cell r="B596" t="str">
            <v>2024-09-19</v>
          </cell>
          <cell r="C596" t="str">
            <v>2024-09-21</v>
          </cell>
          <cell r="D596" t="str">
            <v>CUST-6850</v>
          </cell>
          <cell r="E596" t="str">
            <v>Karan Malhotra</v>
          </cell>
          <cell r="F596" t="str">
            <v>Small Business</v>
          </cell>
          <cell r="G596" t="str">
            <v>East</v>
          </cell>
          <cell r="H596" t="str">
            <v>West Bengal</v>
          </cell>
          <cell r="I596" t="str">
            <v>Kolkata</v>
          </cell>
          <cell r="J596" t="str">
            <v>Furniture</v>
          </cell>
          <cell r="K596" t="str">
            <v>Chairs</v>
          </cell>
          <cell r="L596" t="str">
            <v>Basic Chairs 932</v>
          </cell>
          <cell r="M596" t="str">
            <v>First Class</v>
          </cell>
          <cell r="N596">
            <v>3</v>
          </cell>
          <cell r="O596">
            <v>3981.76</v>
          </cell>
          <cell r="P596">
            <v>0</v>
          </cell>
          <cell r="S596">
            <v>2244.9699999999998</v>
          </cell>
          <cell r="T596" t="str">
            <v>Paid</v>
          </cell>
          <cell r="U596" t="str">
            <v>Completed</v>
          </cell>
        </row>
        <row r="597">
          <cell r="A597" t="str">
            <v>ORD-2025-10596</v>
          </cell>
          <cell r="B597" t="str">
            <v>02/11/2025</v>
          </cell>
          <cell r="C597" t="str">
            <v>16-02-2025</v>
          </cell>
          <cell r="D597" t="str">
            <v>CUST-5566</v>
          </cell>
          <cell r="E597" t="str">
            <v>Mira Das</v>
          </cell>
          <cell r="F597" t="str">
            <v>Corporate</v>
          </cell>
          <cell r="G597" t="str">
            <v>North</v>
          </cell>
          <cell r="H597" t="str">
            <v>Uttar Pradesh</v>
          </cell>
          <cell r="I597" t="str">
            <v>Noida</v>
          </cell>
          <cell r="J597" t="str">
            <v>Technology</v>
          </cell>
          <cell r="K597" t="str">
            <v>Phones</v>
          </cell>
          <cell r="L597" t="str">
            <v>Classic Phones 294</v>
          </cell>
          <cell r="M597" t="str">
            <v>First Class</v>
          </cell>
          <cell r="N597">
            <v>8</v>
          </cell>
          <cell r="O597">
            <v>1825.56</v>
          </cell>
          <cell r="P597">
            <v>0.1</v>
          </cell>
          <cell r="S597">
            <v>3380.03</v>
          </cell>
          <cell r="T597" t="str">
            <v>Paid</v>
          </cell>
          <cell r="U597" t="str">
            <v>Completed</v>
          </cell>
        </row>
        <row r="598">
          <cell r="A598" t="str">
            <v>ORD-2024-10597</v>
          </cell>
          <cell r="B598" t="str">
            <v>10 Apr 2024</v>
          </cell>
          <cell r="C598" t="str">
            <v>04/16/2024</v>
          </cell>
          <cell r="D598" t="str">
            <v>CUST-2593</v>
          </cell>
          <cell r="E598" t="str">
            <v>Aditi Sen</v>
          </cell>
          <cell r="F598" t="str">
            <v>Consumer</v>
          </cell>
          <cell r="G598" t="str">
            <v>South</v>
          </cell>
          <cell r="H598" t="str">
            <v>Kerala</v>
          </cell>
          <cell r="I598" t="str">
            <v>Kochi</v>
          </cell>
          <cell r="J598" t="str">
            <v>Furniture</v>
          </cell>
          <cell r="K598" t="str">
            <v>Chairs</v>
          </cell>
          <cell r="L598" t="str">
            <v>Elite Chairs 700</v>
          </cell>
          <cell r="M598" t="str">
            <v>Second Class</v>
          </cell>
          <cell r="N598">
            <v>9</v>
          </cell>
          <cell r="O598">
            <v>2723.26</v>
          </cell>
          <cell r="P598">
            <v>0.25</v>
          </cell>
          <cell r="S598">
            <v>5273.81</v>
          </cell>
          <cell r="T598" t="str">
            <v>Paid</v>
          </cell>
          <cell r="U598" t="str">
            <v>Completed</v>
          </cell>
        </row>
        <row r="599">
          <cell r="A599" t="str">
            <v>ORD-2025-10598</v>
          </cell>
          <cell r="B599" t="str">
            <v>08 Jul 2025</v>
          </cell>
          <cell r="C599" t="str">
            <v>07/08/2025</v>
          </cell>
          <cell r="D599" t="str">
            <v>CUST-6957</v>
          </cell>
          <cell r="E599" t="str">
            <v>Aditi Sen</v>
          </cell>
          <cell r="F599" t="str">
            <v>Consumer</v>
          </cell>
          <cell r="G599" t="str">
            <v>South</v>
          </cell>
          <cell r="H599" t="str">
            <v>Telangana</v>
          </cell>
          <cell r="I599" t="str">
            <v>Hyderabad</v>
          </cell>
          <cell r="J599" t="str">
            <v>Technology</v>
          </cell>
          <cell r="K599" t="str">
            <v>Copiers</v>
          </cell>
          <cell r="L599" t="str">
            <v>Prime Copiers 969</v>
          </cell>
          <cell r="M599" t="str">
            <v>Same Day</v>
          </cell>
          <cell r="N599">
            <v>9</v>
          </cell>
          <cell r="O599">
            <v>274.88</v>
          </cell>
          <cell r="P599">
            <v>0.25</v>
          </cell>
          <cell r="S599">
            <v>592.70000000000005</v>
          </cell>
          <cell r="T599" t="str">
            <v>Paid</v>
          </cell>
          <cell r="U599" t="str">
            <v>Completed</v>
          </cell>
        </row>
        <row r="600">
          <cell r="A600" t="str">
            <v>ORD-2024-10599</v>
          </cell>
          <cell r="B600" t="str">
            <v>08/17/2024</v>
          </cell>
          <cell r="C600" t="str">
            <v>08/24/2024</v>
          </cell>
          <cell r="D600" t="str">
            <v>CUST-8498</v>
          </cell>
          <cell r="E600" t="str">
            <v>Ananya Rao</v>
          </cell>
          <cell r="F600" t="str">
            <v>Corporate</v>
          </cell>
          <cell r="G600" t="str">
            <v>East</v>
          </cell>
          <cell r="H600" t="str">
            <v>West Bengal</v>
          </cell>
          <cell r="I600" t="str">
            <v>Kolkata</v>
          </cell>
          <cell r="J600" t="str">
            <v>Technology</v>
          </cell>
          <cell r="K600" t="str">
            <v>Copiers</v>
          </cell>
          <cell r="L600" t="str">
            <v>Eco Copiers 268</v>
          </cell>
          <cell r="M600" t="str">
            <v>Same Day</v>
          </cell>
          <cell r="N600">
            <v>3</v>
          </cell>
          <cell r="O600">
            <v>1490.69</v>
          </cell>
          <cell r="P600">
            <v>0.25</v>
          </cell>
          <cell r="S600">
            <v>681.38</v>
          </cell>
          <cell r="T600" t="str">
            <v>Paid</v>
          </cell>
          <cell r="U600" t="str">
            <v>Completed</v>
          </cell>
        </row>
        <row r="601">
          <cell r="A601" t="str">
            <v>ORD-2024-10600</v>
          </cell>
          <cell r="B601" t="str">
            <v>19-08-2024</v>
          </cell>
          <cell r="C601" t="str">
            <v>21 Aug 2024</v>
          </cell>
          <cell r="D601" t="str">
            <v>CUST-2612</v>
          </cell>
          <cell r="E601" t="str">
            <v>Arjun Bose</v>
          </cell>
          <cell r="F601" t="str">
            <v>Consumer</v>
          </cell>
          <cell r="G601" t="str">
            <v>North</v>
          </cell>
          <cell r="H601" t="str">
            <v>Punjab</v>
          </cell>
          <cell r="I601" t="str">
            <v>Ludhiana</v>
          </cell>
          <cell r="J601" t="str">
            <v>Technology</v>
          </cell>
          <cell r="K601" t="str">
            <v>Phones</v>
          </cell>
          <cell r="L601" t="str">
            <v>Pro Phones 588</v>
          </cell>
          <cell r="M601" t="str">
            <v>First Class</v>
          </cell>
          <cell r="N601">
            <v>3</v>
          </cell>
          <cell r="O601">
            <v>1103.54</v>
          </cell>
          <cell r="P601">
            <v>0.25</v>
          </cell>
          <cell r="S601">
            <v>861.25</v>
          </cell>
          <cell r="T601" t="str">
            <v>Paid</v>
          </cell>
          <cell r="U601" t="str">
            <v>Completed</v>
          </cell>
        </row>
        <row r="602">
          <cell r="A602" t="str">
            <v>ORD-2025-10601</v>
          </cell>
          <cell r="B602" t="str">
            <v>05-03-2025</v>
          </cell>
          <cell r="C602" t="str">
            <v>2025-03-12</v>
          </cell>
          <cell r="D602" t="str">
            <v>CUST-6013</v>
          </cell>
          <cell r="E602" t="str">
            <v>Ananya Rao</v>
          </cell>
          <cell r="F602" t="str">
            <v>Corporate</v>
          </cell>
          <cell r="G602" t="str">
            <v>West</v>
          </cell>
          <cell r="H602" t="str">
            <v>Madhya Pradesh</v>
          </cell>
          <cell r="I602" t="str">
            <v>Indore</v>
          </cell>
          <cell r="J602" t="str">
            <v>Office Supplies</v>
          </cell>
          <cell r="K602" t="str">
            <v>Storage</v>
          </cell>
          <cell r="L602" t="str">
            <v>Prime Storage 432</v>
          </cell>
          <cell r="M602" t="str">
            <v>Same Day</v>
          </cell>
          <cell r="N602">
            <v>3</v>
          </cell>
          <cell r="O602">
            <v>3682.75</v>
          </cell>
          <cell r="S602">
            <v>1985.53</v>
          </cell>
          <cell r="T602" t="str">
            <v>Paid</v>
          </cell>
          <cell r="U602" t="str">
            <v>Completed</v>
          </cell>
        </row>
        <row r="603">
          <cell r="A603" t="str">
            <v>ORD-2024-10602</v>
          </cell>
          <cell r="B603" t="str">
            <v>26 Jan 2024</v>
          </cell>
          <cell r="C603" t="str">
            <v>01/31/2024</v>
          </cell>
          <cell r="D603" t="str">
            <v>CUST-8289</v>
          </cell>
          <cell r="E603" t="str">
            <v>Ananya Rao</v>
          </cell>
          <cell r="F603" t="str">
            <v>Home Office</v>
          </cell>
          <cell r="G603" t="str">
            <v>East</v>
          </cell>
          <cell r="H603" t="str">
            <v>West Bengal</v>
          </cell>
          <cell r="I603" t="str">
            <v>Kolkata</v>
          </cell>
          <cell r="J603" t="str">
            <v>Office Supplies</v>
          </cell>
          <cell r="K603" t="str">
            <v>Paper</v>
          </cell>
          <cell r="L603" t="str">
            <v>Basic Paper 452</v>
          </cell>
          <cell r="M603" t="str">
            <v>Second Class</v>
          </cell>
          <cell r="N603">
            <v>5</v>
          </cell>
          <cell r="O603">
            <v>1615.03</v>
          </cell>
          <cell r="P603">
            <v>0.2</v>
          </cell>
          <cell r="S603">
            <v>2856.09</v>
          </cell>
          <cell r="T603" t="str">
            <v>Paid</v>
          </cell>
          <cell r="U603" t="str">
            <v>Completed</v>
          </cell>
        </row>
        <row r="604">
          <cell r="A604" t="str">
            <v>ORD-2024-10603</v>
          </cell>
          <cell r="B604" t="str">
            <v>23-10-2024</v>
          </cell>
          <cell r="C604" t="str">
            <v>2024-10-30</v>
          </cell>
          <cell r="D604" t="str">
            <v>CUST-5668</v>
          </cell>
          <cell r="E604" t="str">
            <v>Aarav Sharma</v>
          </cell>
          <cell r="F604" t="str">
            <v>Consumer</v>
          </cell>
          <cell r="G604" t="str">
            <v>East</v>
          </cell>
          <cell r="H604" t="str">
            <v>Jharkhand</v>
          </cell>
          <cell r="I604" t="str">
            <v>Ranchi</v>
          </cell>
          <cell r="J604" t="str">
            <v>Technology</v>
          </cell>
          <cell r="K604" t="str">
            <v>Copiers</v>
          </cell>
          <cell r="L604" t="str">
            <v>Max Copiers 477</v>
          </cell>
          <cell r="M604" t="str">
            <v>Second Class</v>
          </cell>
          <cell r="N604">
            <v>9</v>
          </cell>
          <cell r="O604">
            <v>3423.82</v>
          </cell>
          <cell r="P604">
            <v>0.15</v>
          </cell>
          <cell r="S604">
            <v>5396.67</v>
          </cell>
          <cell r="T604" t="str">
            <v>Paid</v>
          </cell>
          <cell r="U604" t="str">
            <v>Completed</v>
          </cell>
        </row>
        <row r="605">
          <cell r="A605" t="str">
            <v>ORD-2025-10604</v>
          </cell>
          <cell r="B605" t="str">
            <v>01/03/2025</v>
          </cell>
          <cell r="C605" t="str">
            <v>11-01-2025</v>
          </cell>
          <cell r="D605" t="str">
            <v>CUST-5808</v>
          </cell>
          <cell r="E605" t="str">
            <v>Vikram Iyer</v>
          </cell>
          <cell r="F605" t="str">
            <v>Corporate</v>
          </cell>
          <cell r="G605" t="str">
            <v>East</v>
          </cell>
          <cell r="H605" t="str">
            <v>Bihar</v>
          </cell>
          <cell r="I605" t="str">
            <v>Patna</v>
          </cell>
          <cell r="J605" t="str">
            <v>Technology</v>
          </cell>
          <cell r="K605" t="str">
            <v>Accessories</v>
          </cell>
          <cell r="L605" t="str">
            <v>Prime Accessories 300</v>
          </cell>
          <cell r="M605" t="str">
            <v>First Class</v>
          </cell>
          <cell r="N605">
            <v>8</v>
          </cell>
          <cell r="O605">
            <v>2574.29</v>
          </cell>
          <cell r="P605">
            <v>0.05</v>
          </cell>
          <cell r="S605">
            <v>8410.01</v>
          </cell>
          <cell r="T605" t="str">
            <v>Pending</v>
          </cell>
          <cell r="U605" t="str">
            <v>Cancelled</v>
          </cell>
        </row>
        <row r="606">
          <cell r="A606" t="str">
            <v>ORD-2025-10605</v>
          </cell>
          <cell r="B606" t="str">
            <v>05-02-2025</v>
          </cell>
          <cell r="C606" t="str">
            <v>02/06/2025</v>
          </cell>
          <cell r="D606" t="str">
            <v>CUST-4526</v>
          </cell>
          <cell r="E606" t="str">
            <v>Ananya Rao</v>
          </cell>
          <cell r="F606" t="str">
            <v>Consumer</v>
          </cell>
          <cell r="G606" t="str">
            <v>West</v>
          </cell>
          <cell r="H606" t="str">
            <v>Madhya Pradesh</v>
          </cell>
          <cell r="I606" t="str">
            <v>Indore</v>
          </cell>
          <cell r="J606" t="str">
            <v>Office Supplies</v>
          </cell>
          <cell r="K606" t="str">
            <v>Binders</v>
          </cell>
          <cell r="L606" t="str">
            <v>Max Binders 547</v>
          </cell>
          <cell r="M606" t="str">
            <v>Same Day</v>
          </cell>
          <cell r="N606">
            <v>3</v>
          </cell>
          <cell r="O606">
            <v>1076.3</v>
          </cell>
          <cell r="P606">
            <v>0</v>
          </cell>
          <cell r="S606">
            <v>1375.67</v>
          </cell>
          <cell r="T606" t="str">
            <v>Paid</v>
          </cell>
          <cell r="U606" t="str">
            <v>Completed</v>
          </cell>
        </row>
        <row r="607">
          <cell r="A607" t="str">
            <v>ORD-2025-10606</v>
          </cell>
          <cell r="B607" t="str">
            <v>2025-07-09</v>
          </cell>
          <cell r="C607" t="str">
            <v>13 Jul 2025</v>
          </cell>
          <cell r="D607" t="str">
            <v>CUST-4447</v>
          </cell>
          <cell r="E607" t="str">
            <v>Kabir Singh</v>
          </cell>
          <cell r="F607" t="str">
            <v>Corporate</v>
          </cell>
          <cell r="G607" t="str">
            <v>West</v>
          </cell>
          <cell r="H607" t="str">
            <v>Goa</v>
          </cell>
          <cell r="I607" t="str">
            <v>Panaji</v>
          </cell>
          <cell r="J607" t="str">
            <v>Furniture</v>
          </cell>
          <cell r="K607" t="str">
            <v>Furnishings</v>
          </cell>
          <cell r="L607" t="str">
            <v>Pro Furnishings 267</v>
          </cell>
          <cell r="M607" t="str">
            <v>Second Class</v>
          </cell>
          <cell r="N607">
            <v>5</v>
          </cell>
          <cell r="O607">
            <v>1680.01</v>
          </cell>
          <cell r="P607" t="str">
            <v>85%</v>
          </cell>
          <cell r="S607">
            <v>1111.99</v>
          </cell>
          <cell r="T607" t="str">
            <v>Paid</v>
          </cell>
          <cell r="U607" t="str">
            <v>Cancelled</v>
          </cell>
        </row>
        <row r="608">
          <cell r="A608" t="str">
            <v>ORD-2025-10607</v>
          </cell>
          <cell r="B608" t="str">
            <v>22 Feb 2025</v>
          </cell>
          <cell r="C608" t="str">
            <v>02/28/2025</v>
          </cell>
          <cell r="D608" t="str">
            <v>CUST-2698</v>
          </cell>
          <cell r="E608" t="str">
            <v>Rahul Verma</v>
          </cell>
          <cell r="F608" t="str">
            <v>Home Office</v>
          </cell>
          <cell r="G608" t="str">
            <v>West</v>
          </cell>
          <cell r="H608" t="str">
            <v>Madhya Pradesh</v>
          </cell>
          <cell r="I608" t="str">
            <v>Indore</v>
          </cell>
          <cell r="J608" t="str">
            <v>Technology</v>
          </cell>
          <cell r="K608" t="str">
            <v>Copiers</v>
          </cell>
          <cell r="L608" t="str">
            <v>Max Copiers 520</v>
          </cell>
          <cell r="M608" t="str">
            <v>Same Day</v>
          </cell>
          <cell r="N608">
            <v>3</v>
          </cell>
          <cell r="O608">
            <v>3890.81</v>
          </cell>
          <cell r="P608">
            <v>0.25</v>
          </cell>
          <cell r="S608">
            <v>2515.42</v>
          </cell>
          <cell r="T608" t="str">
            <v>Paid</v>
          </cell>
          <cell r="U608" t="str">
            <v>Completed</v>
          </cell>
        </row>
        <row r="609">
          <cell r="A609" t="str">
            <v>ORD-2025-10608</v>
          </cell>
          <cell r="B609" t="str">
            <v>16-02-2025</v>
          </cell>
          <cell r="C609" t="str">
            <v>22 Feb 2025</v>
          </cell>
          <cell r="D609" t="str">
            <v>CUST-6297</v>
          </cell>
          <cell r="E609" t="str">
            <v>Sneha Kapoor</v>
          </cell>
          <cell r="F609" t="str">
            <v>Home Office</v>
          </cell>
          <cell r="G609" t="str">
            <v>East</v>
          </cell>
          <cell r="H609" t="str">
            <v>Bihar</v>
          </cell>
          <cell r="I609" t="str">
            <v>Patna</v>
          </cell>
          <cell r="J609" t="str">
            <v>Office Supplies</v>
          </cell>
          <cell r="K609" t="str">
            <v>Storage</v>
          </cell>
          <cell r="L609" t="str">
            <v>Max Storage 424</v>
          </cell>
          <cell r="M609" t="str">
            <v>Same Day</v>
          </cell>
          <cell r="N609">
            <v>5</v>
          </cell>
          <cell r="O609">
            <v>954.67</v>
          </cell>
          <cell r="P609">
            <v>0.15</v>
          </cell>
          <cell r="S609">
            <v>1195.32</v>
          </cell>
          <cell r="T609" t="str">
            <v>Paid</v>
          </cell>
          <cell r="U609" t="str">
            <v>Completed</v>
          </cell>
        </row>
        <row r="610">
          <cell r="A610" t="str">
            <v>ORD-2024-10609</v>
          </cell>
          <cell r="B610" t="str">
            <v>21 Jun 2024</v>
          </cell>
          <cell r="C610" t="str">
            <v>23 Jun 2024</v>
          </cell>
          <cell r="D610" t="str">
            <v>CUST-7690</v>
          </cell>
          <cell r="E610" t="str">
            <v>Karan Malhotra</v>
          </cell>
          <cell r="F610" t="str">
            <v>Home Office</v>
          </cell>
          <cell r="G610" t="str">
            <v>West</v>
          </cell>
          <cell r="H610" t="str">
            <v>Goa</v>
          </cell>
          <cell r="I610" t="str">
            <v>Panaji</v>
          </cell>
          <cell r="J610" t="str">
            <v>Furniture</v>
          </cell>
          <cell r="K610" t="str">
            <v>Furnishings</v>
          </cell>
          <cell r="L610" t="str">
            <v>Elite Furnishings 706</v>
          </cell>
          <cell r="M610" t="str">
            <v>Second Class</v>
          </cell>
          <cell r="N610">
            <v>9</v>
          </cell>
          <cell r="O610">
            <v>2153.75</v>
          </cell>
          <cell r="P610">
            <v>0</v>
          </cell>
          <cell r="S610">
            <v>7716.32</v>
          </cell>
          <cell r="T610" t="str">
            <v>Paid</v>
          </cell>
          <cell r="U610" t="str">
            <v>Completed</v>
          </cell>
        </row>
        <row r="611">
          <cell r="A611" t="str">
            <v>ORD-2025-10610</v>
          </cell>
          <cell r="B611" t="str">
            <v>2025-01-08</v>
          </cell>
          <cell r="C611" t="str">
            <v>12-01-2025</v>
          </cell>
          <cell r="D611" t="str">
            <v>CUST-4380</v>
          </cell>
          <cell r="E611" t="str">
            <v>Sneha Kapoor</v>
          </cell>
          <cell r="F611" t="str">
            <v>Home Office</v>
          </cell>
          <cell r="G611" t="str">
            <v>South</v>
          </cell>
          <cell r="H611" t="str">
            <v>Karnataka</v>
          </cell>
          <cell r="I611" t="str">
            <v>Bengaluru</v>
          </cell>
          <cell r="J611" t="str">
            <v>Furniture</v>
          </cell>
          <cell r="K611" t="str">
            <v>Chairs</v>
          </cell>
          <cell r="L611" t="str">
            <v>Pro Chairs 908</v>
          </cell>
          <cell r="M611" t="str">
            <v>Standard Class</v>
          </cell>
          <cell r="N611">
            <v>7</v>
          </cell>
          <cell r="O611">
            <v>4337.4799999999996</v>
          </cell>
          <cell r="P611">
            <v>0</v>
          </cell>
          <cell r="S611">
            <v>5296.96</v>
          </cell>
          <cell r="T611" t="str">
            <v>Paid</v>
          </cell>
          <cell r="U611" t="str">
            <v>Completed</v>
          </cell>
        </row>
        <row r="612">
          <cell r="A612" t="str">
            <v>ORD-2024-10611</v>
          </cell>
          <cell r="B612" t="str">
            <v>20 May 2024</v>
          </cell>
          <cell r="C612" t="str">
            <v>05/20/2024</v>
          </cell>
          <cell r="D612" t="str">
            <v>CUST-2779</v>
          </cell>
          <cell r="E612" t="str">
            <v>Karan Malhotra</v>
          </cell>
          <cell r="F612" t="str">
            <v>Home Office</v>
          </cell>
          <cell r="G612" t="str">
            <v>West</v>
          </cell>
          <cell r="H612" t="str">
            <v>Madhya Pradesh</v>
          </cell>
          <cell r="I612" t="str">
            <v>Indore</v>
          </cell>
          <cell r="J612" t="str">
            <v>Furniture</v>
          </cell>
          <cell r="K612" t="str">
            <v>Chairs</v>
          </cell>
          <cell r="L612" t="str">
            <v>Pro Chairs 712</v>
          </cell>
          <cell r="M612" t="str">
            <v>Standard Class</v>
          </cell>
          <cell r="N612">
            <v>1</v>
          </cell>
          <cell r="O612">
            <v>3032.95</v>
          </cell>
          <cell r="P612">
            <v>0.1</v>
          </cell>
          <cell r="S612">
            <v>1014.29</v>
          </cell>
          <cell r="T612" t="str">
            <v>Paid</v>
          </cell>
          <cell r="U612" t="str">
            <v>Completed</v>
          </cell>
        </row>
        <row r="613">
          <cell r="A613" t="str">
            <v>ORD-2025-10612</v>
          </cell>
          <cell r="B613" t="str">
            <v>08-07-2025</v>
          </cell>
          <cell r="C613" t="str">
            <v>15 Jul 2025</v>
          </cell>
          <cell r="D613" t="str">
            <v>CUST-6108</v>
          </cell>
          <cell r="E613" t="str">
            <v>Ananya Rao</v>
          </cell>
          <cell r="F613" t="str">
            <v>Small Business</v>
          </cell>
          <cell r="G613" t="str">
            <v>North</v>
          </cell>
          <cell r="H613" t="str">
            <v>Rajasthan</v>
          </cell>
          <cell r="I613" t="str">
            <v>Jaipur</v>
          </cell>
          <cell r="J613" t="str">
            <v>Office Supplies</v>
          </cell>
          <cell r="K613" t="str">
            <v>Binders</v>
          </cell>
          <cell r="L613" t="str">
            <v>Max Binders 785</v>
          </cell>
          <cell r="M613" t="str">
            <v>Same Day</v>
          </cell>
          <cell r="N613">
            <v>8</v>
          </cell>
          <cell r="O613">
            <v>655.28</v>
          </cell>
          <cell r="P613">
            <v>0.1</v>
          </cell>
          <cell r="S613">
            <v>809.79</v>
          </cell>
          <cell r="T613" t="str">
            <v>Paid</v>
          </cell>
          <cell r="U613" t="str">
            <v>Completed</v>
          </cell>
        </row>
        <row r="614">
          <cell r="A614" t="str">
            <v>ORD-2025-10613</v>
          </cell>
          <cell r="B614" t="str">
            <v>06 Apr 2025</v>
          </cell>
          <cell r="C614" t="str">
            <v>13-04-2025</v>
          </cell>
          <cell r="D614" t="str">
            <v>CUST-5663</v>
          </cell>
          <cell r="E614" t="str">
            <v>Aditi Sen</v>
          </cell>
          <cell r="F614" t="str">
            <v>Consumer</v>
          </cell>
          <cell r="H614" t="str">
            <v>Odisha</v>
          </cell>
          <cell r="I614" t="str">
            <v>Bhubaneswar</v>
          </cell>
          <cell r="J614" t="str">
            <v>Technology</v>
          </cell>
          <cell r="K614" t="str">
            <v>Phones</v>
          </cell>
          <cell r="L614" t="str">
            <v>Elite Phones 239</v>
          </cell>
          <cell r="M614" t="str">
            <v>Standard Class</v>
          </cell>
          <cell r="N614">
            <v>1</v>
          </cell>
          <cell r="O614">
            <v>3844.01</v>
          </cell>
          <cell r="P614">
            <v>0</v>
          </cell>
          <cell r="S614">
            <v>1648.22</v>
          </cell>
          <cell r="T614" t="str">
            <v>Paid</v>
          </cell>
          <cell r="U614" t="str">
            <v>Completed</v>
          </cell>
        </row>
        <row r="615">
          <cell r="A615" t="str">
            <v>ORD-2024-10614</v>
          </cell>
          <cell r="B615" t="str">
            <v>2024-10-05</v>
          </cell>
          <cell r="C615" t="str">
            <v>10/10/2024</v>
          </cell>
          <cell r="D615" t="str">
            <v>CUST-9311</v>
          </cell>
          <cell r="E615" t="str">
            <v>Diya Patel</v>
          </cell>
          <cell r="F615" t="str">
            <v>Home Office</v>
          </cell>
          <cell r="G615" t="str">
            <v>West</v>
          </cell>
          <cell r="H615" t="str">
            <v>Gujarat</v>
          </cell>
          <cell r="I615" t="str">
            <v>Ahmedabad</v>
          </cell>
          <cell r="J615" t="str">
            <v>Technology</v>
          </cell>
          <cell r="K615" t="str">
            <v>Machines</v>
          </cell>
          <cell r="L615" t="str">
            <v>Basic Machines 413</v>
          </cell>
          <cell r="M615" t="str">
            <v>Same Day</v>
          </cell>
          <cell r="N615">
            <v>9</v>
          </cell>
          <cell r="O615">
            <v>3361.3</v>
          </cell>
          <cell r="P615">
            <v>0.25</v>
          </cell>
          <cell r="S615">
            <v>8016.37</v>
          </cell>
          <cell r="T615" t="str">
            <v>Paid</v>
          </cell>
          <cell r="U615" t="str">
            <v>Completed</v>
          </cell>
        </row>
        <row r="616">
          <cell r="A616" t="str">
            <v>ORD-2024-10615</v>
          </cell>
          <cell r="B616" t="str">
            <v>11-02-2024</v>
          </cell>
          <cell r="C616" t="str">
            <v>19-02-2024</v>
          </cell>
          <cell r="D616" t="str">
            <v>CUST-8154</v>
          </cell>
          <cell r="E616" t="str">
            <v>Ananya Rao</v>
          </cell>
          <cell r="F616" t="str">
            <v>Home Office</v>
          </cell>
          <cell r="G616" t="str">
            <v>South</v>
          </cell>
          <cell r="H616" t="str">
            <v>Telangana</v>
          </cell>
          <cell r="I616" t="str">
            <v>Hyderabad</v>
          </cell>
          <cell r="J616" t="str">
            <v>Furniture</v>
          </cell>
          <cell r="K616" t="str">
            <v>Chairs</v>
          </cell>
          <cell r="L616" t="str">
            <v>Elite Chairs 140</v>
          </cell>
          <cell r="M616" t="str">
            <v>Standard Class</v>
          </cell>
          <cell r="N616">
            <v>8</v>
          </cell>
          <cell r="O616">
            <v>3398.32</v>
          </cell>
          <cell r="P616">
            <v>0.25</v>
          </cell>
          <cell r="S616">
            <v>3728.84</v>
          </cell>
          <cell r="T616" t="str">
            <v>Refunded</v>
          </cell>
          <cell r="U616" t="str">
            <v>Cancelled</v>
          </cell>
        </row>
        <row r="617">
          <cell r="A617" t="str">
            <v>ORD-2024-10616</v>
          </cell>
          <cell r="B617" t="str">
            <v>2024-10-04</v>
          </cell>
          <cell r="C617" t="str">
            <v>10/07/2024</v>
          </cell>
          <cell r="D617" t="str">
            <v>CUST-4462</v>
          </cell>
          <cell r="E617" t="str">
            <v>Rahul Verma</v>
          </cell>
          <cell r="F617" t="str">
            <v>Corporate</v>
          </cell>
          <cell r="G617" t="str">
            <v>South</v>
          </cell>
          <cell r="H617" t="str">
            <v>Kerala</v>
          </cell>
          <cell r="I617" t="str">
            <v>Kochi</v>
          </cell>
          <cell r="J617" t="str">
            <v>Office Supplies</v>
          </cell>
          <cell r="K617" t="str">
            <v>Art</v>
          </cell>
          <cell r="L617" t="str">
            <v>Basic Art 771</v>
          </cell>
          <cell r="M617" t="str">
            <v>Second Class</v>
          </cell>
          <cell r="N617">
            <v>2</v>
          </cell>
          <cell r="O617">
            <v>3144.38</v>
          </cell>
          <cell r="P617">
            <v>0.1</v>
          </cell>
          <cell r="S617">
            <v>1322.09</v>
          </cell>
          <cell r="T617" t="str">
            <v>Paid</v>
          </cell>
          <cell r="U617" t="str">
            <v>Completed</v>
          </cell>
        </row>
        <row r="618">
          <cell r="A618" t="str">
            <v>ORD-2024-10617</v>
          </cell>
          <cell r="B618" t="str">
            <v>16 Aug 2024</v>
          </cell>
          <cell r="C618" t="str">
            <v>19-08-2024</v>
          </cell>
          <cell r="D618" t="str">
            <v>CUST-4660</v>
          </cell>
          <cell r="E618" t="str">
            <v>Kabir Singh</v>
          </cell>
          <cell r="F618" t="str">
            <v>Consumer</v>
          </cell>
          <cell r="G618" t="str">
            <v>South</v>
          </cell>
          <cell r="H618" t="str">
            <v>Telangana</v>
          </cell>
          <cell r="I618" t="str">
            <v>Hyderabad</v>
          </cell>
          <cell r="J618" t="str">
            <v>Office Supplies</v>
          </cell>
          <cell r="K618" t="str">
            <v>Paper</v>
          </cell>
          <cell r="L618" t="str">
            <v>Prime Paper 664</v>
          </cell>
          <cell r="M618" t="str">
            <v>Standard Class</v>
          </cell>
          <cell r="N618">
            <v>6</v>
          </cell>
          <cell r="O618">
            <v>3925.55</v>
          </cell>
          <cell r="P618">
            <v>0.2</v>
          </cell>
          <cell r="S618">
            <v>7002.06</v>
          </cell>
          <cell r="T618" t="str">
            <v>Paid</v>
          </cell>
          <cell r="U618" t="str">
            <v>Completed</v>
          </cell>
        </row>
        <row r="619">
          <cell r="A619" t="str">
            <v>ORD-2024-10618</v>
          </cell>
          <cell r="B619" t="str">
            <v>09/29/2024</v>
          </cell>
          <cell r="C619" t="str">
            <v>2024-09-30</v>
          </cell>
          <cell r="D619" t="str">
            <v>CUST-9002</v>
          </cell>
          <cell r="E619" t="str">
            <v>Mira Das</v>
          </cell>
          <cell r="F619" t="str">
            <v>Home Office</v>
          </cell>
          <cell r="G619" t="str">
            <v>South</v>
          </cell>
          <cell r="H619" t="str">
            <v>Telangana</v>
          </cell>
          <cell r="I619" t="str">
            <v>Hyderabad</v>
          </cell>
          <cell r="J619" t="str">
            <v>Technology</v>
          </cell>
          <cell r="K619" t="str">
            <v>Phones</v>
          </cell>
          <cell r="L619" t="str">
            <v>Pro Phones 226</v>
          </cell>
          <cell r="M619" t="str">
            <v>Standard Class</v>
          </cell>
          <cell r="N619">
            <v>9</v>
          </cell>
          <cell r="O619">
            <v>2741.91</v>
          </cell>
          <cell r="P619">
            <v>0</v>
          </cell>
          <cell r="S619">
            <v>4326.34</v>
          </cell>
          <cell r="T619" t="str">
            <v>Paid</v>
          </cell>
          <cell r="U619" t="str">
            <v>Completed</v>
          </cell>
        </row>
        <row r="620">
          <cell r="A620" t="str">
            <v>ORD-2024-10619</v>
          </cell>
          <cell r="B620" t="str">
            <v>2024-07-23</v>
          </cell>
          <cell r="C620" t="str">
            <v>2024-07-30</v>
          </cell>
          <cell r="D620" t="str">
            <v>CUST-1057</v>
          </cell>
          <cell r="E620" t="str">
            <v>Kabir Singh</v>
          </cell>
          <cell r="F620" t="str">
            <v>Corporate</v>
          </cell>
          <cell r="G620" t="str">
            <v>North</v>
          </cell>
          <cell r="H620" t="str">
            <v>Rajasthan</v>
          </cell>
          <cell r="I620" t="str">
            <v>Jaipur</v>
          </cell>
          <cell r="J620" t="str">
            <v>Furniture</v>
          </cell>
          <cell r="K620" t="str">
            <v>Tables</v>
          </cell>
          <cell r="L620" t="str">
            <v>Basic Tables 684</v>
          </cell>
          <cell r="M620" t="str">
            <v>Same Day</v>
          </cell>
          <cell r="N620">
            <v>9</v>
          </cell>
          <cell r="O620">
            <v>1870.11</v>
          </cell>
          <cell r="P620">
            <v>0.25</v>
          </cell>
          <cell r="S620">
            <v>2082.44</v>
          </cell>
          <cell r="T620" t="str">
            <v>Failed</v>
          </cell>
          <cell r="U620" t="str">
            <v>Cancelled</v>
          </cell>
        </row>
        <row r="621">
          <cell r="A621" t="str">
            <v>ORD-2024-10620</v>
          </cell>
          <cell r="B621" t="str">
            <v>11/22/2024</v>
          </cell>
          <cell r="C621" t="str">
            <v>27 Nov 2024</v>
          </cell>
          <cell r="D621" t="str">
            <v>CUST-9596</v>
          </cell>
          <cell r="E621" t="str">
            <v>Priya Menon</v>
          </cell>
          <cell r="F621" t="str">
            <v>Corporate</v>
          </cell>
          <cell r="G621" t="str">
            <v>South</v>
          </cell>
          <cell r="H621" t="str">
            <v>Tamil Nadu</v>
          </cell>
          <cell r="I621" t="str">
            <v>Chennai</v>
          </cell>
          <cell r="J621" t="str">
            <v>Office Supplies</v>
          </cell>
          <cell r="K621" t="str">
            <v>Binders</v>
          </cell>
          <cell r="L621" t="str">
            <v>Prime Binders 938</v>
          </cell>
          <cell r="M621" t="str">
            <v>First Class</v>
          </cell>
          <cell r="N621">
            <v>1</v>
          </cell>
          <cell r="O621">
            <v>4251.26</v>
          </cell>
          <cell r="P621">
            <v>0.2</v>
          </cell>
          <cell r="S621">
            <v>483.47</v>
          </cell>
          <cell r="T621" t="str">
            <v>Refunded</v>
          </cell>
          <cell r="U621" t="str">
            <v>Returned</v>
          </cell>
        </row>
        <row r="622">
          <cell r="A622" t="str">
            <v>ORD-2024-10621</v>
          </cell>
          <cell r="B622" t="str">
            <v>18-08-2024</v>
          </cell>
          <cell r="C622" t="str">
            <v>08/21/2024</v>
          </cell>
          <cell r="D622" t="str">
            <v>CUST-6947</v>
          </cell>
          <cell r="E622" t="str">
            <v>Vikram Iyer</v>
          </cell>
          <cell r="F622" t="str">
            <v>Consumer</v>
          </cell>
          <cell r="G622" t="str">
            <v>North</v>
          </cell>
          <cell r="H622" t="str">
            <v>Uttar Pradesh</v>
          </cell>
          <cell r="I622" t="str">
            <v>Noida</v>
          </cell>
          <cell r="J622" t="str">
            <v>Technology</v>
          </cell>
          <cell r="K622" t="str">
            <v>Machines</v>
          </cell>
          <cell r="L622" t="str">
            <v>Classic Machines 337</v>
          </cell>
          <cell r="M622" t="str">
            <v>Standard Class</v>
          </cell>
          <cell r="N622">
            <v>9</v>
          </cell>
          <cell r="O622">
            <v>734.34</v>
          </cell>
          <cell r="P622">
            <v>0</v>
          </cell>
          <cell r="S622">
            <v>1662.28</v>
          </cell>
          <cell r="T622" t="str">
            <v>Paid</v>
          </cell>
          <cell r="U622" t="str">
            <v>Completed</v>
          </cell>
        </row>
        <row r="623">
          <cell r="A623" t="str">
            <v>ORD-2024-10622</v>
          </cell>
          <cell r="B623" t="str">
            <v>28-11-2024</v>
          </cell>
          <cell r="C623" t="str">
            <v>06-12-2024</v>
          </cell>
          <cell r="D623" t="str">
            <v>CUST-7236</v>
          </cell>
          <cell r="E623" t="str">
            <v>Aditi Sen</v>
          </cell>
          <cell r="F623" t="str">
            <v>Consumer</v>
          </cell>
          <cell r="G623" t="str">
            <v>West</v>
          </cell>
          <cell r="H623" t="str">
            <v>Maharashtra</v>
          </cell>
          <cell r="I623" t="str">
            <v>Mumbai</v>
          </cell>
          <cell r="J623" t="str">
            <v>Furniture</v>
          </cell>
          <cell r="K623" t="str">
            <v>Chairs</v>
          </cell>
          <cell r="L623" t="str">
            <v>Max Chairs 748</v>
          </cell>
          <cell r="M623" t="str">
            <v>Same Day</v>
          </cell>
          <cell r="N623">
            <v>5</v>
          </cell>
          <cell r="O623">
            <v>1092.8399999999999</v>
          </cell>
          <cell r="S623">
            <v>2146.11</v>
          </cell>
          <cell r="T623" t="str">
            <v>Paid</v>
          </cell>
          <cell r="U623" t="str">
            <v>Completed</v>
          </cell>
        </row>
        <row r="624">
          <cell r="A624" t="str">
            <v>ORD-2025-10623</v>
          </cell>
          <cell r="B624" t="str">
            <v>29-01-2025</v>
          </cell>
          <cell r="C624" t="str">
            <v>06 Feb 2025</v>
          </cell>
          <cell r="D624" t="str">
            <v>CUST-1127</v>
          </cell>
          <cell r="E624" t="str">
            <v>Vikram Iyer</v>
          </cell>
          <cell r="F624" t="str">
            <v>Consumer</v>
          </cell>
          <cell r="G624" t="str">
            <v>East</v>
          </cell>
          <cell r="H624" t="str">
            <v>Bihar</v>
          </cell>
          <cell r="I624" t="str">
            <v>Patna</v>
          </cell>
          <cell r="J624" t="str">
            <v>Office Supplies</v>
          </cell>
          <cell r="K624" t="str">
            <v>Storage</v>
          </cell>
          <cell r="L624" t="str">
            <v>Basic Storage 934</v>
          </cell>
          <cell r="M624" t="str">
            <v>Standard Class</v>
          </cell>
          <cell r="N624">
            <v>4</v>
          </cell>
          <cell r="O624">
            <v>2759.01</v>
          </cell>
          <cell r="P624">
            <v>0.05</v>
          </cell>
          <cell r="S624">
            <v>3804.09</v>
          </cell>
          <cell r="T624" t="str">
            <v>Paid</v>
          </cell>
          <cell r="U624" t="str">
            <v>Completed</v>
          </cell>
        </row>
        <row r="625">
          <cell r="A625" t="str">
            <v>ORD-2024-10624</v>
          </cell>
          <cell r="B625" t="str">
            <v>08 Aug 2024</v>
          </cell>
          <cell r="C625" t="str">
            <v>14 Aug 2024</v>
          </cell>
          <cell r="D625" t="str">
            <v>CUST-6262</v>
          </cell>
          <cell r="E625" t="str">
            <v>Vikram Iyer</v>
          </cell>
          <cell r="F625" t="str">
            <v>Home Office</v>
          </cell>
          <cell r="G625" t="str">
            <v>North</v>
          </cell>
          <cell r="H625" t="str">
            <v>Punjab</v>
          </cell>
          <cell r="I625" t="str">
            <v>Ludhiana</v>
          </cell>
          <cell r="J625" t="str">
            <v>Office Supplies</v>
          </cell>
          <cell r="K625" t="str">
            <v>Storage</v>
          </cell>
          <cell r="L625" t="str">
            <v>Pro Storage 509</v>
          </cell>
          <cell r="M625" t="str">
            <v>Second Class</v>
          </cell>
          <cell r="N625">
            <v>8</v>
          </cell>
          <cell r="O625">
            <v>1359.19</v>
          </cell>
          <cell r="P625">
            <v>0.05</v>
          </cell>
          <cell r="S625">
            <v>2817.62</v>
          </cell>
          <cell r="T625" t="str">
            <v>Paid</v>
          </cell>
          <cell r="U625" t="str">
            <v>Completed</v>
          </cell>
        </row>
        <row r="626">
          <cell r="A626" t="str">
            <v>ORD-2024-10625</v>
          </cell>
          <cell r="B626" t="str">
            <v>01/30/2024</v>
          </cell>
          <cell r="C626" t="str">
            <v>2024-02-01</v>
          </cell>
          <cell r="D626" t="str">
            <v>CUST-5070</v>
          </cell>
          <cell r="E626" t="str">
            <v>Neha Gupta</v>
          </cell>
          <cell r="F626" t="str">
            <v>Home Office</v>
          </cell>
          <cell r="G626" t="str">
            <v>East</v>
          </cell>
          <cell r="H626" t="str">
            <v>Assam</v>
          </cell>
          <cell r="I626" t="str">
            <v>Guwahati</v>
          </cell>
          <cell r="J626" t="str">
            <v>Furniture</v>
          </cell>
          <cell r="K626" t="str">
            <v>Chairs</v>
          </cell>
          <cell r="L626" t="str">
            <v>Prime Chairs 765</v>
          </cell>
          <cell r="M626" t="str">
            <v>First Class</v>
          </cell>
          <cell r="N626">
            <v>2</v>
          </cell>
          <cell r="O626">
            <v>4451.03</v>
          </cell>
          <cell r="P626">
            <v>0.05</v>
          </cell>
          <cell r="S626">
            <v>2994.11</v>
          </cell>
          <cell r="T626" t="str">
            <v>Paid</v>
          </cell>
          <cell r="U626" t="str">
            <v>Completed</v>
          </cell>
        </row>
        <row r="627">
          <cell r="A627" t="str">
            <v>ORD-2024-10626</v>
          </cell>
          <cell r="B627" t="str">
            <v>12/15/2024</v>
          </cell>
          <cell r="C627" t="str">
            <v>21 Dec 2024</v>
          </cell>
          <cell r="D627" t="str">
            <v>CUST-7946</v>
          </cell>
          <cell r="E627" t="str">
            <v>Diya Patel</v>
          </cell>
          <cell r="F627" t="str">
            <v>Corporate</v>
          </cell>
          <cell r="G627" t="str">
            <v>West</v>
          </cell>
          <cell r="H627" t="str">
            <v>Rajasthan</v>
          </cell>
          <cell r="I627" t="str">
            <v>Udaipur</v>
          </cell>
          <cell r="J627" t="str">
            <v>Furniture</v>
          </cell>
          <cell r="K627" t="str">
            <v>Chairs</v>
          </cell>
          <cell r="L627" t="str">
            <v>Elite Chairs 358</v>
          </cell>
          <cell r="M627" t="str">
            <v>Same Day</v>
          </cell>
          <cell r="N627">
            <v>3</v>
          </cell>
          <cell r="O627">
            <v>527.66999999999996</v>
          </cell>
          <cell r="P627">
            <v>0.2</v>
          </cell>
          <cell r="S627">
            <v>282.49</v>
          </cell>
          <cell r="T627" t="str">
            <v>Paid</v>
          </cell>
          <cell r="U627" t="str">
            <v>Completed</v>
          </cell>
        </row>
        <row r="628">
          <cell r="A628" t="str">
            <v>ORD-2025-10627</v>
          </cell>
          <cell r="B628" t="str">
            <v>04-06-2025</v>
          </cell>
          <cell r="C628" t="str">
            <v>06/07/2025</v>
          </cell>
          <cell r="D628" t="str">
            <v>CUST-1793</v>
          </cell>
          <cell r="E628" t="str">
            <v>Sneha Kapoor</v>
          </cell>
          <cell r="F628" t="str">
            <v>Home Office</v>
          </cell>
          <cell r="G628" t="str">
            <v>East</v>
          </cell>
          <cell r="H628" t="str">
            <v>Assam</v>
          </cell>
          <cell r="I628" t="str">
            <v>Guwahati</v>
          </cell>
          <cell r="J628" t="str">
            <v>Technology</v>
          </cell>
          <cell r="K628" t="str">
            <v>Machines</v>
          </cell>
          <cell r="L628" t="str">
            <v>Elite Machines 971</v>
          </cell>
          <cell r="M628" t="str">
            <v>Standard Class</v>
          </cell>
          <cell r="N628">
            <v>8</v>
          </cell>
          <cell r="O628">
            <v>1434.13</v>
          </cell>
          <cell r="P628">
            <v>0</v>
          </cell>
          <cell r="S628">
            <v>2541.71</v>
          </cell>
          <cell r="T628" t="str">
            <v>Pending</v>
          </cell>
          <cell r="U628" t="str">
            <v>Returned</v>
          </cell>
        </row>
        <row r="629">
          <cell r="A629" t="str">
            <v>ORD-2025-10628</v>
          </cell>
          <cell r="B629" t="str">
            <v>02/13/2025</v>
          </cell>
          <cell r="C629" t="str">
            <v>21-02-2025</v>
          </cell>
          <cell r="D629" t="str">
            <v>CUST-8839</v>
          </cell>
          <cell r="E629" t="str">
            <v>Karan Malhotra</v>
          </cell>
          <cell r="F629" t="str">
            <v>Small Business</v>
          </cell>
          <cell r="G629" t="str">
            <v>South</v>
          </cell>
          <cell r="H629" t="str">
            <v>Kerala</v>
          </cell>
          <cell r="I629" t="str">
            <v>Kochi</v>
          </cell>
          <cell r="J629" t="str">
            <v>Technology</v>
          </cell>
          <cell r="K629" t="str">
            <v>Phones</v>
          </cell>
          <cell r="L629" t="str">
            <v>Max Phones 825</v>
          </cell>
          <cell r="M629" t="str">
            <v>Second Class</v>
          </cell>
          <cell r="N629">
            <v>2</v>
          </cell>
          <cell r="O629">
            <v>2360.02</v>
          </cell>
          <cell r="P629">
            <v>0.15</v>
          </cell>
          <cell r="S629">
            <v>869.11</v>
          </cell>
          <cell r="T629" t="str">
            <v>Pending</v>
          </cell>
          <cell r="U629" t="str">
            <v>Cancelled</v>
          </cell>
        </row>
        <row r="630">
          <cell r="A630" t="str">
            <v>ORD-2025-10629</v>
          </cell>
          <cell r="B630" t="str">
            <v>2025-10-05</v>
          </cell>
          <cell r="C630" t="str">
            <v>12 Oct 2025</v>
          </cell>
          <cell r="D630" t="str">
            <v>CUST-6725</v>
          </cell>
          <cell r="E630" t="str">
            <v>Ananya Rao</v>
          </cell>
          <cell r="F630" t="str">
            <v>Home Office</v>
          </cell>
          <cell r="G630" t="str">
            <v>East</v>
          </cell>
          <cell r="H630" t="str">
            <v>Jharkhand</v>
          </cell>
          <cell r="I630" t="str">
            <v>Ranchi</v>
          </cell>
          <cell r="J630" t="str">
            <v>Technology</v>
          </cell>
          <cell r="K630" t="str">
            <v>Accessories</v>
          </cell>
          <cell r="L630" t="str">
            <v>Eco Accessories 933</v>
          </cell>
          <cell r="M630" t="str">
            <v>Same Day</v>
          </cell>
          <cell r="N630">
            <v>7</v>
          </cell>
          <cell r="O630">
            <v>806.67</v>
          </cell>
          <cell r="P630">
            <v>0.05</v>
          </cell>
          <cell r="S630">
            <v>973.07</v>
          </cell>
          <cell r="T630" t="str">
            <v>Paid</v>
          </cell>
          <cell r="U630" t="str">
            <v>Completed</v>
          </cell>
        </row>
        <row r="631">
          <cell r="A631" t="str">
            <v>ORD-2025-10630</v>
          </cell>
          <cell r="B631" t="str">
            <v>09/10/2025</v>
          </cell>
          <cell r="C631" t="str">
            <v>14 Sep 2025</v>
          </cell>
          <cell r="D631" t="str">
            <v>CUST-3793</v>
          </cell>
          <cell r="E631" t="str">
            <v>Arjun Bose</v>
          </cell>
          <cell r="F631" t="str">
            <v>Home Office</v>
          </cell>
          <cell r="G631" t="str">
            <v>West</v>
          </cell>
          <cell r="H631" t="str">
            <v>Gujarat</v>
          </cell>
          <cell r="I631" t="str">
            <v>Ahmedabad</v>
          </cell>
          <cell r="J631" t="str">
            <v>Furniture</v>
          </cell>
          <cell r="K631" t="str">
            <v>Tables</v>
          </cell>
          <cell r="L631" t="str">
            <v>Max Tables 908</v>
          </cell>
          <cell r="M631" t="str">
            <v>Same Day</v>
          </cell>
          <cell r="N631">
            <v>3</v>
          </cell>
          <cell r="O631">
            <v>4198.46</v>
          </cell>
          <cell r="P631">
            <v>0.15</v>
          </cell>
          <cell r="S631">
            <v>4778.97</v>
          </cell>
          <cell r="T631" t="str">
            <v>Paid</v>
          </cell>
          <cell r="U631" t="str">
            <v>Completed</v>
          </cell>
        </row>
        <row r="632">
          <cell r="A632" t="str">
            <v>ORD-2024-10631</v>
          </cell>
          <cell r="B632" t="str">
            <v>2024-04-09</v>
          </cell>
          <cell r="C632" t="str">
            <v>2024-04-10</v>
          </cell>
          <cell r="D632" t="str">
            <v>CUST-6075</v>
          </cell>
          <cell r="E632" t="str">
            <v>Priya Menon</v>
          </cell>
          <cell r="F632" t="str">
            <v>Corporate</v>
          </cell>
          <cell r="G632" t="str">
            <v>East</v>
          </cell>
          <cell r="H632" t="str">
            <v>Assam</v>
          </cell>
          <cell r="I632" t="str">
            <v>Guwahati</v>
          </cell>
          <cell r="J632" t="str">
            <v>Office Supplies</v>
          </cell>
          <cell r="K632" t="str">
            <v>Paper</v>
          </cell>
          <cell r="L632" t="str">
            <v>Elite Paper 239</v>
          </cell>
          <cell r="M632" t="str">
            <v>Standard Class</v>
          </cell>
          <cell r="N632">
            <v>4</v>
          </cell>
          <cell r="O632">
            <v>3047.05</v>
          </cell>
          <cell r="P632">
            <v>0.1</v>
          </cell>
          <cell r="S632">
            <v>1714.92</v>
          </cell>
          <cell r="T632" t="str">
            <v>Paid</v>
          </cell>
          <cell r="U632" t="str">
            <v>Completed</v>
          </cell>
        </row>
        <row r="633">
          <cell r="A633" t="str">
            <v>ORD-2024-10632</v>
          </cell>
          <cell r="B633" t="str">
            <v>10 Apr 2024</v>
          </cell>
          <cell r="C633" t="str">
            <v>15-04-2024</v>
          </cell>
          <cell r="D633" t="str">
            <v>CUST-6381</v>
          </cell>
          <cell r="E633" t="str">
            <v>Aarav Sharma</v>
          </cell>
          <cell r="F633" t="str">
            <v>Home Office</v>
          </cell>
          <cell r="G633" t="str">
            <v>West</v>
          </cell>
          <cell r="H633" t="str">
            <v>Rajasthan</v>
          </cell>
          <cell r="I633" t="str">
            <v>Udaipur</v>
          </cell>
          <cell r="J633" t="str">
            <v>Furniture</v>
          </cell>
          <cell r="K633" t="str">
            <v>Chairs</v>
          </cell>
          <cell r="L633" t="str">
            <v>Eco Chairs 452</v>
          </cell>
          <cell r="M633" t="str">
            <v>Standard Class</v>
          </cell>
          <cell r="N633">
            <v>8</v>
          </cell>
          <cell r="O633">
            <v>4362.4799999999996</v>
          </cell>
          <cell r="P633">
            <v>0.1</v>
          </cell>
          <cell r="S633">
            <v>8886.32</v>
          </cell>
          <cell r="T633" t="str">
            <v>Paid</v>
          </cell>
          <cell r="U633" t="str">
            <v>Completed</v>
          </cell>
        </row>
        <row r="634">
          <cell r="A634" t="str">
            <v>ORD-2025-10633</v>
          </cell>
          <cell r="B634" t="str">
            <v>15-04-2025</v>
          </cell>
          <cell r="C634" t="str">
            <v>16-04-2025</v>
          </cell>
          <cell r="D634" t="str">
            <v>CUST-4593</v>
          </cell>
          <cell r="E634" t="str">
            <v>Sneha Kapoor</v>
          </cell>
          <cell r="F634" t="str">
            <v>Small Business</v>
          </cell>
          <cell r="G634" t="str">
            <v>South</v>
          </cell>
          <cell r="H634" t="str">
            <v>Karnataka</v>
          </cell>
          <cell r="I634" t="str">
            <v>Bengaluru</v>
          </cell>
          <cell r="J634" t="str">
            <v>Furniture</v>
          </cell>
          <cell r="K634" t="str">
            <v>Furnishings</v>
          </cell>
          <cell r="L634" t="str">
            <v>Smart Furnishings 721</v>
          </cell>
          <cell r="M634" t="str">
            <v>First Class</v>
          </cell>
          <cell r="N634">
            <v>5</v>
          </cell>
          <cell r="O634">
            <v>2850.53</v>
          </cell>
          <cell r="P634">
            <v>0</v>
          </cell>
          <cell r="S634">
            <v>2694.34</v>
          </cell>
          <cell r="T634" t="str">
            <v>Paid</v>
          </cell>
          <cell r="U634" t="str">
            <v>Completed</v>
          </cell>
        </row>
        <row r="635">
          <cell r="A635" t="str">
            <v>ORD-2025-10634</v>
          </cell>
          <cell r="B635" t="str">
            <v>04/18/2025</v>
          </cell>
          <cell r="C635" t="str">
            <v>20 Apr 2025</v>
          </cell>
          <cell r="D635" t="str">
            <v>CUST-5043</v>
          </cell>
          <cell r="E635" t="str">
            <v>Aarav Sharma</v>
          </cell>
          <cell r="F635" t="str">
            <v>Small Business</v>
          </cell>
          <cell r="G635" t="str">
            <v>South</v>
          </cell>
          <cell r="H635" t="str">
            <v>Tamil Nadu</v>
          </cell>
          <cell r="I635" t="str">
            <v>Chennai</v>
          </cell>
          <cell r="J635" t="str">
            <v>Technology</v>
          </cell>
          <cell r="K635" t="str">
            <v>Accessories</v>
          </cell>
          <cell r="L635" t="str">
            <v>Basic Accessories 729</v>
          </cell>
          <cell r="M635" t="str">
            <v>Second Class</v>
          </cell>
          <cell r="N635">
            <v>1</v>
          </cell>
          <cell r="O635">
            <v>1626.08</v>
          </cell>
          <cell r="P635">
            <v>0.15</v>
          </cell>
          <cell r="S635">
            <v>572.14</v>
          </cell>
          <cell r="T635" t="str">
            <v>Paid</v>
          </cell>
          <cell r="U635" t="str">
            <v>Completed</v>
          </cell>
        </row>
        <row r="636">
          <cell r="A636" t="str">
            <v>ORD-2025-10635</v>
          </cell>
          <cell r="B636" t="str">
            <v>01/11/2025</v>
          </cell>
          <cell r="C636" t="str">
            <v>12 Jan 2025</v>
          </cell>
          <cell r="D636" t="str">
            <v>CUST-4722</v>
          </cell>
          <cell r="E636" t="str">
            <v>Aditi Sen</v>
          </cell>
          <cell r="F636" t="str">
            <v>Consumer</v>
          </cell>
          <cell r="G636" t="str">
            <v>South</v>
          </cell>
          <cell r="H636" t="str">
            <v>Telangana</v>
          </cell>
          <cell r="I636" t="str">
            <v>Hyderabad</v>
          </cell>
          <cell r="J636" t="str">
            <v>Furniture</v>
          </cell>
          <cell r="K636" t="str">
            <v>Chairs</v>
          </cell>
          <cell r="L636" t="str">
            <v>Classic Chairs 220</v>
          </cell>
          <cell r="M636" t="str">
            <v>Second Class</v>
          </cell>
          <cell r="N636">
            <v>4</v>
          </cell>
          <cell r="O636">
            <v>2427.15</v>
          </cell>
          <cell r="P636">
            <v>0.05</v>
          </cell>
          <cell r="S636">
            <v>4119.47</v>
          </cell>
          <cell r="T636" t="str">
            <v>Paid</v>
          </cell>
          <cell r="U636" t="str">
            <v>Completed</v>
          </cell>
        </row>
        <row r="637">
          <cell r="A637" t="str">
            <v>ORD-2024-10636</v>
          </cell>
          <cell r="B637" t="str">
            <v>20 May 2024</v>
          </cell>
          <cell r="C637" t="str">
            <v>2024-05-25</v>
          </cell>
          <cell r="D637" t="str">
            <v>CUST-7931</v>
          </cell>
          <cell r="E637" t="str">
            <v>Mira Das</v>
          </cell>
          <cell r="F637" t="str">
            <v>Corporate</v>
          </cell>
          <cell r="G637" t="str">
            <v>South</v>
          </cell>
          <cell r="H637" t="str">
            <v>Andhra Pradesh</v>
          </cell>
          <cell r="I637" t="str">
            <v>Vijayawada</v>
          </cell>
          <cell r="J637" t="str">
            <v>Furniture</v>
          </cell>
          <cell r="K637" t="str">
            <v>Chairs</v>
          </cell>
          <cell r="L637" t="str">
            <v>Max Chairs 305</v>
          </cell>
          <cell r="M637" t="str">
            <v>Same Day</v>
          </cell>
          <cell r="N637">
            <v>7</v>
          </cell>
          <cell r="O637">
            <v>3122.85</v>
          </cell>
          <cell r="P637">
            <v>0.25</v>
          </cell>
          <cell r="S637">
            <v>5990.79</v>
          </cell>
          <cell r="T637" t="str">
            <v>Paid</v>
          </cell>
          <cell r="U637" t="str">
            <v>Completed</v>
          </cell>
        </row>
        <row r="638">
          <cell r="A638" t="str">
            <v>ORD-2024-10637</v>
          </cell>
          <cell r="B638" t="str">
            <v>02 Oct 2024</v>
          </cell>
          <cell r="C638" t="str">
            <v>09 Oct 2024</v>
          </cell>
          <cell r="D638" t="str">
            <v>CUST-7221</v>
          </cell>
          <cell r="E638" t="str">
            <v>Ananya Rao</v>
          </cell>
          <cell r="F638" t="str">
            <v>Consumer</v>
          </cell>
          <cell r="G638" t="str">
            <v>South</v>
          </cell>
          <cell r="H638" t="str">
            <v>Tamil Nadu</v>
          </cell>
          <cell r="I638" t="str">
            <v>Chennai</v>
          </cell>
          <cell r="J638" t="str">
            <v>Office Supplies</v>
          </cell>
          <cell r="K638" t="str">
            <v>Paper</v>
          </cell>
          <cell r="L638" t="str">
            <v>Smart Paper 872</v>
          </cell>
          <cell r="M638" t="str">
            <v>Standard Class</v>
          </cell>
          <cell r="N638">
            <v>8</v>
          </cell>
          <cell r="O638">
            <v>1910.31</v>
          </cell>
          <cell r="P638">
            <v>0.15</v>
          </cell>
          <cell r="S638">
            <v>2789.31</v>
          </cell>
          <cell r="T638" t="str">
            <v>Paid</v>
          </cell>
          <cell r="U638" t="str">
            <v>Completed</v>
          </cell>
        </row>
        <row r="639">
          <cell r="A639" t="str">
            <v>ORD-2024-10638</v>
          </cell>
          <cell r="B639" t="str">
            <v>26-05-2024</v>
          </cell>
          <cell r="C639" t="str">
            <v>2024-05-26</v>
          </cell>
          <cell r="D639" t="str">
            <v>CUST-2594</v>
          </cell>
          <cell r="E639" t="str">
            <v>Rahul Verma</v>
          </cell>
          <cell r="F639" t="str">
            <v>Small Business</v>
          </cell>
          <cell r="G639" t="str">
            <v>West</v>
          </cell>
          <cell r="H639" t="str">
            <v>Goa</v>
          </cell>
          <cell r="I639" t="str">
            <v>Panaji</v>
          </cell>
          <cell r="J639" t="str">
            <v>Technology</v>
          </cell>
          <cell r="K639" t="str">
            <v>Copiers</v>
          </cell>
          <cell r="L639" t="str">
            <v>Max Copiers 994</v>
          </cell>
          <cell r="M639" t="str">
            <v>First Class</v>
          </cell>
          <cell r="N639">
            <v>2</v>
          </cell>
          <cell r="O639">
            <v>3192.47</v>
          </cell>
          <cell r="P639">
            <v>0.2</v>
          </cell>
          <cell r="S639">
            <v>1974.87</v>
          </cell>
          <cell r="T639" t="str">
            <v>Paid</v>
          </cell>
          <cell r="U639" t="str">
            <v>Completed</v>
          </cell>
        </row>
        <row r="640">
          <cell r="A640" t="str">
            <v>ORD-2024-10639</v>
          </cell>
          <cell r="B640" t="str">
            <v>26 Jan 2024</v>
          </cell>
          <cell r="C640" t="str">
            <v>31-01-2024</v>
          </cell>
          <cell r="D640" t="str">
            <v>CUST-2111</v>
          </cell>
          <cell r="E640" t="str">
            <v>Karan Malhotra</v>
          </cell>
          <cell r="F640" t="str">
            <v>Corporate</v>
          </cell>
          <cell r="G640" t="str">
            <v>South</v>
          </cell>
          <cell r="H640" t="str">
            <v>Kerala</v>
          </cell>
          <cell r="I640" t="str">
            <v>Kochi</v>
          </cell>
          <cell r="J640" t="str">
            <v>Office Supplies</v>
          </cell>
          <cell r="K640" t="str">
            <v>Storage</v>
          </cell>
          <cell r="L640" t="str">
            <v>Pro Storage 744</v>
          </cell>
          <cell r="M640" t="str">
            <v>Second Class</v>
          </cell>
          <cell r="N640">
            <v>3</v>
          </cell>
          <cell r="O640">
            <v>3224.32</v>
          </cell>
          <cell r="P640">
            <v>0.2</v>
          </cell>
          <cell r="S640">
            <v>3111.52</v>
          </cell>
          <cell r="T640" t="str">
            <v>Failed</v>
          </cell>
          <cell r="U640" t="str">
            <v>Returned</v>
          </cell>
        </row>
        <row r="641">
          <cell r="A641" t="str">
            <v>ORD-2024-10640</v>
          </cell>
          <cell r="B641" t="str">
            <v>12/27/2024</v>
          </cell>
          <cell r="C641" t="str">
            <v>31-12-2024</v>
          </cell>
          <cell r="D641" t="str">
            <v>CUST-6829</v>
          </cell>
          <cell r="E641" t="str">
            <v>Isha Nair</v>
          </cell>
          <cell r="F641" t="str">
            <v>Small Business</v>
          </cell>
          <cell r="G641" t="str">
            <v>East</v>
          </cell>
          <cell r="H641" t="str">
            <v>Odisha</v>
          </cell>
          <cell r="I641" t="str">
            <v>Bhubaneswar</v>
          </cell>
          <cell r="J641" t="str">
            <v>Furniture</v>
          </cell>
          <cell r="K641" t="str">
            <v>Chairs</v>
          </cell>
          <cell r="L641" t="str">
            <v>Elite Chairs 744</v>
          </cell>
          <cell r="M641" t="str">
            <v>Second Class</v>
          </cell>
          <cell r="N641">
            <v>1</v>
          </cell>
          <cell r="O641">
            <v>1594.7</v>
          </cell>
          <cell r="P641">
            <v>0.05</v>
          </cell>
          <cell r="S641">
            <v>468.79</v>
          </cell>
          <cell r="T641" t="str">
            <v>Paid</v>
          </cell>
          <cell r="U641" t="str">
            <v>Completed</v>
          </cell>
        </row>
        <row r="642">
          <cell r="A642" t="str">
            <v>ORD-2025-10641</v>
          </cell>
          <cell r="B642" t="str">
            <v>14-01-2025</v>
          </cell>
          <cell r="C642" t="str">
            <v>17 Jan 2025</v>
          </cell>
          <cell r="D642" t="str">
            <v>CUST-5061</v>
          </cell>
          <cell r="E642" t="str">
            <v>Vikram Iyer</v>
          </cell>
          <cell r="F642" t="str">
            <v>Consumer</v>
          </cell>
          <cell r="G642" t="str">
            <v>West</v>
          </cell>
          <cell r="H642" t="str">
            <v>Goa</v>
          </cell>
          <cell r="I642" t="str">
            <v>Panaji</v>
          </cell>
          <cell r="J642" t="str">
            <v>Office Supplies</v>
          </cell>
          <cell r="K642" t="str">
            <v>Storage</v>
          </cell>
          <cell r="L642" t="str">
            <v>Basic Storage 973</v>
          </cell>
          <cell r="M642" t="str">
            <v>First Class</v>
          </cell>
          <cell r="N642">
            <v>1</v>
          </cell>
          <cell r="O642">
            <v>1584.12</v>
          </cell>
          <cell r="P642">
            <v>0.2</v>
          </cell>
          <cell r="S642">
            <v>343.77</v>
          </cell>
          <cell r="T642" t="str">
            <v>Paid</v>
          </cell>
          <cell r="U642" t="str">
            <v>Completed</v>
          </cell>
        </row>
        <row r="643">
          <cell r="A643" t="str">
            <v>ORD-2025-10642</v>
          </cell>
          <cell r="B643" t="str">
            <v>2025-04-09</v>
          </cell>
          <cell r="C643" t="str">
            <v>2025-04-14</v>
          </cell>
          <cell r="D643" t="str">
            <v>CUST-7915</v>
          </cell>
          <cell r="E643" t="str">
            <v>Karan Malhotra</v>
          </cell>
          <cell r="F643" t="str">
            <v>Consumer</v>
          </cell>
          <cell r="G643" t="str">
            <v>North</v>
          </cell>
          <cell r="H643" t="str">
            <v>Delhi</v>
          </cell>
          <cell r="I643" t="str">
            <v>New Delhi</v>
          </cell>
          <cell r="J643" t="str">
            <v>Furniture</v>
          </cell>
          <cell r="K643" t="str">
            <v>Furnishings</v>
          </cell>
          <cell r="L643" t="str">
            <v>Smart Furnishings 783</v>
          </cell>
          <cell r="M643" t="str">
            <v>Same Day</v>
          </cell>
          <cell r="N643">
            <v>2</v>
          </cell>
          <cell r="O643">
            <v>3202.87</v>
          </cell>
          <cell r="P643">
            <v>0</v>
          </cell>
          <cell r="S643">
            <v>2843.87</v>
          </cell>
          <cell r="T643" t="str">
            <v>Paid</v>
          </cell>
          <cell r="U643" t="str">
            <v>Completed</v>
          </cell>
        </row>
        <row r="644">
          <cell r="A644" t="str">
            <v>ORD-2024-10643</v>
          </cell>
          <cell r="B644" t="str">
            <v>08/29/2024</v>
          </cell>
          <cell r="C644" t="str">
            <v>08/31/2024</v>
          </cell>
          <cell r="D644" t="str">
            <v>CUST-1940</v>
          </cell>
          <cell r="E644" t="str">
            <v>Isha Nair</v>
          </cell>
          <cell r="F644" t="str">
            <v>Home Office</v>
          </cell>
          <cell r="G644" t="str">
            <v>East</v>
          </cell>
          <cell r="H644" t="str">
            <v>Assam</v>
          </cell>
          <cell r="I644" t="str">
            <v>Guwahati</v>
          </cell>
          <cell r="J644" t="str">
            <v>Office Supplies</v>
          </cell>
          <cell r="K644" t="str">
            <v>binders</v>
          </cell>
          <cell r="L644" t="str">
            <v>Prime Binders 287</v>
          </cell>
          <cell r="M644" t="str">
            <v>Second Class</v>
          </cell>
          <cell r="N644">
            <v>9</v>
          </cell>
          <cell r="O644">
            <v>1275.21</v>
          </cell>
          <cell r="P644">
            <v>0.25</v>
          </cell>
          <cell r="S644">
            <v>3270.03</v>
          </cell>
          <cell r="T644" t="str">
            <v>Failed</v>
          </cell>
          <cell r="U644" t="str">
            <v>Returned</v>
          </cell>
        </row>
        <row r="645">
          <cell r="A645" t="str">
            <v>ORD-2024-10644</v>
          </cell>
          <cell r="B645" t="str">
            <v>05-02-2024</v>
          </cell>
          <cell r="C645" t="str">
            <v>2024-02-13</v>
          </cell>
          <cell r="D645" t="str">
            <v>CUST-1986</v>
          </cell>
          <cell r="E645" t="str">
            <v>Aarav Sharma</v>
          </cell>
          <cell r="F645" t="str">
            <v>Home Office</v>
          </cell>
          <cell r="G645" t="str">
            <v>North</v>
          </cell>
          <cell r="H645" t="str">
            <v>Uttar Pradesh</v>
          </cell>
          <cell r="I645" t="str">
            <v>Noida</v>
          </cell>
          <cell r="J645" t="str">
            <v>Office Supplies</v>
          </cell>
          <cell r="K645" t="str">
            <v>Labels</v>
          </cell>
          <cell r="L645" t="str">
            <v>Elite Labels 654</v>
          </cell>
          <cell r="M645" t="str">
            <v>Standard Class</v>
          </cell>
          <cell r="N645">
            <v>8</v>
          </cell>
          <cell r="O645">
            <v>3871.18</v>
          </cell>
          <cell r="P645">
            <v>0.15</v>
          </cell>
          <cell r="S645">
            <v>10046.06</v>
          </cell>
          <cell r="T645" t="str">
            <v>Failed</v>
          </cell>
          <cell r="U645" t="str">
            <v>Returned</v>
          </cell>
        </row>
        <row r="646">
          <cell r="A646" t="str">
            <v>ORD-2025-10645</v>
          </cell>
          <cell r="B646" t="str">
            <v>2025-04-10</v>
          </cell>
          <cell r="C646" t="str">
            <v>04/17/2025</v>
          </cell>
          <cell r="D646" t="str">
            <v>CUST-5549</v>
          </cell>
          <cell r="E646" t="str">
            <v>Vikram Iyer</v>
          </cell>
          <cell r="F646" t="str">
            <v>Consumer</v>
          </cell>
          <cell r="G646" t="str">
            <v>East</v>
          </cell>
          <cell r="H646" t="str">
            <v>West Bengal</v>
          </cell>
          <cell r="I646" t="str">
            <v>Kolkata</v>
          </cell>
          <cell r="J646" t="str">
            <v>Furniture</v>
          </cell>
          <cell r="K646" t="str">
            <v>Chairs</v>
          </cell>
          <cell r="L646" t="str">
            <v>Pro Chairs 812</v>
          </cell>
          <cell r="M646" t="str">
            <v>Standard Class</v>
          </cell>
          <cell r="N646">
            <v>4</v>
          </cell>
          <cell r="O646">
            <v>3750.02</v>
          </cell>
          <cell r="P646">
            <v>0.05</v>
          </cell>
          <cell r="S646">
            <v>3335.16</v>
          </cell>
          <cell r="T646" t="str">
            <v>Paid</v>
          </cell>
          <cell r="U646" t="str">
            <v>Completed</v>
          </cell>
        </row>
        <row r="647">
          <cell r="A647" t="str">
            <v>ORD-2024-10646</v>
          </cell>
          <cell r="B647" t="str">
            <v>2024-01-04</v>
          </cell>
          <cell r="C647" t="str">
            <v>09-01-2024</v>
          </cell>
          <cell r="D647" t="str">
            <v>CUST-2314</v>
          </cell>
          <cell r="E647" t="str">
            <v>Kabir Singh</v>
          </cell>
          <cell r="F647" t="str">
            <v>Consumer</v>
          </cell>
          <cell r="G647" t="str">
            <v>East</v>
          </cell>
          <cell r="H647" t="str">
            <v>Bihar</v>
          </cell>
          <cell r="I647" t="str">
            <v>Patna</v>
          </cell>
          <cell r="J647" t="str">
            <v>Furniture</v>
          </cell>
          <cell r="K647" t="str">
            <v>Chairs</v>
          </cell>
          <cell r="L647" t="str">
            <v>Basic Chairs 480</v>
          </cell>
          <cell r="M647" t="str">
            <v>Second Class</v>
          </cell>
          <cell r="N647">
            <v>6</v>
          </cell>
          <cell r="O647">
            <v>2423.61</v>
          </cell>
          <cell r="P647">
            <v>0.1</v>
          </cell>
          <cell r="S647">
            <v>5133.22</v>
          </cell>
          <cell r="T647" t="str">
            <v>Paid</v>
          </cell>
          <cell r="U647" t="str">
            <v>Completed</v>
          </cell>
        </row>
        <row r="648">
          <cell r="A648" t="str">
            <v>ORD-2024-10647</v>
          </cell>
          <cell r="B648" t="str">
            <v>09/18/2024</v>
          </cell>
          <cell r="C648" t="str">
            <v>24-09-2024</v>
          </cell>
          <cell r="D648" t="str">
            <v>CUST-6360</v>
          </cell>
          <cell r="E648" t="str">
            <v>Vikram Iyer</v>
          </cell>
          <cell r="F648" t="str">
            <v>Small Business</v>
          </cell>
          <cell r="G648" t="str">
            <v>East</v>
          </cell>
          <cell r="H648" t="str">
            <v>Jharkhand</v>
          </cell>
          <cell r="I648" t="str">
            <v>Ranchi</v>
          </cell>
          <cell r="J648" t="str">
            <v>Technology</v>
          </cell>
          <cell r="K648" t="str">
            <v>Machines</v>
          </cell>
          <cell r="L648" t="str">
            <v>Elite Machines 955</v>
          </cell>
          <cell r="M648" t="str">
            <v>First Class</v>
          </cell>
          <cell r="N648">
            <v>3</v>
          </cell>
          <cell r="O648">
            <v>729.14</v>
          </cell>
          <cell r="P648">
            <v>0.25</v>
          </cell>
          <cell r="S648">
            <v>503.59</v>
          </cell>
          <cell r="T648" t="str">
            <v>Paid</v>
          </cell>
          <cell r="U648" t="str">
            <v>Completed</v>
          </cell>
        </row>
        <row r="649">
          <cell r="A649" t="str">
            <v>ORD-2025-10648</v>
          </cell>
          <cell r="B649" t="str">
            <v>01/01/2025</v>
          </cell>
          <cell r="C649" t="str">
            <v>09-01-2025</v>
          </cell>
          <cell r="D649" t="str">
            <v>CUST-9942</v>
          </cell>
          <cell r="E649" t="str">
            <v>Rohan  Mehta</v>
          </cell>
          <cell r="F649" t="str">
            <v>Small Business</v>
          </cell>
          <cell r="G649" t="str">
            <v>North</v>
          </cell>
          <cell r="H649" t="str">
            <v>Punjab</v>
          </cell>
          <cell r="I649" t="str">
            <v>Ludhiana</v>
          </cell>
          <cell r="J649" t="str">
            <v>Office Supplies</v>
          </cell>
          <cell r="K649" t="str">
            <v>Art</v>
          </cell>
          <cell r="L649" t="str">
            <v>Prime Art 461</v>
          </cell>
          <cell r="M649" t="str">
            <v>First Class</v>
          </cell>
          <cell r="N649">
            <v>8</v>
          </cell>
          <cell r="O649">
            <v>2123.81</v>
          </cell>
          <cell r="P649">
            <v>0.15</v>
          </cell>
          <cell r="S649">
            <v>3569.02</v>
          </cell>
          <cell r="T649" t="str">
            <v>Paid</v>
          </cell>
          <cell r="U649" t="str">
            <v>Completed</v>
          </cell>
        </row>
        <row r="650">
          <cell r="A650" t="str">
            <v>ORD-2024-10649</v>
          </cell>
          <cell r="B650" t="str">
            <v>21-04-2024</v>
          </cell>
          <cell r="C650" t="str">
            <v>24 Apr 2024</v>
          </cell>
          <cell r="D650" t="str">
            <v>CUST-1808</v>
          </cell>
          <cell r="E650" t="str">
            <v>Neha Gupta</v>
          </cell>
          <cell r="F650" t="str">
            <v>Small Business</v>
          </cell>
          <cell r="G650" t="str">
            <v>South</v>
          </cell>
          <cell r="H650" t="str">
            <v>Andhra Pradesh</v>
          </cell>
          <cell r="I650" t="str">
            <v>Vijayawada</v>
          </cell>
          <cell r="J650" t="str">
            <v>Office Supplies</v>
          </cell>
          <cell r="K650" t="str">
            <v>Art</v>
          </cell>
          <cell r="L650" t="str">
            <v>Prime Art 301</v>
          </cell>
          <cell r="M650" t="str">
            <v>Same Day</v>
          </cell>
          <cell r="N650">
            <v>9</v>
          </cell>
          <cell r="O650">
            <v>703.59</v>
          </cell>
          <cell r="P650">
            <v>0.2</v>
          </cell>
          <cell r="S650">
            <v>1548.62</v>
          </cell>
          <cell r="T650" t="str">
            <v>Failed</v>
          </cell>
          <cell r="U650" t="str">
            <v>Returned</v>
          </cell>
        </row>
        <row r="651">
          <cell r="A651" t="str">
            <v>ORD-2025-10650</v>
          </cell>
          <cell r="B651" t="str">
            <v>11 Aug 2025</v>
          </cell>
          <cell r="C651" t="str">
            <v>19-08-2025</v>
          </cell>
          <cell r="D651" t="str">
            <v>CUST-7277</v>
          </cell>
          <cell r="E651" t="str">
            <v>Kabir Singh</v>
          </cell>
          <cell r="F651" t="str">
            <v>Small Business</v>
          </cell>
          <cell r="G651" t="str">
            <v>South</v>
          </cell>
          <cell r="H651" t="str">
            <v>Kerala</v>
          </cell>
          <cell r="I651" t="str">
            <v>Kochi</v>
          </cell>
          <cell r="J651" t="str">
            <v>Technology</v>
          </cell>
          <cell r="K651" t="str">
            <v>Accessories</v>
          </cell>
          <cell r="L651" t="str">
            <v>Classic Accessories 354</v>
          </cell>
          <cell r="M651" t="str">
            <v>Standard Class</v>
          </cell>
          <cell r="N651">
            <v>4</v>
          </cell>
          <cell r="O651">
            <v>2258.96</v>
          </cell>
          <cell r="P651">
            <v>0.25</v>
          </cell>
          <cell r="S651">
            <v>2940.64</v>
          </cell>
          <cell r="T651" t="str">
            <v>Paid</v>
          </cell>
          <cell r="U651" t="str">
            <v>Completed</v>
          </cell>
        </row>
        <row r="652">
          <cell r="A652" t="str">
            <v>ORD-2024-10651</v>
          </cell>
          <cell r="B652" t="str">
            <v>04/13/2024</v>
          </cell>
          <cell r="C652" t="str">
            <v>21 Apr 2024</v>
          </cell>
          <cell r="D652" t="str">
            <v>CUST-7744</v>
          </cell>
          <cell r="E652" t="str">
            <v>Aarav Sharma</v>
          </cell>
          <cell r="F652" t="str">
            <v>Home Office</v>
          </cell>
          <cell r="G652" t="str">
            <v>East</v>
          </cell>
          <cell r="H652" t="str">
            <v>Bihar</v>
          </cell>
          <cell r="I652" t="str">
            <v>Patna</v>
          </cell>
          <cell r="J652" t="str">
            <v>Technology</v>
          </cell>
          <cell r="K652" t="str">
            <v>Accessories</v>
          </cell>
          <cell r="L652" t="str">
            <v>Basic Accessories 210</v>
          </cell>
          <cell r="M652" t="str">
            <v>Same Day</v>
          </cell>
          <cell r="N652">
            <v>7</v>
          </cell>
          <cell r="O652">
            <v>2648.76</v>
          </cell>
          <cell r="P652">
            <v>0.15</v>
          </cell>
          <cell r="S652">
            <v>5828.59</v>
          </cell>
          <cell r="T652" t="str">
            <v>Failed</v>
          </cell>
          <cell r="U652" t="str">
            <v>Returned</v>
          </cell>
        </row>
        <row r="653">
          <cell r="A653" t="str">
            <v>ORD-2025-10652</v>
          </cell>
          <cell r="B653" t="str">
            <v>06 Aug 2025</v>
          </cell>
          <cell r="C653" t="str">
            <v>09-08-2025</v>
          </cell>
          <cell r="D653" t="str">
            <v>CUST-2660</v>
          </cell>
          <cell r="E653" t="str">
            <v>Mira Das</v>
          </cell>
          <cell r="F653" t="str">
            <v>Small Business</v>
          </cell>
          <cell r="G653" t="str">
            <v>South</v>
          </cell>
          <cell r="H653" t="str">
            <v>Andhra Pradesh</v>
          </cell>
          <cell r="I653" t="str">
            <v>Vijayawada</v>
          </cell>
          <cell r="J653" t="str">
            <v>Office Supplies</v>
          </cell>
          <cell r="K653" t="str">
            <v>Paper</v>
          </cell>
          <cell r="L653" t="str">
            <v>Smart Paper 364</v>
          </cell>
          <cell r="M653" t="str">
            <v>Second Class</v>
          </cell>
          <cell r="N653">
            <v>3</v>
          </cell>
          <cell r="O653">
            <v>598.54999999999995</v>
          </cell>
          <cell r="P653">
            <v>0</v>
          </cell>
          <cell r="S653">
            <v>798.93</v>
          </cell>
          <cell r="T653" t="str">
            <v>Paid</v>
          </cell>
          <cell r="U653" t="str">
            <v>Completed</v>
          </cell>
        </row>
        <row r="654">
          <cell r="A654" t="str">
            <v>ORD-2025-10653</v>
          </cell>
          <cell r="B654" t="str">
            <v>03/17/2025</v>
          </cell>
          <cell r="C654" t="str">
            <v>2025-03-21</v>
          </cell>
          <cell r="D654" t="str">
            <v>CUST-8177</v>
          </cell>
          <cell r="E654" t="str">
            <v>Sneha Kapoor</v>
          </cell>
          <cell r="F654" t="str">
            <v>Consumer</v>
          </cell>
          <cell r="G654" t="str">
            <v>North</v>
          </cell>
          <cell r="H654" t="str">
            <v>Uttar Pradesh</v>
          </cell>
          <cell r="I654" t="str">
            <v>Noida</v>
          </cell>
          <cell r="J654" t="str">
            <v>Office Supplies</v>
          </cell>
          <cell r="K654" t="str">
            <v>Binders</v>
          </cell>
          <cell r="L654" t="str">
            <v>Smart Binders 999</v>
          </cell>
          <cell r="M654" t="str">
            <v>Standard Class</v>
          </cell>
          <cell r="N654">
            <v>5</v>
          </cell>
          <cell r="O654">
            <v>4320.59</v>
          </cell>
          <cell r="P654">
            <v>0.15</v>
          </cell>
          <cell r="S654">
            <v>7228.54</v>
          </cell>
          <cell r="T654" t="str">
            <v>Paid</v>
          </cell>
          <cell r="U654" t="str">
            <v>Completed</v>
          </cell>
        </row>
        <row r="655">
          <cell r="A655" t="str">
            <v>ORD-2025-10654</v>
          </cell>
          <cell r="B655" t="str">
            <v>04-04-2025</v>
          </cell>
          <cell r="C655" t="str">
            <v>04/07/2025</v>
          </cell>
          <cell r="D655" t="str">
            <v>CUST-3970</v>
          </cell>
          <cell r="E655" t="str">
            <v>Priya Menon</v>
          </cell>
          <cell r="F655" t="str">
            <v>Small Business</v>
          </cell>
          <cell r="G655" t="str">
            <v>South</v>
          </cell>
          <cell r="H655" t="str">
            <v>Tamil Nadu</v>
          </cell>
          <cell r="I655" t="str">
            <v>Chennai</v>
          </cell>
          <cell r="J655" t="str">
            <v>Technology</v>
          </cell>
          <cell r="K655" t="str">
            <v>Copiers</v>
          </cell>
          <cell r="L655" t="str">
            <v>Max Copiers 356</v>
          </cell>
          <cell r="M655" t="str">
            <v>Second Class</v>
          </cell>
          <cell r="N655">
            <v>7</v>
          </cell>
          <cell r="O655">
            <v>4457.93</v>
          </cell>
          <cell r="P655">
            <v>0.15</v>
          </cell>
          <cell r="S655">
            <v>5950.38</v>
          </cell>
          <cell r="T655" t="str">
            <v>Paid</v>
          </cell>
          <cell r="U655" t="str">
            <v>Completed</v>
          </cell>
        </row>
        <row r="656">
          <cell r="A656" t="str">
            <v>ORD-2025-10655</v>
          </cell>
          <cell r="B656" t="str">
            <v>10/12/2025</v>
          </cell>
          <cell r="C656" t="str">
            <v>16-10-2025</v>
          </cell>
          <cell r="D656" t="str">
            <v>CUST-8249</v>
          </cell>
          <cell r="E656" t="str">
            <v>Diya Patel</v>
          </cell>
          <cell r="F656" t="str">
            <v>Corporate</v>
          </cell>
          <cell r="G656" t="str">
            <v>East</v>
          </cell>
          <cell r="H656" t="str">
            <v>Bihar</v>
          </cell>
          <cell r="I656" t="str">
            <v>Patna</v>
          </cell>
          <cell r="J656" t="str">
            <v>Technology</v>
          </cell>
          <cell r="K656" t="str">
            <v>Machines</v>
          </cell>
          <cell r="L656" t="str">
            <v>Classic Machines 639</v>
          </cell>
          <cell r="M656" t="str">
            <v>Same Day</v>
          </cell>
          <cell r="N656">
            <v>1</v>
          </cell>
          <cell r="O656">
            <v>2570.06</v>
          </cell>
          <cell r="P656">
            <v>0.2</v>
          </cell>
          <cell r="S656">
            <v>393.66</v>
          </cell>
          <cell r="T656" t="str">
            <v>Paid</v>
          </cell>
          <cell r="U656" t="str">
            <v>Completed</v>
          </cell>
        </row>
        <row r="657">
          <cell r="A657" t="str">
            <v>ORD-2025-10656</v>
          </cell>
          <cell r="B657" t="str">
            <v>08/26/2025</v>
          </cell>
          <cell r="C657" t="str">
            <v>08/26/2025</v>
          </cell>
          <cell r="D657" t="str">
            <v>CUST-8039</v>
          </cell>
          <cell r="E657" t="str">
            <v>Neha Gupta</v>
          </cell>
          <cell r="F657" t="str">
            <v>Home Office</v>
          </cell>
          <cell r="G657" t="str">
            <v>East</v>
          </cell>
          <cell r="H657" t="str">
            <v>West Bengal</v>
          </cell>
          <cell r="I657" t="str">
            <v>Kolkata</v>
          </cell>
          <cell r="J657" t="str">
            <v>Furniture</v>
          </cell>
          <cell r="K657" t="str">
            <v>Furnishings</v>
          </cell>
          <cell r="L657" t="str">
            <v>Smart Furnishings 748</v>
          </cell>
          <cell r="M657" t="str">
            <v>Standard Class</v>
          </cell>
          <cell r="N657">
            <v>4</v>
          </cell>
          <cell r="O657">
            <v>2151.8200000000002</v>
          </cell>
          <cell r="P657">
            <v>0</v>
          </cell>
          <cell r="S657">
            <v>3483.27</v>
          </cell>
          <cell r="T657" t="str">
            <v>Paid</v>
          </cell>
          <cell r="U657" t="str">
            <v>Completed</v>
          </cell>
        </row>
        <row r="658">
          <cell r="A658" t="str">
            <v>ORD-2024-10657</v>
          </cell>
          <cell r="B658" t="str">
            <v>07-05-2024</v>
          </cell>
          <cell r="C658" t="str">
            <v>05/14/2024</v>
          </cell>
          <cell r="D658" t="str">
            <v>CUST-4446</v>
          </cell>
          <cell r="E658" t="str">
            <v>Neha Gupta</v>
          </cell>
          <cell r="F658" t="str">
            <v>Small Business</v>
          </cell>
          <cell r="G658" t="str">
            <v>North</v>
          </cell>
          <cell r="H658" t="str">
            <v>Haryana</v>
          </cell>
          <cell r="I658" t="str">
            <v>Gurugram</v>
          </cell>
          <cell r="J658" t="str">
            <v>Technology</v>
          </cell>
          <cell r="K658" t="str">
            <v>Machines</v>
          </cell>
          <cell r="L658" t="str">
            <v>Pro Machines 589</v>
          </cell>
          <cell r="M658" t="str">
            <v>Same Day</v>
          </cell>
          <cell r="N658">
            <v>4</v>
          </cell>
          <cell r="O658">
            <v>2751.1</v>
          </cell>
          <cell r="P658">
            <v>-0.05</v>
          </cell>
          <cell r="S658">
            <v>2207.6799999999998</v>
          </cell>
          <cell r="T658" t="str">
            <v>Paid</v>
          </cell>
          <cell r="U658" t="str">
            <v>Completed</v>
          </cell>
        </row>
        <row r="659">
          <cell r="A659" t="str">
            <v>ORD-2025-10658</v>
          </cell>
          <cell r="B659" t="str">
            <v>08/07/2025</v>
          </cell>
          <cell r="C659" t="str">
            <v>2025-08-10</v>
          </cell>
          <cell r="D659" t="str">
            <v>CUST-7787</v>
          </cell>
          <cell r="E659" t="str">
            <v>Aditi Sen</v>
          </cell>
          <cell r="F659" t="str">
            <v>Home Office</v>
          </cell>
          <cell r="G659" t="str">
            <v>East</v>
          </cell>
          <cell r="H659" t="str">
            <v>Bihar</v>
          </cell>
          <cell r="I659" t="str">
            <v>Patna</v>
          </cell>
          <cell r="J659" t="str">
            <v>Office Supplies</v>
          </cell>
          <cell r="K659" t="str">
            <v>Storage</v>
          </cell>
          <cell r="L659" t="str">
            <v>Eco Storage 316</v>
          </cell>
          <cell r="M659" t="str">
            <v>Second Class</v>
          </cell>
          <cell r="N659">
            <v>1</v>
          </cell>
          <cell r="O659">
            <v>2541.25</v>
          </cell>
          <cell r="P659">
            <v>0.2</v>
          </cell>
          <cell r="S659">
            <v>741.59</v>
          </cell>
          <cell r="T659" t="str">
            <v>Paid</v>
          </cell>
          <cell r="U659" t="str">
            <v>Completed</v>
          </cell>
        </row>
        <row r="660">
          <cell r="A660" t="str">
            <v>ORD-2025-10659</v>
          </cell>
          <cell r="B660" t="str">
            <v>2025-06-09</v>
          </cell>
          <cell r="C660" t="str">
            <v>06/12/2025</v>
          </cell>
          <cell r="D660" t="str">
            <v>CUST-9074</v>
          </cell>
          <cell r="E660" t="str">
            <v>Sneha Kapoor</v>
          </cell>
          <cell r="F660" t="str">
            <v>Consumer</v>
          </cell>
          <cell r="H660" t="str">
            <v>Bihar</v>
          </cell>
          <cell r="I660" t="str">
            <v>Patna</v>
          </cell>
          <cell r="J660" t="str">
            <v>Office Supplies</v>
          </cell>
          <cell r="K660" t="str">
            <v>Art</v>
          </cell>
          <cell r="L660" t="str">
            <v>Eco Art 763</v>
          </cell>
          <cell r="M660" t="str">
            <v>First Class</v>
          </cell>
          <cell r="N660">
            <v>7</v>
          </cell>
          <cell r="O660">
            <v>2852.42</v>
          </cell>
          <cell r="P660">
            <v>0</v>
          </cell>
          <cell r="S660">
            <v>7276.11</v>
          </cell>
          <cell r="T660" t="str">
            <v>Refunded</v>
          </cell>
          <cell r="U660" t="str">
            <v>Cancelled</v>
          </cell>
        </row>
        <row r="661">
          <cell r="A661" t="str">
            <v>ORD-2025-10660</v>
          </cell>
          <cell r="B661" t="str">
            <v>21-01-2025</v>
          </cell>
          <cell r="C661" t="str">
            <v>2025-01-22</v>
          </cell>
          <cell r="D661" t="str">
            <v>CUST-8330</v>
          </cell>
          <cell r="E661" t="str">
            <v>Diya Patel</v>
          </cell>
          <cell r="F661" t="str">
            <v>Corporate</v>
          </cell>
          <cell r="G661" t="str">
            <v>South</v>
          </cell>
          <cell r="H661" t="str">
            <v>Karnataka</v>
          </cell>
          <cell r="I661" t="str">
            <v>Bengaluru</v>
          </cell>
          <cell r="J661" t="str">
            <v>Technology</v>
          </cell>
          <cell r="K661" t="str">
            <v>Phones</v>
          </cell>
          <cell r="L661" t="str">
            <v>Pro Phones 356</v>
          </cell>
          <cell r="M661" t="str">
            <v>Second Class</v>
          </cell>
          <cell r="N661">
            <v>2</v>
          </cell>
          <cell r="O661">
            <v>444.31</v>
          </cell>
          <cell r="P661">
            <v>0.2</v>
          </cell>
          <cell r="S661">
            <v>197.02</v>
          </cell>
          <cell r="T661" t="str">
            <v>Refunded</v>
          </cell>
          <cell r="U661" t="str">
            <v>Cancelled</v>
          </cell>
        </row>
        <row r="662">
          <cell r="A662" t="str">
            <v>ORD-2025-10661</v>
          </cell>
          <cell r="B662" t="str">
            <v>07/15/2025</v>
          </cell>
          <cell r="C662" t="str">
            <v>15-07-2025</v>
          </cell>
          <cell r="D662" t="str">
            <v>CUST-5638</v>
          </cell>
          <cell r="E662" t="str">
            <v>Arjun Bose</v>
          </cell>
          <cell r="F662" t="str">
            <v>Small Business</v>
          </cell>
          <cell r="G662" t="str">
            <v>East</v>
          </cell>
          <cell r="H662" t="str">
            <v>Jharkhand</v>
          </cell>
          <cell r="I662" t="str">
            <v>Ranchi</v>
          </cell>
          <cell r="J662" t="str">
            <v>Technology</v>
          </cell>
          <cell r="K662" t="str">
            <v>Phones</v>
          </cell>
          <cell r="L662" t="str">
            <v>Basic Phones 865</v>
          </cell>
          <cell r="M662" t="str">
            <v>Same Day</v>
          </cell>
          <cell r="N662">
            <v>4</v>
          </cell>
          <cell r="O662">
            <v>4442.91</v>
          </cell>
          <cell r="P662">
            <v>0.1</v>
          </cell>
          <cell r="S662">
            <v>6770.2</v>
          </cell>
          <cell r="T662" t="str">
            <v>Paid</v>
          </cell>
          <cell r="U662" t="str">
            <v>Completed</v>
          </cell>
        </row>
        <row r="663">
          <cell r="A663" t="str">
            <v>ORD-2024-10662</v>
          </cell>
          <cell r="B663" t="str">
            <v>17-05-2024</v>
          </cell>
          <cell r="C663" t="str">
            <v>2024-05-22</v>
          </cell>
          <cell r="D663" t="str">
            <v>CUST-4537</v>
          </cell>
          <cell r="E663" t="str">
            <v>Sneha Kapoor</v>
          </cell>
          <cell r="F663" t="str">
            <v>Consumer</v>
          </cell>
          <cell r="G663" t="str">
            <v>South</v>
          </cell>
          <cell r="H663" t="str">
            <v>Andhra Pradesh</v>
          </cell>
          <cell r="I663" t="str">
            <v>Vijayawada</v>
          </cell>
          <cell r="J663" t="str">
            <v>Technology</v>
          </cell>
          <cell r="K663" t="str">
            <v>Machines</v>
          </cell>
          <cell r="L663" t="str">
            <v>Max Machines 595</v>
          </cell>
          <cell r="M663" t="str">
            <v>Second Class</v>
          </cell>
          <cell r="N663">
            <v>7</v>
          </cell>
          <cell r="O663">
            <v>232.5</v>
          </cell>
          <cell r="P663">
            <v>0</v>
          </cell>
          <cell r="S663">
            <v>687.6</v>
          </cell>
          <cell r="T663" t="str">
            <v>Paid</v>
          </cell>
          <cell r="U663" t="str">
            <v>Completed</v>
          </cell>
        </row>
        <row r="664">
          <cell r="A664" t="str">
            <v>ORD-2024-10663</v>
          </cell>
          <cell r="B664" t="str">
            <v>2024-01-14</v>
          </cell>
          <cell r="C664" t="str">
            <v>18-01-2024</v>
          </cell>
          <cell r="D664" t="str">
            <v>CUST-3181</v>
          </cell>
          <cell r="E664" t="str">
            <v>Mira Das</v>
          </cell>
          <cell r="F664" t="str">
            <v>Home Office</v>
          </cell>
          <cell r="G664" t="str">
            <v>West</v>
          </cell>
          <cell r="H664" t="str">
            <v>Rajasthan</v>
          </cell>
          <cell r="I664" t="str">
            <v>Udaipur</v>
          </cell>
          <cell r="J664" t="str">
            <v>Technology</v>
          </cell>
          <cell r="K664" t="str">
            <v>Machines</v>
          </cell>
          <cell r="L664" t="str">
            <v>Elite Machines 367</v>
          </cell>
          <cell r="M664" t="str">
            <v>Same Day</v>
          </cell>
          <cell r="N664">
            <v>6</v>
          </cell>
          <cell r="O664">
            <v>1784.8</v>
          </cell>
          <cell r="P664">
            <v>0.1</v>
          </cell>
          <cell r="S664">
            <v>2308.63</v>
          </cell>
          <cell r="T664" t="str">
            <v>Paid</v>
          </cell>
          <cell r="U664" t="str">
            <v>Completed</v>
          </cell>
        </row>
        <row r="665">
          <cell r="A665" t="str">
            <v>ORD-2024-10664</v>
          </cell>
          <cell r="B665" t="str">
            <v>05/02/2024</v>
          </cell>
          <cell r="C665" t="str">
            <v>2024-05-08</v>
          </cell>
          <cell r="D665" t="str">
            <v>CUST-1015</v>
          </cell>
          <cell r="E665" t="str">
            <v>Rahul Verma</v>
          </cell>
          <cell r="F665" t="str">
            <v>Home Office</v>
          </cell>
          <cell r="G665" t="str">
            <v>East</v>
          </cell>
          <cell r="H665" t="str">
            <v>Jharkhand</v>
          </cell>
          <cell r="I665" t="str">
            <v>Ranchi</v>
          </cell>
          <cell r="J665" t="str">
            <v>Technology</v>
          </cell>
          <cell r="K665" t="str">
            <v>Copiers</v>
          </cell>
          <cell r="L665" t="str">
            <v>Basic Copiers 787</v>
          </cell>
          <cell r="M665" t="str">
            <v>Second Class</v>
          </cell>
          <cell r="N665">
            <v>2</v>
          </cell>
          <cell r="O665">
            <v>3185.01</v>
          </cell>
          <cell r="P665">
            <v>-0.24</v>
          </cell>
          <cell r="S665">
            <v>1624.54</v>
          </cell>
          <cell r="T665" t="str">
            <v>Paid</v>
          </cell>
          <cell r="U665" t="str">
            <v>Completed</v>
          </cell>
        </row>
        <row r="666">
          <cell r="A666" t="str">
            <v>ORD-2024-10665</v>
          </cell>
          <cell r="B666" t="str">
            <v>07 Dec 2024</v>
          </cell>
          <cell r="C666" t="str">
            <v>10 Dec 2024</v>
          </cell>
          <cell r="D666" t="str">
            <v>CUST-2709</v>
          </cell>
          <cell r="E666" t="str">
            <v>Mira Das</v>
          </cell>
          <cell r="F666" t="str">
            <v>Home Office</v>
          </cell>
          <cell r="G666" t="str">
            <v>South</v>
          </cell>
          <cell r="H666" t="str">
            <v>Telangana</v>
          </cell>
          <cell r="I666" t="str">
            <v>Hyderabad</v>
          </cell>
          <cell r="J666" t="str">
            <v>Technology</v>
          </cell>
          <cell r="K666" t="str">
            <v>Accessories</v>
          </cell>
          <cell r="L666" t="str">
            <v>Max Accessories 903</v>
          </cell>
          <cell r="M666" t="str">
            <v>Standard Class</v>
          </cell>
          <cell r="N666">
            <v>1</v>
          </cell>
          <cell r="O666">
            <v>1908.83</v>
          </cell>
          <cell r="P666">
            <v>0.2</v>
          </cell>
          <cell r="S666">
            <v>471.17</v>
          </cell>
          <cell r="T666" t="str">
            <v>Paid</v>
          </cell>
          <cell r="U666" t="str">
            <v>Completed</v>
          </cell>
        </row>
        <row r="667">
          <cell r="A667" t="str">
            <v>ORD-2025-10666</v>
          </cell>
          <cell r="B667" t="str">
            <v>2025-01-13</v>
          </cell>
          <cell r="C667" t="str">
            <v>01/13/2025</v>
          </cell>
          <cell r="D667" t="str">
            <v>CUST-1197</v>
          </cell>
          <cell r="E667" t="str">
            <v>Rahul Verma</v>
          </cell>
          <cell r="F667" t="str">
            <v>Home Office</v>
          </cell>
          <cell r="G667" t="str">
            <v>West</v>
          </cell>
          <cell r="H667" t="str">
            <v>Gujarat</v>
          </cell>
          <cell r="I667" t="str">
            <v>Ahmedabad</v>
          </cell>
          <cell r="J667" t="str">
            <v>Office Supplies</v>
          </cell>
          <cell r="K667" t="str">
            <v>Art</v>
          </cell>
          <cell r="L667" t="str">
            <v>Max Art 660</v>
          </cell>
          <cell r="M667" t="str">
            <v>Standard Class</v>
          </cell>
          <cell r="N667">
            <v>3</v>
          </cell>
          <cell r="O667">
            <v>2110.52</v>
          </cell>
          <cell r="P667">
            <v>0.1</v>
          </cell>
          <cell r="S667">
            <v>2057.5100000000002</v>
          </cell>
          <cell r="T667" t="str">
            <v>Failed</v>
          </cell>
          <cell r="U667" t="str">
            <v>Cancelled</v>
          </cell>
        </row>
        <row r="668">
          <cell r="A668" t="str">
            <v>ORD-2024-10667</v>
          </cell>
          <cell r="B668" t="str">
            <v>21 Jun 2024</v>
          </cell>
          <cell r="C668" t="str">
            <v>06/26/2024</v>
          </cell>
          <cell r="D668" t="str">
            <v>CUST-7758</v>
          </cell>
          <cell r="E668" t="str">
            <v>Rohan Mehta</v>
          </cell>
          <cell r="F668" t="str">
            <v>Small Business</v>
          </cell>
          <cell r="G668" t="str">
            <v>North</v>
          </cell>
          <cell r="H668" t="str">
            <v>Punjab</v>
          </cell>
          <cell r="I668" t="str">
            <v>Ludhiana</v>
          </cell>
          <cell r="J668" t="str">
            <v>Technology</v>
          </cell>
          <cell r="K668" t="str">
            <v>Copiers</v>
          </cell>
          <cell r="L668" t="str">
            <v>Classic Copiers 908</v>
          </cell>
          <cell r="M668" t="str">
            <v>Same Day</v>
          </cell>
          <cell r="N668">
            <v>1</v>
          </cell>
          <cell r="O668">
            <v>279.83</v>
          </cell>
          <cell r="P668">
            <v>0.05</v>
          </cell>
          <cell r="S668">
            <v>42.35</v>
          </cell>
          <cell r="T668" t="str">
            <v>Paid</v>
          </cell>
          <cell r="U668" t="str">
            <v>Completed</v>
          </cell>
        </row>
        <row r="669">
          <cell r="A669" t="str">
            <v>ORD-2025-10668</v>
          </cell>
          <cell r="B669" t="str">
            <v>20-05-2025</v>
          </cell>
          <cell r="C669" t="str">
            <v>27-05-2025</v>
          </cell>
          <cell r="D669" t="str">
            <v>CUST-3912</v>
          </cell>
          <cell r="E669" t="str">
            <v>Diya Patel</v>
          </cell>
          <cell r="F669" t="str">
            <v>Small Business</v>
          </cell>
          <cell r="G669" t="str">
            <v>East</v>
          </cell>
          <cell r="H669" t="str">
            <v>Bihar</v>
          </cell>
          <cell r="I669" t="str">
            <v>Patna</v>
          </cell>
          <cell r="J669" t="str">
            <v>Technology</v>
          </cell>
          <cell r="K669" t="str">
            <v>Machines</v>
          </cell>
          <cell r="L669" t="str">
            <v>Pro Machines 706</v>
          </cell>
          <cell r="M669" t="str">
            <v>Standard Class</v>
          </cell>
          <cell r="N669">
            <v>1</v>
          </cell>
          <cell r="O669">
            <v>3959.14</v>
          </cell>
          <cell r="P669">
            <v>0</v>
          </cell>
          <cell r="S669">
            <v>719.61</v>
          </cell>
          <cell r="T669" t="str">
            <v>Pending</v>
          </cell>
          <cell r="U669" t="str">
            <v>Returned</v>
          </cell>
        </row>
        <row r="670">
          <cell r="A670" t="str">
            <v>ORD-2024-10669</v>
          </cell>
          <cell r="B670" t="str">
            <v>11/21/2024</v>
          </cell>
          <cell r="C670" t="str">
            <v>23 Nov 2024</v>
          </cell>
          <cell r="D670" t="str">
            <v>CUST-4190</v>
          </cell>
          <cell r="E670" t="str">
            <v>Mira Das</v>
          </cell>
          <cell r="F670" t="str">
            <v>Corporate</v>
          </cell>
          <cell r="G670" t="str">
            <v>West</v>
          </cell>
          <cell r="H670" t="str">
            <v>Gujarat</v>
          </cell>
          <cell r="I670" t="str">
            <v>Ahmedabad</v>
          </cell>
          <cell r="J670" t="str">
            <v>Office Supplies</v>
          </cell>
          <cell r="K670" t="str">
            <v>Paper</v>
          </cell>
          <cell r="L670" t="str">
            <v>Pro Paper 187</v>
          </cell>
          <cell r="M670" t="str">
            <v>Second Class</v>
          </cell>
          <cell r="N670">
            <v>5</v>
          </cell>
          <cell r="O670">
            <v>600.46</v>
          </cell>
          <cell r="P670">
            <v>0.2</v>
          </cell>
          <cell r="S670">
            <v>528.73</v>
          </cell>
          <cell r="T670" t="str">
            <v>Paid</v>
          </cell>
          <cell r="U670" t="str">
            <v>Completed</v>
          </cell>
        </row>
        <row r="671">
          <cell r="A671" t="str">
            <v>ORD-2024-10670</v>
          </cell>
          <cell r="B671" t="str">
            <v>2024-03-24</v>
          </cell>
          <cell r="C671" t="str">
            <v>01 Apr 2024</v>
          </cell>
          <cell r="D671" t="str">
            <v>CUST-7568</v>
          </cell>
          <cell r="E671" t="str">
            <v>Ananya Rao</v>
          </cell>
          <cell r="F671" t="str">
            <v>Home Office</v>
          </cell>
          <cell r="G671" t="str">
            <v>West</v>
          </cell>
          <cell r="H671" t="str">
            <v>Maharashtra</v>
          </cell>
          <cell r="I671" t="str">
            <v>Mumbai</v>
          </cell>
          <cell r="J671" t="str">
            <v>Furniture</v>
          </cell>
          <cell r="K671" t="str">
            <v>Tables</v>
          </cell>
          <cell r="L671" t="str">
            <v>Classic Tables 606</v>
          </cell>
          <cell r="M671" t="str">
            <v>Second Class</v>
          </cell>
          <cell r="N671">
            <v>4</v>
          </cell>
          <cell r="O671">
            <v>1700.72</v>
          </cell>
          <cell r="P671">
            <v>0.25</v>
          </cell>
          <cell r="S671">
            <v>1875.71</v>
          </cell>
          <cell r="T671" t="str">
            <v>Paid</v>
          </cell>
          <cell r="U671" t="str">
            <v>Completed</v>
          </cell>
        </row>
        <row r="672">
          <cell r="A672" t="str">
            <v>ORD-2025-10671</v>
          </cell>
          <cell r="B672" t="str">
            <v>02/02/2025</v>
          </cell>
          <cell r="C672" t="str">
            <v>06 Feb 2025</v>
          </cell>
          <cell r="D672" t="str">
            <v>CUST-5604</v>
          </cell>
          <cell r="E672" t="str">
            <v>Sneha Kapoor</v>
          </cell>
          <cell r="F672" t="str">
            <v>Corporate</v>
          </cell>
          <cell r="G672" t="str">
            <v>North</v>
          </cell>
          <cell r="H672" t="str">
            <v>Uttar Pradesh</v>
          </cell>
          <cell r="I672" t="str">
            <v>Noida</v>
          </cell>
          <cell r="J672" t="str">
            <v>Furniture</v>
          </cell>
          <cell r="K672" t="str">
            <v>Tables</v>
          </cell>
          <cell r="L672" t="str">
            <v>Smart Tables 835</v>
          </cell>
          <cell r="M672" t="str">
            <v>Standard Class</v>
          </cell>
          <cell r="N672">
            <v>8</v>
          </cell>
          <cell r="O672">
            <v>857.86</v>
          </cell>
          <cell r="P672">
            <v>0.1</v>
          </cell>
          <cell r="S672">
            <v>2615.63</v>
          </cell>
          <cell r="T672" t="str">
            <v>Paid</v>
          </cell>
          <cell r="U672" t="str">
            <v>Completed</v>
          </cell>
        </row>
        <row r="673">
          <cell r="A673" t="str">
            <v>ORD-2024-10672</v>
          </cell>
          <cell r="B673" t="str">
            <v>2024-03-22</v>
          </cell>
          <cell r="C673" t="str">
            <v>27-03-2024</v>
          </cell>
          <cell r="D673" t="str">
            <v>CUST-3293</v>
          </cell>
          <cell r="E673" t="str">
            <v>Aditi Sen</v>
          </cell>
          <cell r="F673" t="str">
            <v>Home Office</v>
          </cell>
          <cell r="G673" t="str">
            <v>West</v>
          </cell>
          <cell r="H673" t="str">
            <v>Goa</v>
          </cell>
          <cell r="I673" t="str">
            <v>Panaji</v>
          </cell>
          <cell r="J673" t="str">
            <v>Technology</v>
          </cell>
          <cell r="K673" t="str">
            <v>COPIERS</v>
          </cell>
          <cell r="L673" t="str">
            <v>Classic Copiers 583</v>
          </cell>
          <cell r="M673" t="str">
            <v>Second Class</v>
          </cell>
          <cell r="N673">
            <v>9</v>
          </cell>
          <cell r="O673">
            <v>3649.51</v>
          </cell>
          <cell r="P673">
            <v>0.05</v>
          </cell>
          <cell r="S673">
            <v>13465.18</v>
          </cell>
          <cell r="T673" t="str">
            <v>Paid</v>
          </cell>
          <cell r="U673" t="str">
            <v>Completed</v>
          </cell>
        </row>
        <row r="674">
          <cell r="A674" t="str">
            <v>ORD-2024-10673</v>
          </cell>
          <cell r="B674" t="str">
            <v>2024-09-04</v>
          </cell>
          <cell r="C674" t="str">
            <v>2024-09-05</v>
          </cell>
          <cell r="D674" t="str">
            <v>CUST-8180</v>
          </cell>
          <cell r="E674" t="str">
            <v>Aditi Sen</v>
          </cell>
          <cell r="F674" t="str">
            <v>Corporate</v>
          </cell>
          <cell r="G674" t="str">
            <v>West</v>
          </cell>
          <cell r="H674" t="str">
            <v>Madhya Pradesh</v>
          </cell>
          <cell r="I674" t="str">
            <v>Indore</v>
          </cell>
          <cell r="J674" t="str">
            <v>Furniture</v>
          </cell>
          <cell r="K674" t="str">
            <v>Chairs</v>
          </cell>
          <cell r="L674" t="str">
            <v>Classic Chairs 460</v>
          </cell>
          <cell r="M674" t="str">
            <v>Standard Class</v>
          </cell>
          <cell r="N674">
            <v>5</v>
          </cell>
          <cell r="O674">
            <v>2528.5300000000002</v>
          </cell>
          <cell r="P674">
            <v>0.05</v>
          </cell>
          <cell r="S674">
            <v>4145.91</v>
          </cell>
          <cell r="T674" t="str">
            <v>Paid</v>
          </cell>
          <cell r="U674" t="str">
            <v>Returned</v>
          </cell>
        </row>
        <row r="675">
          <cell r="A675" t="str">
            <v>ORD-2025-10674</v>
          </cell>
          <cell r="B675" t="str">
            <v>2025-02-13</v>
          </cell>
          <cell r="C675" t="str">
            <v>16 Feb 2025</v>
          </cell>
          <cell r="D675" t="str">
            <v>CUST-2807</v>
          </cell>
          <cell r="E675" t="str">
            <v>Arjun Bose</v>
          </cell>
          <cell r="F675" t="str">
            <v>Small Business</v>
          </cell>
          <cell r="G675" t="str">
            <v>West</v>
          </cell>
          <cell r="H675" t="str">
            <v>Rajasthan</v>
          </cell>
          <cell r="I675" t="str">
            <v>Udaipur</v>
          </cell>
          <cell r="J675" t="str">
            <v>Furniture</v>
          </cell>
          <cell r="K675" t="str">
            <v>Bookcases</v>
          </cell>
          <cell r="L675" t="str">
            <v>Classic Bookcases 488</v>
          </cell>
          <cell r="M675" t="str">
            <v>Second Class</v>
          </cell>
          <cell r="N675">
            <v>4</v>
          </cell>
          <cell r="O675">
            <v>4072.9</v>
          </cell>
          <cell r="P675">
            <v>0.15</v>
          </cell>
          <cell r="S675">
            <v>5376.08</v>
          </cell>
          <cell r="T675" t="str">
            <v>Paid</v>
          </cell>
          <cell r="U675" t="str">
            <v>Completed</v>
          </cell>
        </row>
        <row r="676">
          <cell r="A676" t="str">
            <v>ORD-2024-10675</v>
          </cell>
          <cell r="B676" t="str">
            <v>2024-05-18</v>
          </cell>
          <cell r="C676" t="str">
            <v>2024-05-21</v>
          </cell>
          <cell r="D676" t="str">
            <v>CUST-4081</v>
          </cell>
          <cell r="E676" t="str">
            <v>Vikram Iyer</v>
          </cell>
          <cell r="F676" t="str">
            <v>Corporate</v>
          </cell>
          <cell r="G676" t="str">
            <v>East</v>
          </cell>
          <cell r="H676" t="str">
            <v>Jharkhand</v>
          </cell>
          <cell r="I676" t="str">
            <v>Ranchi</v>
          </cell>
          <cell r="J676" t="str">
            <v>Technology</v>
          </cell>
          <cell r="K676" t="str">
            <v>Accessories</v>
          </cell>
          <cell r="L676" t="str">
            <v>Basic Accessories 944</v>
          </cell>
          <cell r="M676" t="str">
            <v>Second Class</v>
          </cell>
          <cell r="N676">
            <v>1</v>
          </cell>
          <cell r="O676">
            <v>1033.71</v>
          </cell>
          <cell r="P676">
            <v>0</v>
          </cell>
          <cell r="S676">
            <v>402.89</v>
          </cell>
          <cell r="T676" t="str">
            <v>Pending</v>
          </cell>
          <cell r="U676" t="str">
            <v>Returned</v>
          </cell>
        </row>
        <row r="677">
          <cell r="A677" t="str">
            <v>ORD-2025-10676</v>
          </cell>
          <cell r="B677" t="str">
            <v>07-06-2025</v>
          </cell>
          <cell r="C677" t="str">
            <v>06/10/2025</v>
          </cell>
          <cell r="D677" t="str">
            <v>CUST-5061</v>
          </cell>
          <cell r="E677" t="str">
            <v>Aarav Sharma</v>
          </cell>
          <cell r="F677" t="str">
            <v>Consumer</v>
          </cell>
          <cell r="G677" t="str">
            <v>North</v>
          </cell>
          <cell r="H677" t="str">
            <v>Rajasthan</v>
          </cell>
          <cell r="I677" t="str">
            <v>Jaipur</v>
          </cell>
          <cell r="J677" t="str">
            <v>Furniture</v>
          </cell>
          <cell r="K677" t="str">
            <v>Furnishings</v>
          </cell>
          <cell r="L677" t="str">
            <v>Eco Furnishings 217</v>
          </cell>
          <cell r="M677" t="str">
            <v>Same Day</v>
          </cell>
          <cell r="N677">
            <v>3</v>
          </cell>
          <cell r="O677">
            <v>963.26</v>
          </cell>
          <cell r="P677">
            <v>0</v>
          </cell>
          <cell r="S677">
            <v>1078.55</v>
          </cell>
          <cell r="T677" t="str">
            <v>Paid</v>
          </cell>
          <cell r="U677" t="str">
            <v>Completed</v>
          </cell>
        </row>
        <row r="678">
          <cell r="A678" t="str">
            <v>ORD-2025-10677</v>
          </cell>
          <cell r="B678" t="str">
            <v>09/11/2025</v>
          </cell>
          <cell r="C678" t="str">
            <v>09/18/2025</v>
          </cell>
          <cell r="D678" t="str">
            <v>CUST-9212</v>
          </cell>
          <cell r="E678" t="str">
            <v>Rahul Verma</v>
          </cell>
          <cell r="F678" t="str">
            <v>Small Business</v>
          </cell>
          <cell r="G678" t="str">
            <v>North</v>
          </cell>
          <cell r="H678" t="str">
            <v>Delhi</v>
          </cell>
          <cell r="I678" t="str">
            <v>New Delhi</v>
          </cell>
          <cell r="J678" t="str">
            <v>Technology</v>
          </cell>
          <cell r="K678" t="str">
            <v>Phones</v>
          </cell>
          <cell r="L678" t="str">
            <v>Smart Phones 967</v>
          </cell>
          <cell r="M678" t="str">
            <v>Same Day</v>
          </cell>
          <cell r="N678">
            <v>7</v>
          </cell>
          <cell r="O678">
            <v>3411.21</v>
          </cell>
          <cell r="P678">
            <v>0.15</v>
          </cell>
          <cell r="S678">
            <v>5375.83</v>
          </cell>
          <cell r="T678" t="str">
            <v>Paid</v>
          </cell>
          <cell r="U678" t="str">
            <v>Completed</v>
          </cell>
        </row>
        <row r="679">
          <cell r="A679" t="str">
            <v>ORD-2024-10678</v>
          </cell>
          <cell r="B679" t="str">
            <v>2024-06-22</v>
          </cell>
          <cell r="C679" t="str">
            <v>27-06-2024</v>
          </cell>
          <cell r="D679" t="str">
            <v>CUST-4655</v>
          </cell>
          <cell r="E679" t="str">
            <v>Isha Nair</v>
          </cell>
          <cell r="F679" t="str">
            <v>Home Office</v>
          </cell>
          <cell r="G679" t="str">
            <v>South</v>
          </cell>
          <cell r="H679" t="str">
            <v>Karnataka</v>
          </cell>
          <cell r="I679" t="str">
            <v>Bengaluru</v>
          </cell>
          <cell r="J679" t="str">
            <v>Furniture</v>
          </cell>
          <cell r="K679" t="str">
            <v>Chairs</v>
          </cell>
          <cell r="L679" t="str">
            <v>Smart Chairs 610</v>
          </cell>
          <cell r="M679" t="str">
            <v>Same Day</v>
          </cell>
          <cell r="N679">
            <v>7</v>
          </cell>
          <cell r="O679">
            <v>2623.48</v>
          </cell>
          <cell r="P679">
            <v>0</v>
          </cell>
          <cell r="S679">
            <v>2918.55</v>
          </cell>
          <cell r="T679" t="str">
            <v>Paid</v>
          </cell>
          <cell r="U679" t="str">
            <v>Completed</v>
          </cell>
        </row>
        <row r="680">
          <cell r="A680" t="str">
            <v>ORD-2024-10679</v>
          </cell>
          <cell r="B680" t="str">
            <v>24-11-2024</v>
          </cell>
          <cell r="C680" t="str">
            <v>12/01/2024</v>
          </cell>
          <cell r="D680" t="str">
            <v>CUST-1674</v>
          </cell>
          <cell r="E680" t="str">
            <v>Kabir Singh</v>
          </cell>
          <cell r="F680" t="str">
            <v>Corporate</v>
          </cell>
          <cell r="G680" t="str">
            <v>South</v>
          </cell>
          <cell r="H680" t="str">
            <v>Karnataka</v>
          </cell>
          <cell r="I680" t="str">
            <v>Bengaluru</v>
          </cell>
          <cell r="J680" t="str">
            <v>Furniture</v>
          </cell>
          <cell r="K680" t="str">
            <v>Tables</v>
          </cell>
          <cell r="L680" t="str">
            <v>Prime Tables 123</v>
          </cell>
          <cell r="M680" t="str">
            <v>Second Class</v>
          </cell>
          <cell r="N680">
            <v>9</v>
          </cell>
          <cell r="O680">
            <v>2763.61</v>
          </cell>
          <cell r="P680">
            <v>0.15</v>
          </cell>
          <cell r="S680">
            <v>9465.2900000000009</v>
          </cell>
          <cell r="T680" t="str">
            <v>Paid</v>
          </cell>
          <cell r="U680" t="str">
            <v>Completed</v>
          </cell>
        </row>
        <row r="681">
          <cell r="A681" t="str">
            <v>ORD-2025-10680</v>
          </cell>
          <cell r="B681" t="str">
            <v>16-08-2025</v>
          </cell>
          <cell r="C681" t="str">
            <v>23-08-2025</v>
          </cell>
          <cell r="D681" t="str">
            <v>CUST-2897</v>
          </cell>
          <cell r="E681" t="str">
            <v>Rohan Mehta</v>
          </cell>
          <cell r="F681" t="str">
            <v>Corporate</v>
          </cell>
          <cell r="G681" t="str">
            <v>North</v>
          </cell>
          <cell r="H681" t="str">
            <v>Punjab</v>
          </cell>
          <cell r="I681" t="str">
            <v>Ludhiana</v>
          </cell>
          <cell r="J681" t="str">
            <v>Technology</v>
          </cell>
          <cell r="K681" t="str">
            <v>Copiers</v>
          </cell>
          <cell r="L681" t="str">
            <v>Smart Copiers 579</v>
          </cell>
          <cell r="M681" t="str">
            <v>Same Day</v>
          </cell>
          <cell r="N681">
            <v>4</v>
          </cell>
          <cell r="O681">
            <v>1410.57</v>
          </cell>
          <cell r="P681" t="str">
            <v>70%</v>
          </cell>
          <cell r="S681">
            <v>1478.66</v>
          </cell>
          <cell r="T681" t="str">
            <v>Refunded</v>
          </cell>
          <cell r="U681" t="str">
            <v>Cancelled</v>
          </cell>
        </row>
        <row r="682">
          <cell r="A682" t="str">
            <v>ORD-2024-10681</v>
          </cell>
          <cell r="B682" t="str">
            <v>29 May 2024</v>
          </cell>
          <cell r="C682" t="str">
            <v>05 Jun 2024</v>
          </cell>
          <cell r="D682" t="str">
            <v>CUST-1136</v>
          </cell>
          <cell r="E682" t="str">
            <v>Kabir Singh</v>
          </cell>
          <cell r="F682" t="str">
            <v>Corporate</v>
          </cell>
          <cell r="G682" t="str">
            <v>South</v>
          </cell>
          <cell r="H682" t="str">
            <v>Tamil Nadu</v>
          </cell>
          <cell r="I682" t="str">
            <v>Chennai</v>
          </cell>
          <cell r="J682" t="str">
            <v>Technology</v>
          </cell>
          <cell r="K682" t="str">
            <v>Accessories</v>
          </cell>
          <cell r="L682" t="str">
            <v>Eco Accessories 658</v>
          </cell>
          <cell r="M682" t="str">
            <v>First Class</v>
          </cell>
          <cell r="N682">
            <v>4</v>
          </cell>
          <cell r="O682">
            <v>3700.24</v>
          </cell>
          <cell r="P682">
            <v>0</v>
          </cell>
          <cell r="S682">
            <v>2752.57</v>
          </cell>
          <cell r="T682" t="str">
            <v>Paid</v>
          </cell>
          <cell r="U682" t="str">
            <v>Completed</v>
          </cell>
        </row>
        <row r="683">
          <cell r="A683" t="str">
            <v>ORD-2024-10682</v>
          </cell>
          <cell r="B683" t="str">
            <v>07/04/2024</v>
          </cell>
          <cell r="C683" t="str">
            <v>2024-07-10</v>
          </cell>
          <cell r="D683" t="str">
            <v>CUST-1376</v>
          </cell>
          <cell r="E683" t="str">
            <v>Vikram Iyer</v>
          </cell>
          <cell r="F683" t="str">
            <v>Corporate</v>
          </cell>
          <cell r="G683" t="str">
            <v>North</v>
          </cell>
          <cell r="H683" t="str">
            <v>Delhi</v>
          </cell>
          <cell r="I683" t="str">
            <v>New Delhi</v>
          </cell>
          <cell r="J683" t="str">
            <v>Furniture</v>
          </cell>
          <cell r="K683" t="str">
            <v>Tables</v>
          </cell>
          <cell r="L683" t="str">
            <v>Smart Tables 777</v>
          </cell>
          <cell r="M683" t="str">
            <v>Second Class</v>
          </cell>
          <cell r="N683">
            <v>5</v>
          </cell>
          <cell r="O683">
            <v>1200.27</v>
          </cell>
          <cell r="P683">
            <v>0</v>
          </cell>
          <cell r="S683">
            <v>1818.36</v>
          </cell>
          <cell r="T683" t="str">
            <v>Paid</v>
          </cell>
          <cell r="U683" t="str">
            <v>Cancelled</v>
          </cell>
        </row>
        <row r="684">
          <cell r="A684" t="str">
            <v>ORD-2025-10683</v>
          </cell>
          <cell r="B684" t="str">
            <v>05 Feb 2025</v>
          </cell>
          <cell r="C684" t="str">
            <v>05-02-2025</v>
          </cell>
          <cell r="D684" t="str">
            <v>CUST-1553</v>
          </cell>
          <cell r="E684" t="str">
            <v>ananya rao</v>
          </cell>
          <cell r="F684" t="str">
            <v>Corporate</v>
          </cell>
          <cell r="G684" t="str">
            <v>North</v>
          </cell>
          <cell r="H684" t="str">
            <v>Haryana</v>
          </cell>
          <cell r="I684" t="str">
            <v>Gurugram</v>
          </cell>
          <cell r="J684" t="str">
            <v>Office Supplies</v>
          </cell>
          <cell r="K684" t="str">
            <v>Storage</v>
          </cell>
          <cell r="L684" t="str">
            <v>Eco Storage 861</v>
          </cell>
          <cell r="M684" t="str">
            <v>Same Day</v>
          </cell>
          <cell r="N684">
            <v>3</v>
          </cell>
          <cell r="O684">
            <v>2590.7800000000002</v>
          </cell>
          <cell r="S684">
            <v>3270.06</v>
          </cell>
          <cell r="T684" t="str">
            <v>Paid</v>
          </cell>
          <cell r="U684" t="str">
            <v>Completed</v>
          </cell>
        </row>
        <row r="685">
          <cell r="A685" t="str">
            <v>ORD-2025-10684</v>
          </cell>
          <cell r="B685" t="str">
            <v>2025-07-20</v>
          </cell>
          <cell r="C685" t="str">
            <v>24-07-2025</v>
          </cell>
          <cell r="D685" t="str">
            <v>CUST-5704</v>
          </cell>
          <cell r="E685" t="str">
            <v>Arjun Bose</v>
          </cell>
          <cell r="F685" t="str">
            <v>Small Business</v>
          </cell>
          <cell r="G685" t="str">
            <v>South</v>
          </cell>
          <cell r="H685" t="str">
            <v>Telangana</v>
          </cell>
          <cell r="I685" t="str">
            <v>Hyderabad</v>
          </cell>
          <cell r="J685" t="str">
            <v>Furniture</v>
          </cell>
          <cell r="K685" t="str">
            <v>Furnishings</v>
          </cell>
          <cell r="L685" t="str">
            <v>Eco Furnishings 875</v>
          </cell>
          <cell r="M685" t="str">
            <v>Second Class</v>
          </cell>
          <cell r="N685">
            <v>6</v>
          </cell>
          <cell r="O685">
            <v>1646.45</v>
          </cell>
          <cell r="P685">
            <v>0.2</v>
          </cell>
          <cell r="S685">
            <v>2390.9299999999998</v>
          </cell>
          <cell r="T685" t="str">
            <v>Refunded</v>
          </cell>
          <cell r="U685" t="str">
            <v>Cancelled</v>
          </cell>
        </row>
        <row r="686">
          <cell r="A686" t="str">
            <v>ORD-2025-10685</v>
          </cell>
          <cell r="B686" t="str">
            <v>2025-07-21</v>
          </cell>
          <cell r="C686" t="str">
            <v>21-07-2025</v>
          </cell>
          <cell r="D686" t="str">
            <v>CUST-6738</v>
          </cell>
          <cell r="E686" t="str">
            <v>Isha Nair</v>
          </cell>
          <cell r="F686" t="str">
            <v>Home Office</v>
          </cell>
          <cell r="G686" t="str">
            <v>South</v>
          </cell>
          <cell r="H686" t="str">
            <v>Tamil Nadu</v>
          </cell>
          <cell r="I686" t="str">
            <v>Chennai</v>
          </cell>
          <cell r="J686" t="str">
            <v>Furniture</v>
          </cell>
          <cell r="K686" t="str">
            <v>Bookcases</v>
          </cell>
          <cell r="L686" t="str">
            <v>Prime Bookcases 784</v>
          </cell>
          <cell r="M686" t="str">
            <v>First Class</v>
          </cell>
          <cell r="N686">
            <v>7</v>
          </cell>
          <cell r="O686">
            <v>4396.6499999999996</v>
          </cell>
          <cell r="P686">
            <v>0.2</v>
          </cell>
          <cell r="S686">
            <v>7465.76</v>
          </cell>
          <cell r="T686" t="str">
            <v>Refunded</v>
          </cell>
          <cell r="U686" t="str">
            <v>Cancelled</v>
          </cell>
        </row>
        <row r="687">
          <cell r="A687" t="str">
            <v>ORD-2025-10686</v>
          </cell>
          <cell r="B687" t="str">
            <v>01 Oct 2025</v>
          </cell>
          <cell r="C687" t="str">
            <v>2025-10-03</v>
          </cell>
          <cell r="D687" t="str">
            <v>CUST-2586</v>
          </cell>
          <cell r="E687" t="str">
            <v>Neha Gupta</v>
          </cell>
          <cell r="F687" t="str">
            <v>Corporate</v>
          </cell>
          <cell r="G687" t="str">
            <v>West</v>
          </cell>
          <cell r="H687" t="str">
            <v>Goa</v>
          </cell>
          <cell r="I687" t="str">
            <v>Panaji</v>
          </cell>
          <cell r="J687" t="str">
            <v>Office Supplies</v>
          </cell>
          <cell r="K687" t="str">
            <v>Art</v>
          </cell>
          <cell r="L687" t="str">
            <v>Classic Art 380</v>
          </cell>
          <cell r="M687" t="str">
            <v>Standard Class</v>
          </cell>
          <cell r="N687">
            <v>9</v>
          </cell>
          <cell r="O687">
            <v>818.15</v>
          </cell>
          <cell r="P687">
            <v>0.55000000000000004</v>
          </cell>
          <cell r="S687">
            <v>1020.22</v>
          </cell>
          <cell r="T687" t="str">
            <v>Failed</v>
          </cell>
          <cell r="U687" t="str">
            <v>Cancelled</v>
          </cell>
        </row>
        <row r="688">
          <cell r="A688" t="str">
            <v>ORD-2024-10687</v>
          </cell>
          <cell r="B688" t="str">
            <v>25-03-2024</v>
          </cell>
          <cell r="C688" t="str">
            <v>04/02/2024</v>
          </cell>
          <cell r="D688" t="str">
            <v>CUST-3127</v>
          </cell>
          <cell r="E688" t="str">
            <v>Sneha Kapoor</v>
          </cell>
          <cell r="F688" t="str">
            <v>Home Office</v>
          </cell>
          <cell r="G688" t="str">
            <v>South</v>
          </cell>
          <cell r="H688" t="str">
            <v>Tamil Nadu</v>
          </cell>
          <cell r="I688" t="str">
            <v>Chennai</v>
          </cell>
          <cell r="J688" t="str">
            <v>Technology</v>
          </cell>
          <cell r="K688" t="str">
            <v>Copiers</v>
          </cell>
          <cell r="L688" t="str">
            <v>Pro Copiers 502</v>
          </cell>
          <cell r="M688" t="str">
            <v>Standard Class</v>
          </cell>
          <cell r="N688">
            <v>2</v>
          </cell>
          <cell r="O688">
            <v>2349.13</v>
          </cell>
          <cell r="P688">
            <v>0</v>
          </cell>
          <cell r="S688">
            <v>2043.34</v>
          </cell>
          <cell r="T688" t="str">
            <v>Paid</v>
          </cell>
          <cell r="U688" t="str">
            <v>Completed</v>
          </cell>
        </row>
        <row r="689">
          <cell r="A689" t="str">
            <v>ORD-2025-10688</v>
          </cell>
          <cell r="B689" t="str">
            <v>08 Oct 2025</v>
          </cell>
          <cell r="C689" t="str">
            <v>13-10-2025</v>
          </cell>
          <cell r="D689" t="str">
            <v>CUST-9347</v>
          </cell>
          <cell r="E689" t="str">
            <v>Mira Das</v>
          </cell>
          <cell r="F689" t="str">
            <v>Home Office</v>
          </cell>
          <cell r="G689" t="str">
            <v>North</v>
          </cell>
          <cell r="H689" t="str">
            <v>Punjab</v>
          </cell>
          <cell r="I689" t="str">
            <v>Ludhiana</v>
          </cell>
          <cell r="J689" t="str">
            <v>Furniture</v>
          </cell>
          <cell r="K689" t="str">
            <v>Tables</v>
          </cell>
          <cell r="L689" t="str">
            <v>Prime Tables 604</v>
          </cell>
          <cell r="M689" t="str">
            <v>First Class</v>
          </cell>
          <cell r="N689">
            <v>4</v>
          </cell>
          <cell r="O689">
            <v>172.05</v>
          </cell>
          <cell r="P689">
            <v>0</v>
          </cell>
          <cell r="S689">
            <v>190.52</v>
          </cell>
          <cell r="T689" t="str">
            <v>Failed</v>
          </cell>
          <cell r="U689" t="str">
            <v>Cancelled</v>
          </cell>
        </row>
        <row r="690">
          <cell r="A690" t="str">
            <v>ORD-2025-10689</v>
          </cell>
          <cell r="B690" t="str">
            <v>26 Feb 2025</v>
          </cell>
          <cell r="C690" t="str">
            <v>27 Feb 2025</v>
          </cell>
          <cell r="D690" t="str">
            <v>CUST-8575</v>
          </cell>
          <cell r="E690" t="str">
            <v>Neha Gupta</v>
          </cell>
          <cell r="F690" t="str">
            <v>Home Office</v>
          </cell>
          <cell r="G690" t="str">
            <v>North</v>
          </cell>
          <cell r="H690" t="str">
            <v>Haryana</v>
          </cell>
          <cell r="I690" t="str">
            <v>Gurugram</v>
          </cell>
          <cell r="J690" t="str">
            <v>Office Supplies</v>
          </cell>
          <cell r="K690" t="str">
            <v>Art</v>
          </cell>
          <cell r="L690" t="str">
            <v>Basic Art 798</v>
          </cell>
          <cell r="M690" t="str">
            <v>Second Class</v>
          </cell>
          <cell r="N690">
            <v>6</v>
          </cell>
          <cell r="O690">
            <v>3037.66</v>
          </cell>
          <cell r="P690">
            <v>0.15</v>
          </cell>
          <cell r="S690">
            <v>2910.84</v>
          </cell>
          <cell r="T690" t="str">
            <v>Paid</v>
          </cell>
          <cell r="U690" t="str">
            <v>Completed</v>
          </cell>
        </row>
        <row r="691">
          <cell r="A691" t="str">
            <v>ORD-2024-10690</v>
          </cell>
          <cell r="B691" t="str">
            <v>05-10-2024</v>
          </cell>
          <cell r="C691" t="str">
            <v>06 Oct 2024</v>
          </cell>
          <cell r="D691" t="str">
            <v>CUST-4382</v>
          </cell>
          <cell r="E691" t="str">
            <v>Rohan Mehta</v>
          </cell>
          <cell r="F691" t="str">
            <v>Small Business</v>
          </cell>
          <cell r="G691" t="str">
            <v>North</v>
          </cell>
          <cell r="H691" t="str">
            <v>Punjab</v>
          </cell>
          <cell r="I691" t="str">
            <v>Ludhiana</v>
          </cell>
          <cell r="J691" t="str">
            <v>Furniture</v>
          </cell>
          <cell r="K691" t="str">
            <v>Tables</v>
          </cell>
          <cell r="L691" t="str">
            <v>Elite Tables 717</v>
          </cell>
          <cell r="M691" t="str">
            <v>Standard Class</v>
          </cell>
          <cell r="N691">
            <v>9</v>
          </cell>
          <cell r="O691">
            <v>489.58</v>
          </cell>
          <cell r="P691">
            <v>0.15</v>
          </cell>
          <cell r="S691">
            <v>1442.64</v>
          </cell>
          <cell r="T691" t="str">
            <v>Failed</v>
          </cell>
          <cell r="U691" t="str">
            <v>Cancelled</v>
          </cell>
        </row>
        <row r="692">
          <cell r="A692" t="str">
            <v>ORD-2024-10691</v>
          </cell>
          <cell r="B692" t="str">
            <v>09/11/2024</v>
          </cell>
          <cell r="C692" t="str">
            <v>2024-09-15</v>
          </cell>
          <cell r="D692" t="str">
            <v>CUST-6815</v>
          </cell>
          <cell r="E692" t="str">
            <v>Sneha Kapoor</v>
          </cell>
          <cell r="F692" t="str">
            <v>Corporate</v>
          </cell>
          <cell r="G692" t="str">
            <v>South</v>
          </cell>
          <cell r="H692" t="str">
            <v>Tamil Nadu</v>
          </cell>
          <cell r="I692" t="str">
            <v>Chennai</v>
          </cell>
          <cell r="J692" t="str">
            <v>Office Supplies</v>
          </cell>
          <cell r="K692" t="str">
            <v>Art</v>
          </cell>
          <cell r="L692" t="str">
            <v>Max Art 725</v>
          </cell>
          <cell r="M692" t="str">
            <v>Standard Class</v>
          </cell>
          <cell r="N692">
            <v>4</v>
          </cell>
          <cell r="O692">
            <v>865.63</v>
          </cell>
          <cell r="P692">
            <v>0</v>
          </cell>
          <cell r="S692">
            <v>665.23</v>
          </cell>
          <cell r="T692" t="str">
            <v>Failed</v>
          </cell>
          <cell r="U692" t="str">
            <v>Returned</v>
          </cell>
        </row>
        <row r="693">
          <cell r="A693" t="str">
            <v>ORD-2024-10692</v>
          </cell>
          <cell r="B693" t="str">
            <v>15-12-2024</v>
          </cell>
          <cell r="C693" t="str">
            <v>16-12-2024</v>
          </cell>
          <cell r="D693" t="str">
            <v>CUST-7309</v>
          </cell>
          <cell r="E693" t="str">
            <v>Rohan Mehta</v>
          </cell>
          <cell r="F693" t="str">
            <v>Consumer</v>
          </cell>
          <cell r="G693" t="str">
            <v>East</v>
          </cell>
          <cell r="H693" t="str">
            <v>Odisha</v>
          </cell>
          <cell r="I693" t="str">
            <v>Bhubaneswar</v>
          </cell>
          <cell r="J693" t="str">
            <v>Technology</v>
          </cell>
          <cell r="K693" t="str">
            <v>Copiers</v>
          </cell>
          <cell r="L693" t="str">
            <v>Smart Copiers 456</v>
          </cell>
          <cell r="M693" t="str">
            <v>Second Class</v>
          </cell>
          <cell r="N693">
            <v>6</v>
          </cell>
          <cell r="O693">
            <v>1538.1</v>
          </cell>
          <cell r="P693">
            <v>0.05</v>
          </cell>
          <cell r="S693">
            <v>3668.97</v>
          </cell>
          <cell r="T693" t="str">
            <v>Paid</v>
          </cell>
          <cell r="U693" t="str">
            <v>Completed</v>
          </cell>
        </row>
        <row r="694">
          <cell r="A694" t="str">
            <v>ORD-2025-10693</v>
          </cell>
          <cell r="B694" t="str">
            <v>05-10-2025</v>
          </cell>
          <cell r="C694" t="str">
            <v>10-10-2025</v>
          </cell>
          <cell r="D694" t="str">
            <v>CUST-9531</v>
          </cell>
          <cell r="E694" t="str">
            <v>Isha Nair</v>
          </cell>
          <cell r="F694" t="str">
            <v>corporate</v>
          </cell>
          <cell r="G694" t="str">
            <v>South</v>
          </cell>
          <cell r="H694" t="str">
            <v>Karnataka</v>
          </cell>
          <cell r="I694" t="str">
            <v>Bengaluru</v>
          </cell>
          <cell r="J694" t="str">
            <v>Furniture</v>
          </cell>
          <cell r="K694" t="str">
            <v>Furnishings</v>
          </cell>
          <cell r="L694" t="str">
            <v>Prime Furnishings 883</v>
          </cell>
          <cell r="M694" t="str">
            <v>Second Class</v>
          </cell>
          <cell r="N694">
            <v>4</v>
          </cell>
          <cell r="O694">
            <v>2365.6799999999998</v>
          </cell>
          <cell r="P694">
            <v>0.1</v>
          </cell>
          <cell r="S694">
            <v>2612.64</v>
          </cell>
          <cell r="T694" t="str">
            <v>Paid</v>
          </cell>
          <cell r="U694" t="str">
            <v>Completed</v>
          </cell>
        </row>
        <row r="695">
          <cell r="A695" t="str">
            <v>ORD-2025-10694</v>
          </cell>
          <cell r="B695" t="str">
            <v>03-04-2025</v>
          </cell>
          <cell r="C695" t="str">
            <v>2025-04-11</v>
          </cell>
          <cell r="D695" t="str">
            <v>CUST-6032</v>
          </cell>
          <cell r="E695" t="str">
            <v>Arjun Bose</v>
          </cell>
          <cell r="F695" t="str">
            <v>Consumer</v>
          </cell>
          <cell r="G695" t="str">
            <v>South</v>
          </cell>
          <cell r="H695" t="str">
            <v>Tamil Nadu</v>
          </cell>
          <cell r="I695" t="str">
            <v>Chennai</v>
          </cell>
          <cell r="J695" t="str">
            <v>Furniture</v>
          </cell>
          <cell r="K695" t="str">
            <v>Bookcases</v>
          </cell>
          <cell r="L695" t="str">
            <v>Smart Bookcases 828</v>
          </cell>
          <cell r="M695" t="str">
            <v>Second Class</v>
          </cell>
          <cell r="N695">
            <v>3</v>
          </cell>
          <cell r="O695">
            <v>4149.7700000000004</v>
          </cell>
          <cell r="P695">
            <v>0.05</v>
          </cell>
          <cell r="S695">
            <v>3790.88</v>
          </cell>
          <cell r="T695" t="str">
            <v>Paid</v>
          </cell>
          <cell r="U695" t="str">
            <v>Completed</v>
          </cell>
        </row>
        <row r="696">
          <cell r="A696" t="str">
            <v>ORD-2025-10695</v>
          </cell>
          <cell r="B696" t="str">
            <v>01-08-2025</v>
          </cell>
          <cell r="C696" t="str">
            <v>09-08-2025</v>
          </cell>
          <cell r="D696" t="str">
            <v>CUST-8025</v>
          </cell>
          <cell r="E696" t="str">
            <v>Isha Nair</v>
          </cell>
          <cell r="F696" t="str">
            <v>Consumer</v>
          </cell>
          <cell r="G696" t="str">
            <v>South</v>
          </cell>
          <cell r="H696" t="str">
            <v>Andhra Pradesh</v>
          </cell>
          <cell r="I696" t="str">
            <v>Vijayawada</v>
          </cell>
          <cell r="J696" t="str">
            <v>Office Supplies</v>
          </cell>
          <cell r="K696" t="str">
            <v>Storage</v>
          </cell>
          <cell r="L696" t="str">
            <v>Classic Storage 291</v>
          </cell>
          <cell r="M696" t="str">
            <v>First Class</v>
          </cell>
          <cell r="N696">
            <v>5</v>
          </cell>
          <cell r="O696">
            <v>2736.24</v>
          </cell>
          <cell r="P696">
            <v>0.15</v>
          </cell>
          <cell r="S696">
            <v>2001.81</v>
          </cell>
          <cell r="T696" t="str">
            <v>Paid</v>
          </cell>
          <cell r="U696" t="str">
            <v>Completed</v>
          </cell>
        </row>
        <row r="697">
          <cell r="A697" t="str">
            <v>ORD-2024-10696</v>
          </cell>
          <cell r="B697" t="str">
            <v>2024-07-01</v>
          </cell>
          <cell r="C697" t="str">
            <v>01-07-2024</v>
          </cell>
          <cell r="D697" t="str">
            <v>CUST-6257</v>
          </cell>
          <cell r="E697" t="str">
            <v>Aarav Sharma</v>
          </cell>
          <cell r="F697" t="str">
            <v>Consumer</v>
          </cell>
          <cell r="G697" t="str">
            <v>West</v>
          </cell>
          <cell r="H697" t="str">
            <v>Madhya Pradesh</v>
          </cell>
          <cell r="I697" t="str">
            <v>Indore</v>
          </cell>
          <cell r="J697" t="str">
            <v>Technology</v>
          </cell>
          <cell r="K697" t="str">
            <v>Machines</v>
          </cell>
          <cell r="L697" t="str">
            <v>Prime Machines 102</v>
          </cell>
          <cell r="M697" t="str">
            <v>Standard Class</v>
          </cell>
          <cell r="N697">
            <v>4</v>
          </cell>
          <cell r="O697">
            <v>257.39</v>
          </cell>
          <cell r="P697">
            <v>0</v>
          </cell>
          <cell r="S697">
            <v>403.23</v>
          </cell>
          <cell r="T697" t="str">
            <v>Paid</v>
          </cell>
          <cell r="U697" t="str">
            <v>Completed</v>
          </cell>
        </row>
        <row r="698">
          <cell r="A698" t="str">
            <v>ORD-2025-10697</v>
          </cell>
          <cell r="B698" t="str">
            <v>22 Sep 2025</v>
          </cell>
          <cell r="C698" t="str">
            <v>25 Sep 2025</v>
          </cell>
          <cell r="D698" t="str">
            <v>CUST-7812</v>
          </cell>
          <cell r="E698" t="str">
            <v>Isha Nair</v>
          </cell>
          <cell r="F698" t="str">
            <v>Small Business</v>
          </cell>
          <cell r="G698" t="str">
            <v>South</v>
          </cell>
          <cell r="H698" t="str">
            <v>Kerala</v>
          </cell>
          <cell r="I698" t="str">
            <v>Kochi</v>
          </cell>
          <cell r="J698" t="str">
            <v>Technology</v>
          </cell>
          <cell r="K698" t="str">
            <v>Phones</v>
          </cell>
          <cell r="L698" t="str">
            <v>Classic Phones 842</v>
          </cell>
          <cell r="N698">
            <v>4</v>
          </cell>
          <cell r="O698">
            <v>1178.8399999999999</v>
          </cell>
          <cell r="P698">
            <v>0.25</v>
          </cell>
          <cell r="S698">
            <v>1363.28</v>
          </cell>
          <cell r="T698" t="str">
            <v>Paid</v>
          </cell>
          <cell r="U698" t="str">
            <v>Completed</v>
          </cell>
        </row>
        <row r="699">
          <cell r="A699" t="str">
            <v>ORD-2025-10698</v>
          </cell>
          <cell r="B699" t="str">
            <v>03/01/2025</v>
          </cell>
          <cell r="C699" t="str">
            <v>07-03-2025</v>
          </cell>
          <cell r="D699" t="str">
            <v>CUST-6205</v>
          </cell>
          <cell r="E699" t="str">
            <v>Arjun Bose</v>
          </cell>
          <cell r="F699" t="str">
            <v>Corporate</v>
          </cell>
          <cell r="G699" t="str">
            <v>South</v>
          </cell>
          <cell r="H699" t="str">
            <v>Andhra Pradesh</v>
          </cell>
          <cell r="I699" t="str">
            <v>Vijayawada</v>
          </cell>
          <cell r="J699" t="str">
            <v>Office Supplies</v>
          </cell>
          <cell r="K699" t="str">
            <v>Labels</v>
          </cell>
          <cell r="L699" t="str">
            <v>Max Labels 970</v>
          </cell>
          <cell r="M699" t="str">
            <v>First Class</v>
          </cell>
          <cell r="N699">
            <v>7</v>
          </cell>
          <cell r="O699">
            <v>567.15</v>
          </cell>
          <cell r="S699">
            <v>1128.24</v>
          </cell>
          <cell r="T699" t="str">
            <v>Refunded</v>
          </cell>
          <cell r="U699" t="str">
            <v>Returned</v>
          </cell>
        </row>
        <row r="700">
          <cell r="A700" t="str">
            <v>ORD-2024-10699</v>
          </cell>
          <cell r="B700" t="str">
            <v>14-09-2024</v>
          </cell>
          <cell r="C700" t="str">
            <v>2024-09-14</v>
          </cell>
          <cell r="D700" t="str">
            <v>CUST-5357</v>
          </cell>
          <cell r="E700" t="str">
            <v>Mira Das</v>
          </cell>
          <cell r="F700" t="str">
            <v>Corporate</v>
          </cell>
          <cell r="G700" t="str">
            <v>North</v>
          </cell>
          <cell r="H700" t="str">
            <v>Rajasthan</v>
          </cell>
          <cell r="I700" t="str">
            <v>Jaipur</v>
          </cell>
          <cell r="J700" t="str">
            <v>Technology</v>
          </cell>
          <cell r="K700" t="str">
            <v>Machines</v>
          </cell>
          <cell r="L700" t="str">
            <v>Classic Machines 648</v>
          </cell>
          <cell r="M700" t="str">
            <v>Standard Class</v>
          </cell>
          <cell r="N700">
            <v>8</v>
          </cell>
          <cell r="O700">
            <v>4081.66</v>
          </cell>
          <cell r="P700">
            <v>0.15</v>
          </cell>
          <cell r="S700">
            <v>4003.38</v>
          </cell>
          <cell r="T700" t="str">
            <v>Paid</v>
          </cell>
          <cell r="U700" t="str">
            <v>Returned</v>
          </cell>
        </row>
        <row r="701">
          <cell r="A701" t="str">
            <v>ORD-2024-10700</v>
          </cell>
          <cell r="B701" t="str">
            <v>2024-06-11</v>
          </cell>
          <cell r="C701" t="str">
            <v>11 Jun 2024</v>
          </cell>
          <cell r="D701" t="str">
            <v>CUST-9802</v>
          </cell>
          <cell r="E701" t="str">
            <v>Arjun Bose</v>
          </cell>
          <cell r="F701" t="str">
            <v>Small Business</v>
          </cell>
          <cell r="G701" t="str">
            <v>South</v>
          </cell>
          <cell r="H701" t="str">
            <v>Karnataka</v>
          </cell>
          <cell r="I701" t="str">
            <v>Bengaluru</v>
          </cell>
          <cell r="J701" t="str">
            <v>Furniture</v>
          </cell>
          <cell r="K701" t="str">
            <v>Bookcases</v>
          </cell>
          <cell r="L701" t="str">
            <v>Max Bookcases 565</v>
          </cell>
          <cell r="M701" t="str">
            <v>Standard Class</v>
          </cell>
          <cell r="N701">
            <v>9</v>
          </cell>
          <cell r="O701">
            <v>1400.11</v>
          </cell>
          <cell r="P701">
            <v>0.25</v>
          </cell>
          <cell r="S701">
            <v>1652.18</v>
          </cell>
          <cell r="T701" t="str">
            <v>Paid</v>
          </cell>
          <cell r="U701" t="str">
            <v>Completed</v>
          </cell>
        </row>
        <row r="702">
          <cell r="A702" t="str">
            <v>ORD-2024-10701</v>
          </cell>
          <cell r="B702" t="str">
            <v>18-09-2024</v>
          </cell>
          <cell r="C702" t="str">
            <v>09/21/2024</v>
          </cell>
          <cell r="D702" t="str">
            <v>CUST-5646</v>
          </cell>
          <cell r="E702" t="str">
            <v>Neha Gupta</v>
          </cell>
          <cell r="F702" t="str">
            <v>Corporate</v>
          </cell>
          <cell r="G702" t="str">
            <v>East</v>
          </cell>
          <cell r="H702" t="str">
            <v>West Bengal</v>
          </cell>
          <cell r="I702" t="str">
            <v>Kolkata</v>
          </cell>
          <cell r="J702" t="str">
            <v>Technology</v>
          </cell>
          <cell r="K702" t="str">
            <v>Machines</v>
          </cell>
          <cell r="L702" t="str">
            <v>Basic Machines 220</v>
          </cell>
          <cell r="M702" t="str">
            <v>Standard Class</v>
          </cell>
          <cell r="N702">
            <v>3</v>
          </cell>
          <cell r="O702">
            <v>3055.9</v>
          </cell>
          <cell r="P702">
            <v>0.15</v>
          </cell>
          <cell r="S702">
            <v>3100.82</v>
          </cell>
          <cell r="T702" t="str">
            <v>Paid</v>
          </cell>
          <cell r="U702" t="str">
            <v>Completed</v>
          </cell>
        </row>
        <row r="703">
          <cell r="A703" t="str">
            <v>ORD-2024-10702</v>
          </cell>
          <cell r="B703" t="str">
            <v>30-04-2024</v>
          </cell>
          <cell r="C703" t="str">
            <v>04 May 2024</v>
          </cell>
          <cell r="D703" t="str">
            <v>CUST-7171</v>
          </cell>
          <cell r="E703" t="str">
            <v>Rohan Mehta</v>
          </cell>
          <cell r="F703" t="str">
            <v>Small Business</v>
          </cell>
          <cell r="G703" t="str">
            <v>West</v>
          </cell>
          <cell r="H703" t="str">
            <v>Gujarat</v>
          </cell>
          <cell r="I703" t="str">
            <v>Ahmedabad</v>
          </cell>
          <cell r="J703" t="str">
            <v>Office Supplies</v>
          </cell>
          <cell r="K703" t="str">
            <v>Art</v>
          </cell>
          <cell r="L703" t="str">
            <v>Pro Art 151</v>
          </cell>
          <cell r="M703" t="str">
            <v>Same Day</v>
          </cell>
          <cell r="N703">
            <v>7</v>
          </cell>
          <cell r="O703">
            <v>1224.94</v>
          </cell>
          <cell r="P703">
            <v>0</v>
          </cell>
          <cell r="S703">
            <v>1888.77</v>
          </cell>
          <cell r="T703" t="str">
            <v>Paid</v>
          </cell>
          <cell r="U703" t="str">
            <v>Returned</v>
          </cell>
        </row>
        <row r="704">
          <cell r="A704" t="str">
            <v>ORD-2025-10703</v>
          </cell>
          <cell r="B704" t="str">
            <v>2025-02-02</v>
          </cell>
          <cell r="C704" t="str">
            <v>02/06/2025</v>
          </cell>
          <cell r="D704" t="str">
            <v>CUST-5231</v>
          </cell>
          <cell r="E704" t="str">
            <v>Karan Malhotra</v>
          </cell>
          <cell r="F704" t="str">
            <v>Small Business</v>
          </cell>
          <cell r="G704" t="str">
            <v>West</v>
          </cell>
          <cell r="H704" t="str">
            <v>Rajasthan</v>
          </cell>
          <cell r="I704" t="str">
            <v>Udaipur</v>
          </cell>
          <cell r="J704" t="str">
            <v>Furniture</v>
          </cell>
          <cell r="K704" t="str">
            <v>Tables</v>
          </cell>
          <cell r="L704" t="str">
            <v>Pro Tables 980</v>
          </cell>
          <cell r="M704" t="str">
            <v>Second Class</v>
          </cell>
          <cell r="N704">
            <v>3</v>
          </cell>
          <cell r="O704">
            <v>997.34</v>
          </cell>
          <cell r="P704">
            <v>0.1</v>
          </cell>
          <cell r="S704">
            <v>872.74</v>
          </cell>
          <cell r="T704" t="str">
            <v>Paid</v>
          </cell>
          <cell r="U704" t="str">
            <v>Completed</v>
          </cell>
        </row>
        <row r="705">
          <cell r="A705" t="str">
            <v>ORD-2024-10704</v>
          </cell>
          <cell r="B705" t="str">
            <v>19 Oct 2024</v>
          </cell>
          <cell r="C705" t="str">
            <v>2024-10-20</v>
          </cell>
          <cell r="D705" t="str">
            <v>CUST-8734</v>
          </cell>
          <cell r="E705" t="str">
            <v>Aditi Sen</v>
          </cell>
          <cell r="F705" t="str">
            <v>Corporate</v>
          </cell>
          <cell r="G705" t="str">
            <v>North</v>
          </cell>
          <cell r="H705" t="str">
            <v>Rajasthan</v>
          </cell>
          <cell r="I705" t="str">
            <v>Jaipur</v>
          </cell>
          <cell r="J705" t="str">
            <v>Furniture</v>
          </cell>
          <cell r="K705" t="str">
            <v>Tables</v>
          </cell>
          <cell r="L705" t="str">
            <v>Classic Tables 997</v>
          </cell>
          <cell r="M705" t="str">
            <v>First Class</v>
          </cell>
          <cell r="N705">
            <v>1</v>
          </cell>
          <cell r="O705">
            <v>1150.03</v>
          </cell>
          <cell r="P705">
            <v>0.1</v>
          </cell>
          <cell r="S705">
            <v>180.68</v>
          </cell>
          <cell r="T705" t="str">
            <v>Paid</v>
          </cell>
          <cell r="U705" t="str">
            <v>Completed</v>
          </cell>
        </row>
        <row r="706">
          <cell r="A706" t="str">
            <v>ORD-2024-10705</v>
          </cell>
          <cell r="B706" t="str">
            <v>2024-03-13</v>
          </cell>
          <cell r="C706" t="str">
            <v>03/20/2024</v>
          </cell>
          <cell r="D706" t="str">
            <v>CUST-4916</v>
          </cell>
          <cell r="E706" t="str">
            <v>Priya Menon</v>
          </cell>
          <cell r="F706" t="str">
            <v>Home Office</v>
          </cell>
          <cell r="G706" t="str">
            <v>South</v>
          </cell>
          <cell r="H706" t="str">
            <v>Tamil Nadu</v>
          </cell>
          <cell r="I706" t="str">
            <v>Chennai</v>
          </cell>
          <cell r="J706" t="str">
            <v>Furniture</v>
          </cell>
          <cell r="K706" t="str">
            <v>Bookcases</v>
          </cell>
          <cell r="L706" t="str">
            <v>Max Bookcases 738</v>
          </cell>
          <cell r="N706">
            <v>1</v>
          </cell>
          <cell r="O706">
            <v>2825.63</v>
          </cell>
          <cell r="P706">
            <v>0.15</v>
          </cell>
          <cell r="S706">
            <v>581.45000000000005</v>
          </cell>
          <cell r="T706" t="str">
            <v>Paid</v>
          </cell>
          <cell r="U706" t="str">
            <v>Completed</v>
          </cell>
        </row>
        <row r="707">
          <cell r="A707" t="str">
            <v>ORD-2024-10706</v>
          </cell>
          <cell r="B707" t="str">
            <v>08 Sep 2024</v>
          </cell>
          <cell r="C707" t="str">
            <v>09/14/2024</v>
          </cell>
          <cell r="D707" t="str">
            <v>CUST-3289</v>
          </cell>
          <cell r="E707" t="str">
            <v>Rohan Mehta</v>
          </cell>
          <cell r="F707" t="str">
            <v>Consumer</v>
          </cell>
          <cell r="G707" t="str">
            <v>North</v>
          </cell>
          <cell r="H707" t="str">
            <v>Rajasthan</v>
          </cell>
          <cell r="I707" t="str">
            <v>Jaipur</v>
          </cell>
          <cell r="J707" t="str">
            <v>Office Supplies</v>
          </cell>
          <cell r="K707" t="str">
            <v>Binders</v>
          </cell>
          <cell r="L707" t="str">
            <v>Max Binders 411</v>
          </cell>
          <cell r="M707" t="str">
            <v>Standard Class</v>
          </cell>
          <cell r="N707">
            <v>5</v>
          </cell>
          <cell r="O707">
            <v>3371.75</v>
          </cell>
          <cell r="P707">
            <v>0.05</v>
          </cell>
          <cell r="S707">
            <v>4663.43</v>
          </cell>
          <cell r="T707" t="str">
            <v>Paid</v>
          </cell>
          <cell r="U707" t="str">
            <v>Completed</v>
          </cell>
        </row>
        <row r="708">
          <cell r="A708" t="str">
            <v>ORD-2024-10707</v>
          </cell>
          <cell r="B708" t="str">
            <v>24-06-2024</v>
          </cell>
          <cell r="C708" t="str">
            <v>28-06-2024</v>
          </cell>
          <cell r="D708" t="str">
            <v>CUST-4928</v>
          </cell>
          <cell r="E708" t="str">
            <v>Isha Nair</v>
          </cell>
          <cell r="F708" t="str">
            <v>Small Business</v>
          </cell>
          <cell r="G708" t="str">
            <v>East</v>
          </cell>
          <cell r="H708" t="str">
            <v>Odisha</v>
          </cell>
          <cell r="I708" t="str">
            <v>Bhubaneswar</v>
          </cell>
          <cell r="J708" t="str">
            <v>Office Supplies</v>
          </cell>
          <cell r="K708" t="str">
            <v>Paper</v>
          </cell>
          <cell r="L708" t="str">
            <v>Max Paper 343</v>
          </cell>
          <cell r="M708" t="str">
            <v>Same Day</v>
          </cell>
          <cell r="N708">
            <v>1</v>
          </cell>
          <cell r="O708">
            <v>2112.75</v>
          </cell>
          <cell r="P708">
            <v>0.1</v>
          </cell>
          <cell r="S708">
            <v>547.20000000000005</v>
          </cell>
          <cell r="T708" t="str">
            <v>Paid</v>
          </cell>
          <cell r="U708" t="str">
            <v>Completed</v>
          </cell>
        </row>
        <row r="709">
          <cell r="A709" t="str">
            <v>ORD-2025-10708</v>
          </cell>
          <cell r="B709" t="str">
            <v>24-06-2025</v>
          </cell>
          <cell r="C709" t="str">
            <v>06/26/2025</v>
          </cell>
          <cell r="D709" t="str">
            <v>CUST-4902</v>
          </cell>
          <cell r="E709" t="str">
            <v>Vikram Iyer</v>
          </cell>
          <cell r="F709" t="str">
            <v>Consumer</v>
          </cell>
          <cell r="G709" t="str">
            <v>North</v>
          </cell>
          <cell r="H709" t="str">
            <v>Rajasthan</v>
          </cell>
          <cell r="I709" t="str">
            <v>Jaipur</v>
          </cell>
          <cell r="J709" t="str">
            <v>Technology</v>
          </cell>
          <cell r="K709" t="str">
            <v>Accessories</v>
          </cell>
          <cell r="L709" t="str">
            <v>Pro Accessories 485</v>
          </cell>
          <cell r="M709" t="str">
            <v>Same Day</v>
          </cell>
          <cell r="N709">
            <v>5</v>
          </cell>
          <cell r="O709">
            <v>3722.66</v>
          </cell>
          <cell r="P709">
            <v>0.55000000000000004</v>
          </cell>
          <cell r="S709">
            <v>5073.6499999999996</v>
          </cell>
          <cell r="T709" t="str">
            <v>Paid</v>
          </cell>
          <cell r="U709" t="str">
            <v>Completed</v>
          </cell>
        </row>
        <row r="710">
          <cell r="A710" t="str">
            <v>ORD-2025-10709</v>
          </cell>
          <cell r="B710" t="str">
            <v>03/20/2025</v>
          </cell>
          <cell r="C710" t="str">
            <v>2025-03-26</v>
          </cell>
          <cell r="D710" t="str">
            <v>CUST-6504</v>
          </cell>
          <cell r="E710" t="str">
            <v>Sneha Kapoor</v>
          </cell>
          <cell r="F710" t="str">
            <v>Consumer</v>
          </cell>
          <cell r="G710" t="str">
            <v>East</v>
          </cell>
          <cell r="H710" t="str">
            <v>Assam</v>
          </cell>
          <cell r="I710" t="str">
            <v>Guwahati</v>
          </cell>
          <cell r="J710" t="str">
            <v>Furniture</v>
          </cell>
          <cell r="K710" t="str">
            <v>Bookcases</v>
          </cell>
          <cell r="L710" t="str">
            <v>Elite Bookcases 113</v>
          </cell>
          <cell r="M710" t="str">
            <v>First Class</v>
          </cell>
          <cell r="N710">
            <v>4</v>
          </cell>
          <cell r="O710">
            <v>4357.66</v>
          </cell>
          <cell r="P710">
            <v>0.05</v>
          </cell>
          <cell r="S710">
            <v>3325.32</v>
          </cell>
          <cell r="T710" t="str">
            <v>Paid</v>
          </cell>
          <cell r="U710" t="str">
            <v>Completed</v>
          </cell>
        </row>
        <row r="711">
          <cell r="A711" t="str">
            <v>ORD-2025-10710</v>
          </cell>
          <cell r="B711" t="str">
            <v>19 Jan 2025</v>
          </cell>
          <cell r="C711" t="str">
            <v>23 Jan 2025</v>
          </cell>
          <cell r="D711" t="str">
            <v>CUST-8036</v>
          </cell>
          <cell r="E711" t="str">
            <v>Kabir Singh</v>
          </cell>
          <cell r="F711" t="str">
            <v>Home Office</v>
          </cell>
          <cell r="G711" t="str">
            <v>North</v>
          </cell>
          <cell r="H711" t="str">
            <v>Punjab</v>
          </cell>
          <cell r="I711" t="str">
            <v>Ludhiana</v>
          </cell>
          <cell r="J711" t="str">
            <v>Technology</v>
          </cell>
          <cell r="K711" t="str">
            <v>Phones</v>
          </cell>
          <cell r="L711" t="str">
            <v>Eco Phones 787</v>
          </cell>
          <cell r="M711" t="str">
            <v>Same Day</v>
          </cell>
          <cell r="N711">
            <v>7</v>
          </cell>
          <cell r="O711">
            <v>1363.04</v>
          </cell>
          <cell r="P711">
            <v>0.15</v>
          </cell>
          <cell r="S711">
            <v>1692.77</v>
          </cell>
          <cell r="T711" t="str">
            <v>Paid</v>
          </cell>
          <cell r="U711" t="str">
            <v>Cancelled</v>
          </cell>
        </row>
        <row r="712">
          <cell r="A712" t="str">
            <v>ORD-2024-10711</v>
          </cell>
          <cell r="B712" t="str">
            <v>07/12/2024</v>
          </cell>
          <cell r="C712" t="str">
            <v>07/19/2024</v>
          </cell>
          <cell r="D712" t="str">
            <v>CUST-7199</v>
          </cell>
          <cell r="E712" t="str">
            <v>Vikram Iyer</v>
          </cell>
          <cell r="F712" t="str">
            <v>Corporate</v>
          </cell>
          <cell r="G712" t="str">
            <v>North</v>
          </cell>
          <cell r="H712" t="str">
            <v>Punjab</v>
          </cell>
          <cell r="I712" t="str">
            <v>Ludhiana</v>
          </cell>
          <cell r="J712" t="str">
            <v>Office Supplies</v>
          </cell>
          <cell r="K712" t="str">
            <v>Art</v>
          </cell>
          <cell r="L712" t="str">
            <v>Smart Art 279</v>
          </cell>
          <cell r="M712" t="str">
            <v>Second Class</v>
          </cell>
          <cell r="N712">
            <v>5</v>
          </cell>
          <cell r="O712">
            <v>1559.16</v>
          </cell>
          <cell r="P712">
            <v>0.05</v>
          </cell>
          <cell r="S712">
            <v>1464.27</v>
          </cell>
          <cell r="T712" t="str">
            <v>Paid</v>
          </cell>
          <cell r="U712" t="str">
            <v>Completed</v>
          </cell>
        </row>
        <row r="713">
          <cell r="A713" t="str">
            <v>ORD-2025-10712</v>
          </cell>
          <cell r="B713" t="str">
            <v>02-02-2025</v>
          </cell>
          <cell r="C713" t="str">
            <v>2025-02-02</v>
          </cell>
          <cell r="D713" t="str">
            <v>CUST-6176</v>
          </cell>
          <cell r="E713" t="str">
            <v>Kabir Singh</v>
          </cell>
          <cell r="F713" t="str">
            <v>Corporate</v>
          </cell>
          <cell r="G713" t="str">
            <v>East</v>
          </cell>
          <cell r="H713" t="str">
            <v>West Bengal</v>
          </cell>
          <cell r="I713" t="str">
            <v>Kolkata</v>
          </cell>
          <cell r="J713" t="str">
            <v>Technology</v>
          </cell>
          <cell r="K713" t="str">
            <v>Machines</v>
          </cell>
          <cell r="L713" t="str">
            <v>Basic Machines 172</v>
          </cell>
          <cell r="M713" t="str">
            <v>First Class</v>
          </cell>
          <cell r="N713">
            <v>1</v>
          </cell>
          <cell r="O713">
            <v>4326.75</v>
          </cell>
          <cell r="P713">
            <v>0.05</v>
          </cell>
          <cell r="S713">
            <v>1716.27</v>
          </cell>
          <cell r="T713" t="str">
            <v>Pending</v>
          </cell>
          <cell r="U713" t="str">
            <v>Returned</v>
          </cell>
        </row>
        <row r="714">
          <cell r="A714" t="str">
            <v>ORD-2024-10713</v>
          </cell>
          <cell r="B714" t="str">
            <v>10 Feb 2024</v>
          </cell>
          <cell r="C714" t="str">
            <v>18 Feb 2024</v>
          </cell>
          <cell r="D714" t="str">
            <v>CUST-5127</v>
          </cell>
          <cell r="E714" t="str">
            <v>Isha Nair</v>
          </cell>
          <cell r="F714" t="str">
            <v>Home Office</v>
          </cell>
          <cell r="G714" t="str">
            <v>West</v>
          </cell>
          <cell r="H714" t="str">
            <v>Madhya Pradesh</v>
          </cell>
          <cell r="I714" t="str">
            <v>Indore</v>
          </cell>
          <cell r="J714" t="str">
            <v>Furniture</v>
          </cell>
          <cell r="K714" t="str">
            <v>Chairs</v>
          </cell>
          <cell r="L714" t="str">
            <v>Smart Chairs 259</v>
          </cell>
          <cell r="M714" t="str">
            <v>First Class</v>
          </cell>
          <cell r="N714">
            <v>7</v>
          </cell>
          <cell r="O714">
            <v>1382.86</v>
          </cell>
          <cell r="P714">
            <v>0</v>
          </cell>
          <cell r="S714">
            <v>2803.36</v>
          </cell>
          <cell r="T714" t="str">
            <v>Paid</v>
          </cell>
          <cell r="U714" t="str">
            <v>Completed</v>
          </cell>
        </row>
        <row r="715">
          <cell r="A715" t="str">
            <v>ORD-2025-10714</v>
          </cell>
          <cell r="B715" t="str">
            <v>06/06/2025</v>
          </cell>
          <cell r="C715" t="str">
            <v>06/10/2025</v>
          </cell>
          <cell r="D715" t="str">
            <v>CUST-2548</v>
          </cell>
          <cell r="E715" t="str">
            <v>Mira Das</v>
          </cell>
          <cell r="F715" t="str">
            <v>Consumer</v>
          </cell>
          <cell r="G715" t="str">
            <v>West</v>
          </cell>
          <cell r="H715" t="str">
            <v>Rajasthan</v>
          </cell>
          <cell r="I715" t="str">
            <v>Udaipur</v>
          </cell>
          <cell r="J715" t="str">
            <v>Technology</v>
          </cell>
          <cell r="K715" t="str">
            <v>Machines</v>
          </cell>
          <cell r="L715" t="str">
            <v>Pro Machines 987</v>
          </cell>
          <cell r="M715" t="str">
            <v>Second Class</v>
          </cell>
          <cell r="N715">
            <v>1</v>
          </cell>
          <cell r="O715">
            <v>289.97000000000003</v>
          </cell>
          <cell r="P715">
            <v>0.25</v>
          </cell>
          <cell r="S715">
            <v>85.35</v>
          </cell>
          <cell r="T715" t="str">
            <v>Paid</v>
          </cell>
          <cell r="U715" t="str">
            <v>Completed</v>
          </cell>
        </row>
        <row r="716">
          <cell r="A716" t="str">
            <v>ORD-2025-10715</v>
          </cell>
          <cell r="B716" t="str">
            <v>22 Mar 2025</v>
          </cell>
          <cell r="C716" t="str">
            <v>2025-03-23</v>
          </cell>
          <cell r="D716" t="str">
            <v>CUST-9902</v>
          </cell>
          <cell r="E716" t="str">
            <v>Karan Malhotra</v>
          </cell>
          <cell r="F716" t="str">
            <v>Home Office</v>
          </cell>
          <cell r="G716" t="str">
            <v>North</v>
          </cell>
          <cell r="H716" t="str">
            <v>Delhi</v>
          </cell>
          <cell r="I716" t="str">
            <v>New Delhi</v>
          </cell>
          <cell r="J716" t="str">
            <v>Technology</v>
          </cell>
          <cell r="K716" t="str">
            <v>Copiers</v>
          </cell>
          <cell r="L716" t="str">
            <v>Pro Copiers 206</v>
          </cell>
          <cell r="M716" t="str">
            <v>Standard Class</v>
          </cell>
          <cell r="N716">
            <v>9</v>
          </cell>
          <cell r="O716">
            <v>2075.02</v>
          </cell>
          <cell r="P716">
            <v>0</v>
          </cell>
          <cell r="S716">
            <v>4700.4799999999996</v>
          </cell>
          <cell r="T716" t="str">
            <v>Paid</v>
          </cell>
          <cell r="U716" t="str">
            <v>Completed</v>
          </cell>
        </row>
        <row r="717">
          <cell r="A717" t="str">
            <v>ORD-2025-10716</v>
          </cell>
          <cell r="B717" t="str">
            <v>2025-08-22</v>
          </cell>
          <cell r="C717" t="str">
            <v>27 Aug 2025</v>
          </cell>
          <cell r="D717" t="str">
            <v>CUST-7446</v>
          </cell>
          <cell r="E717" t="str">
            <v>Priya Menon</v>
          </cell>
          <cell r="F717" t="str">
            <v>Consumer</v>
          </cell>
          <cell r="G717" t="str">
            <v>North</v>
          </cell>
          <cell r="H717" t="str">
            <v>Haryana</v>
          </cell>
          <cell r="I717" t="str">
            <v>Gurugram</v>
          </cell>
          <cell r="J717" t="str">
            <v>Furniture</v>
          </cell>
          <cell r="K717" t="str">
            <v>Chairs</v>
          </cell>
          <cell r="L717" t="str">
            <v>Max Chairs 372</v>
          </cell>
          <cell r="M717" t="str">
            <v>Second Class</v>
          </cell>
          <cell r="N717">
            <v>7</v>
          </cell>
          <cell r="O717">
            <v>2843.09</v>
          </cell>
          <cell r="P717">
            <v>0</v>
          </cell>
          <cell r="S717">
            <v>4409.6000000000004</v>
          </cell>
          <cell r="T717" t="str">
            <v>Refunded</v>
          </cell>
          <cell r="U717" t="str">
            <v>Cancelled</v>
          </cell>
        </row>
        <row r="718">
          <cell r="A718" t="str">
            <v>ORD-2025-10717</v>
          </cell>
          <cell r="B718" t="str">
            <v>26 Aug 2025</v>
          </cell>
          <cell r="C718" t="str">
            <v>31-08-2025</v>
          </cell>
          <cell r="D718" t="str">
            <v>CUST-7540</v>
          </cell>
          <cell r="E718" t="str">
            <v>Diya Patel</v>
          </cell>
          <cell r="F718" t="str">
            <v>Small Business</v>
          </cell>
          <cell r="G718" t="str">
            <v>North</v>
          </cell>
          <cell r="H718" t="str">
            <v>Haryana</v>
          </cell>
          <cell r="I718" t="str">
            <v>Gurugram</v>
          </cell>
          <cell r="J718" t="str">
            <v>Technology</v>
          </cell>
          <cell r="K718" t="str">
            <v>Phones</v>
          </cell>
          <cell r="L718" t="str">
            <v>Basic Phones 496</v>
          </cell>
          <cell r="M718" t="str">
            <v>First Class</v>
          </cell>
          <cell r="N718">
            <v>1</v>
          </cell>
          <cell r="O718">
            <v>3388.02</v>
          </cell>
          <cell r="P718">
            <v>0.15</v>
          </cell>
          <cell r="S718">
            <v>1054.94</v>
          </cell>
          <cell r="T718" t="str">
            <v>Paid</v>
          </cell>
          <cell r="U718" t="str">
            <v>Completed</v>
          </cell>
        </row>
        <row r="719">
          <cell r="A719" t="str">
            <v>ORD-2025-10718</v>
          </cell>
          <cell r="B719" t="str">
            <v>12-10-2025</v>
          </cell>
          <cell r="C719" t="str">
            <v>15 Oct 2025</v>
          </cell>
          <cell r="D719" t="str">
            <v>CUST-8351</v>
          </cell>
          <cell r="E719" t="str">
            <v>Kabir Singh</v>
          </cell>
          <cell r="F719" t="str">
            <v>Small Business</v>
          </cell>
          <cell r="G719" t="str">
            <v>North</v>
          </cell>
          <cell r="H719" t="str">
            <v>Haryana</v>
          </cell>
          <cell r="I719" t="str">
            <v>Gurugram</v>
          </cell>
          <cell r="J719" t="str">
            <v>Technology</v>
          </cell>
          <cell r="K719" t="str">
            <v>Machines</v>
          </cell>
          <cell r="L719" t="str">
            <v>Prime Machines 612</v>
          </cell>
          <cell r="M719" t="str">
            <v>Standard Class</v>
          </cell>
          <cell r="N719">
            <v>9</v>
          </cell>
          <cell r="O719">
            <v>2598.92</v>
          </cell>
          <cell r="P719">
            <v>0.2</v>
          </cell>
          <cell r="S719">
            <v>6860</v>
          </cell>
          <cell r="T719" t="str">
            <v>Pending</v>
          </cell>
          <cell r="U719" t="str">
            <v>Cancelled</v>
          </cell>
        </row>
        <row r="720">
          <cell r="A720" t="str">
            <v>ORD-2024-10719</v>
          </cell>
          <cell r="B720" t="str">
            <v>06 Sep 2024</v>
          </cell>
          <cell r="C720" t="str">
            <v>2024-09-09</v>
          </cell>
          <cell r="D720" t="str">
            <v>CUST-3918</v>
          </cell>
          <cell r="E720" t="str">
            <v>Mira Das</v>
          </cell>
          <cell r="F720" t="str">
            <v>Consumer</v>
          </cell>
          <cell r="G720" t="str">
            <v>West</v>
          </cell>
          <cell r="H720" t="str">
            <v>Maharashtra</v>
          </cell>
          <cell r="I720" t="str">
            <v>Mumbai</v>
          </cell>
          <cell r="J720" t="str">
            <v>Office Supplies</v>
          </cell>
          <cell r="K720" t="str">
            <v>Art</v>
          </cell>
          <cell r="L720" t="str">
            <v>Smart Art 866</v>
          </cell>
          <cell r="M720" t="str">
            <v>Same Day</v>
          </cell>
          <cell r="N720">
            <v>3</v>
          </cell>
          <cell r="O720">
            <v>1972.27</v>
          </cell>
          <cell r="P720">
            <v>0.2</v>
          </cell>
          <cell r="S720">
            <v>1061.1300000000001</v>
          </cell>
          <cell r="T720" t="str">
            <v>Paid</v>
          </cell>
          <cell r="U720" t="str">
            <v>Completed</v>
          </cell>
        </row>
        <row r="721">
          <cell r="A721" t="str">
            <v>ORD-2025-10720</v>
          </cell>
          <cell r="B721" t="str">
            <v>08 Sep 2025</v>
          </cell>
          <cell r="C721" t="str">
            <v>2025-09-09</v>
          </cell>
          <cell r="D721" t="str">
            <v>CUST-3190</v>
          </cell>
          <cell r="E721" t="str">
            <v>Kabir Singh</v>
          </cell>
          <cell r="F721" t="str">
            <v>Corporate</v>
          </cell>
          <cell r="G721" t="str">
            <v>West</v>
          </cell>
          <cell r="H721" t="str">
            <v>Gujarat</v>
          </cell>
          <cell r="I721" t="str">
            <v>Ahmedabad</v>
          </cell>
          <cell r="J721" t="str">
            <v>Office Supplies</v>
          </cell>
          <cell r="K721" t="str">
            <v>Art</v>
          </cell>
          <cell r="L721" t="str">
            <v>Pro Art 447</v>
          </cell>
          <cell r="M721" t="str">
            <v>Same Day</v>
          </cell>
          <cell r="N721">
            <v>2</v>
          </cell>
          <cell r="O721">
            <v>2372.41</v>
          </cell>
          <cell r="P721">
            <v>0.2</v>
          </cell>
          <cell r="S721">
            <v>1530.94</v>
          </cell>
          <cell r="T721" t="str">
            <v>Paid</v>
          </cell>
          <cell r="U721" t="str">
            <v>Completed</v>
          </cell>
        </row>
        <row r="722">
          <cell r="A722" t="str">
            <v>ORD-2024-10721</v>
          </cell>
          <cell r="B722" t="str">
            <v>2024-07-16</v>
          </cell>
          <cell r="C722" t="str">
            <v>07/16/2024</v>
          </cell>
          <cell r="D722" t="str">
            <v>CUST-1991</v>
          </cell>
          <cell r="E722" t="str">
            <v>Aditi Sen</v>
          </cell>
          <cell r="F722" t="str">
            <v>Home Office</v>
          </cell>
          <cell r="G722" t="str">
            <v>West</v>
          </cell>
          <cell r="H722" t="str">
            <v>Madhya Pradesh</v>
          </cell>
          <cell r="I722" t="str">
            <v>Indore</v>
          </cell>
          <cell r="J722" t="str">
            <v>Technology</v>
          </cell>
          <cell r="K722" t="str">
            <v>Copiers</v>
          </cell>
          <cell r="L722" t="str">
            <v>Smart Copiers 196</v>
          </cell>
          <cell r="M722" t="str">
            <v>Same Day</v>
          </cell>
          <cell r="N722">
            <v>4</v>
          </cell>
          <cell r="O722">
            <v>4479.92</v>
          </cell>
          <cell r="P722">
            <v>0.15</v>
          </cell>
          <cell r="S722">
            <v>2780.27</v>
          </cell>
          <cell r="T722" t="str">
            <v>Paid</v>
          </cell>
          <cell r="U722" t="str">
            <v>Completed</v>
          </cell>
        </row>
        <row r="723">
          <cell r="A723" t="str">
            <v>ORD-2025-10722</v>
          </cell>
          <cell r="B723" t="str">
            <v>19-06-2025</v>
          </cell>
          <cell r="C723" t="str">
            <v>23-06-2025</v>
          </cell>
          <cell r="D723" t="str">
            <v>CUST-7606</v>
          </cell>
          <cell r="E723" t="str">
            <v>Sneha Kapoor</v>
          </cell>
          <cell r="F723" t="str">
            <v>Consumer</v>
          </cell>
          <cell r="G723" t="str">
            <v>South</v>
          </cell>
          <cell r="H723" t="str">
            <v>Karnataka</v>
          </cell>
          <cell r="I723" t="str">
            <v>Bengaluru</v>
          </cell>
          <cell r="J723" t="str">
            <v>Technology</v>
          </cell>
          <cell r="K723" t="str">
            <v>Copiers</v>
          </cell>
          <cell r="L723" t="str">
            <v>Pro Copiers 532</v>
          </cell>
          <cell r="M723" t="str">
            <v>First Class</v>
          </cell>
          <cell r="N723">
            <v>5</v>
          </cell>
          <cell r="O723">
            <v>2729.95</v>
          </cell>
          <cell r="P723">
            <v>0</v>
          </cell>
          <cell r="S723">
            <v>3361.72</v>
          </cell>
          <cell r="T723" t="str">
            <v>Paid</v>
          </cell>
          <cell r="U723" t="str">
            <v>Completed</v>
          </cell>
        </row>
        <row r="724">
          <cell r="A724" t="str">
            <v>ORD-2024-10723</v>
          </cell>
          <cell r="B724" t="str">
            <v>2024-10-07</v>
          </cell>
          <cell r="C724" t="str">
            <v>10 Oct 2024</v>
          </cell>
          <cell r="D724" t="str">
            <v>CUST-8844</v>
          </cell>
          <cell r="E724" t="str">
            <v>Vikram Iyer</v>
          </cell>
          <cell r="F724" t="str">
            <v>Consumer</v>
          </cell>
          <cell r="G724" t="str">
            <v>East</v>
          </cell>
          <cell r="H724" t="str">
            <v>West Bengal</v>
          </cell>
          <cell r="I724" t="str">
            <v>Kolkata</v>
          </cell>
          <cell r="J724" t="str">
            <v>Furniture</v>
          </cell>
          <cell r="K724" t="str">
            <v>Chairs</v>
          </cell>
          <cell r="L724" t="str">
            <v>Eco Chairs 442</v>
          </cell>
          <cell r="M724" t="str">
            <v>Second Class</v>
          </cell>
          <cell r="N724">
            <v>9</v>
          </cell>
          <cell r="O724">
            <v>481.51</v>
          </cell>
          <cell r="S724">
            <v>1800</v>
          </cell>
          <cell r="T724" t="str">
            <v>Refunded</v>
          </cell>
          <cell r="U724" t="str">
            <v>Cancelled</v>
          </cell>
        </row>
        <row r="725">
          <cell r="A725" t="str">
            <v>ORD-2025-10724</v>
          </cell>
          <cell r="B725" t="str">
            <v>10/06/2025</v>
          </cell>
          <cell r="C725" t="str">
            <v>2025-10-13</v>
          </cell>
          <cell r="D725" t="str">
            <v>CUST-4335</v>
          </cell>
          <cell r="E725" t="str">
            <v>Kabir Singh</v>
          </cell>
          <cell r="F725" t="str">
            <v>Home Office</v>
          </cell>
          <cell r="G725" t="str">
            <v>East</v>
          </cell>
          <cell r="H725" t="str">
            <v>Jharkhand</v>
          </cell>
          <cell r="I725" t="str">
            <v>Ranchi</v>
          </cell>
          <cell r="J725" t="str">
            <v>Technology</v>
          </cell>
          <cell r="K725" t="str">
            <v>Accessories</v>
          </cell>
          <cell r="L725" t="str">
            <v>Eco Accessories 364</v>
          </cell>
          <cell r="M725" t="str">
            <v>Standard Class</v>
          </cell>
          <cell r="N725">
            <v>6</v>
          </cell>
          <cell r="O725">
            <v>2391.9299999999998</v>
          </cell>
          <cell r="P725">
            <v>0.05</v>
          </cell>
          <cell r="S725">
            <v>4044.19</v>
          </cell>
          <cell r="T725" t="str">
            <v>Failed</v>
          </cell>
          <cell r="U725" t="str">
            <v>Returned</v>
          </cell>
        </row>
        <row r="726">
          <cell r="A726" t="str">
            <v>ORD-2024-10725</v>
          </cell>
          <cell r="B726" t="str">
            <v>02/10/2024</v>
          </cell>
          <cell r="C726" t="str">
            <v>16-02-2024</v>
          </cell>
          <cell r="D726" t="str">
            <v>CUST-5891</v>
          </cell>
          <cell r="E726" t="str">
            <v>Karan Malhotra</v>
          </cell>
          <cell r="F726" t="str">
            <v>Consumer</v>
          </cell>
          <cell r="G726" t="str">
            <v>West</v>
          </cell>
          <cell r="H726" t="str">
            <v>Goa</v>
          </cell>
          <cell r="I726" t="str">
            <v>Panaji</v>
          </cell>
          <cell r="J726" t="str">
            <v>Furniture</v>
          </cell>
          <cell r="K726" t="str">
            <v>Furnishings</v>
          </cell>
          <cell r="L726" t="str">
            <v>Elite Furnishings 921</v>
          </cell>
          <cell r="M726" t="str">
            <v>Second Class</v>
          </cell>
          <cell r="N726">
            <v>3</v>
          </cell>
          <cell r="O726">
            <v>253.43</v>
          </cell>
          <cell r="P726">
            <v>0</v>
          </cell>
          <cell r="S726">
            <v>262.52</v>
          </cell>
          <cell r="T726" t="str">
            <v>Paid</v>
          </cell>
          <cell r="U726" t="str">
            <v>Completed</v>
          </cell>
        </row>
        <row r="727">
          <cell r="A727" t="str">
            <v>ORD-2025-10726</v>
          </cell>
          <cell r="B727" t="str">
            <v>10/05/2025</v>
          </cell>
          <cell r="C727" t="str">
            <v>2025-10-12</v>
          </cell>
          <cell r="D727" t="str">
            <v>CUST-6371</v>
          </cell>
          <cell r="E727" t="str">
            <v>Priya Menon</v>
          </cell>
          <cell r="F727" t="str">
            <v>Corporate</v>
          </cell>
          <cell r="G727" t="str">
            <v>South</v>
          </cell>
          <cell r="H727" t="str">
            <v>Karnataka</v>
          </cell>
          <cell r="I727" t="str">
            <v>Bengaluru</v>
          </cell>
          <cell r="J727" t="str">
            <v>Furniture</v>
          </cell>
          <cell r="K727" t="str">
            <v>Tables</v>
          </cell>
          <cell r="L727" t="str">
            <v>Max Tables 309</v>
          </cell>
          <cell r="M727" t="str">
            <v>Second Class</v>
          </cell>
          <cell r="N727">
            <v>7</v>
          </cell>
          <cell r="O727">
            <v>2134.73</v>
          </cell>
          <cell r="P727">
            <v>0</v>
          </cell>
          <cell r="S727">
            <v>6421.61</v>
          </cell>
          <cell r="T727" t="str">
            <v>Paid</v>
          </cell>
          <cell r="U727" t="str">
            <v>Completed</v>
          </cell>
        </row>
        <row r="728">
          <cell r="A728" t="str">
            <v>ORD-2024-10727</v>
          </cell>
          <cell r="B728" t="str">
            <v>2024-01-17</v>
          </cell>
          <cell r="C728" t="str">
            <v>01/23/2024</v>
          </cell>
          <cell r="D728" t="str">
            <v>CUST-6655</v>
          </cell>
          <cell r="E728" t="str">
            <v>Kabir Singh</v>
          </cell>
          <cell r="F728" t="str">
            <v>Home Office</v>
          </cell>
          <cell r="G728" t="str">
            <v>West</v>
          </cell>
          <cell r="H728" t="str">
            <v>Gujarat</v>
          </cell>
          <cell r="I728" t="str">
            <v>Ahmedabad</v>
          </cell>
          <cell r="J728" t="str">
            <v>Technology</v>
          </cell>
          <cell r="K728" t="str">
            <v>Phones</v>
          </cell>
          <cell r="L728" t="str">
            <v>Pro Phones 857</v>
          </cell>
          <cell r="M728" t="str">
            <v>Standard Class</v>
          </cell>
          <cell r="N728">
            <v>5</v>
          </cell>
          <cell r="O728">
            <v>2018</v>
          </cell>
          <cell r="P728">
            <v>0.2</v>
          </cell>
          <cell r="S728">
            <v>2692.78</v>
          </cell>
          <cell r="T728" t="str">
            <v>Pending</v>
          </cell>
          <cell r="U728" t="str">
            <v>Returned</v>
          </cell>
        </row>
        <row r="729">
          <cell r="A729" t="str">
            <v>ORD-2024-10728</v>
          </cell>
          <cell r="B729" t="str">
            <v>13 Oct 2024</v>
          </cell>
          <cell r="C729" t="str">
            <v>13 Oct 2024</v>
          </cell>
          <cell r="D729" t="str">
            <v>CUST-6492</v>
          </cell>
          <cell r="E729" t="str">
            <v>Aarav Sharma</v>
          </cell>
          <cell r="F729" t="str">
            <v>Small Business</v>
          </cell>
          <cell r="G729" t="str">
            <v>East</v>
          </cell>
          <cell r="H729" t="str">
            <v>Assam</v>
          </cell>
          <cell r="I729" t="str">
            <v>Guwahati</v>
          </cell>
          <cell r="J729" t="str">
            <v>Technology</v>
          </cell>
          <cell r="K729" t="str">
            <v>Accessories</v>
          </cell>
          <cell r="L729" t="str">
            <v>Max Accessories 567</v>
          </cell>
          <cell r="M729" t="str">
            <v>Second Class</v>
          </cell>
          <cell r="N729">
            <v>8</v>
          </cell>
          <cell r="O729">
            <v>3730.66</v>
          </cell>
          <cell r="P729">
            <v>0.05</v>
          </cell>
          <cell r="S729">
            <v>9095.17</v>
          </cell>
          <cell r="T729" t="str">
            <v>Paid</v>
          </cell>
          <cell r="U729" t="str">
            <v>Completed</v>
          </cell>
        </row>
        <row r="730">
          <cell r="A730" t="str">
            <v>ORD-2024-10729</v>
          </cell>
          <cell r="B730" t="str">
            <v>2024-01-04</v>
          </cell>
          <cell r="C730" t="str">
            <v>07-01-2024</v>
          </cell>
          <cell r="D730" t="str">
            <v>CUST-1154</v>
          </cell>
          <cell r="E730" t="str">
            <v>Sneha Kapoor</v>
          </cell>
          <cell r="F730" t="str">
            <v>Small Business</v>
          </cell>
          <cell r="G730" t="str">
            <v>South</v>
          </cell>
          <cell r="H730" t="str">
            <v>Karnataka</v>
          </cell>
          <cell r="I730" t="str">
            <v>Bengaluru</v>
          </cell>
          <cell r="J730" t="str">
            <v>Technology</v>
          </cell>
          <cell r="K730" t="str">
            <v>Machines</v>
          </cell>
          <cell r="L730" t="str">
            <v>Max Machines 200</v>
          </cell>
          <cell r="M730" t="str">
            <v>First Class</v>
          </cell>
          <cell r="N730">
            <v>1</v>
          </cell>
          <cell r="O730">
            <v>2363.02</v>
          </cell>
          <cell r="P730">
            <v>0.15</v>
          </cell>
          <cell r="S730">
            <v>813.74</v>
          </cell>
          <cell r="T730" t="str">
            <v>Paid</v>
          </cell>
          <cell r="U730" t="str">
            <v>Completed</v>
          </cell>
        </row>
        <row r="731">
          <cell r="A731" t="str">
            <v>ORD-2025-10730</v>
          </cell>
          <cell r="B731" t="str">
            <v>17-05-2025</v>
          </cell>
          <cell r="C731" t="str">
            <v>25 May 2025</v>
          </cell>
          <cell r="D731" t="str">
            <v>CUST-8713</v>
          </cell>
          <cell r="E731" t="str">
            <v>Ananya Rao</v>
          </cell>
          <cell r="F731" t="str">
            <v>Corporate</v>
          </cell>
          <cell r="G731" t="str">
            <v>South</v>
          </cell>
          <cell r="H731" t="str">
            <v>Tamil Nadu</v>
          </cell>
          <cell r="I731" t="str">
            <v>Chennai</v>
          </cell>
          <cell r="J731" t="str">
            <v>Technology</v>
          </cell>
          <cell r="K731" t="str">
            <v>Machines</v>
          </cell>
          <cell r="L731" t="str">
            <v>Pro Machines 563</v>
          </cell>
          <cell r="M731" t="str">
            <v>Same Day</v>
          </cell>
          <cell r="N731">
            <v>6</v>
          </cell>
          <cell r="O731">
            <v>1810.63</v>
          </cell>
          <cell r="P731">
            <v>0.15</v>
          </cell>
          <cell r="S731">
            <v>3717.69</v>
          </cell>
          <cell r="T731" t="str">
            <v>Paid</v>
          </cell>
          <cell r="U731" t="str">
            <v>Completed</v>
          </cell>
        </row>
        <row r="732">
          <cell r="A732" t="str">
            <v>ORD-2025-10731</v>
          </cell>
          <cell r="B732" t="str">
            <v>06/19/2025</v>
          </cell>
          <cell r="C732" t="str">
            <v>24-06-2025</v>
          </cell>
          <cell r="D732" t="str">
            <v>CUST-6765</v>
          </cell>
          <cell r="E732" t="str">
            <v>Arjun Bose</v>
          </cell>
          <cell r="F732" t="str">
            <v>Consumer</v>
          </cell>
          <cell r="G732" t="str">
            <v>East</v>
          </cell>
          <cell r="H732" t="str">
            <v>West Bengal</v>
          </cell>
          <cell r="I732" t="str">
            <v>Kolkata</v>
          </cell>
          <cell r="J732" t="str">
            <v>Office Supplies</v>
          </cell>
          <cell r="K732" t="str">
            <v>Art</v>
          </cell>
          <cell r="L732" t="str">
            <v>Elite Art 696</v>
          </cell>
          <cell r="M732" t="str">
            <v>Second Class</v>
          </cell>
          <cell r="N732">
            <v>4</v>
          </cell>
          <cell r="O732">
            <v>782.01</v>
          </cell>
          <cell r="P732">
            <v>0.15</v>
          </cell>
          <cell r="S732">
            <v>431.86</v>
          </cell>
          <cell r="T732" t="str">
            <v>Refunded</v>
          </cell>
          <cell r="U732" t="str">
            <v>Returned</v>
          </cell>
        </row>
        <row r="733">
          <cell r="A733" t="str">
            <v>ORD-2024-10732</v>
          </cell>
          <cell r="B733" t="str">
            <v>2024-03-17</v>
          </cell>
          <cell r="C733" t="str">
            <v>19 Mar 2024</v>
          </cell>
          <cell r="D733" t="str">
            <v>CUST-6849</v>
          </cell>
          <cell r="E733" t="str">
            <v>Ananya Rao</v>
          </cell>
          <cell r="F733" t="str">
            <v>Corporate</v>
          </cell>
          <cell r="G733" t="str">
            <v>East</v>
          </cell>
          <cell r="H733" t="str">
            <v>Odisha</v>
          </cell>
          <cell r="I733" t="str">
            <v>Bhubaneswar</v>
          </cell>
          <cell r="J733" t="str">
            <v>Office Supplies</v>
          </cell>
          <cell r="K733" t="str">
            <v>Binders</v>
          </cell>
          <cell r="L733" t="str">
            <v>Eco Binders 178</v>
          </cell>
          <cell r="M733" t="str">
            <v>First Class</v>
          </cell>
          <cell r="N733">
            <v>4</v>
          </cell>
          <cell r="O733">
            <v>4376.68</v>
          </cell>
          <cell r="P733">
            <v>0.1</v>
          </cell>
          <cell r="S733">
            <v>5510.61</v>
          </cell>
          <cell r="T733" t="str">
            <v>Paid</v>
          </cell>
          <cell r="U733" t="str">
            <v>Completed</v>
          </cell>
        </row>
        <row r="734">
          <cell r="A734" t="str">
            <v>ORD-2024-10733</v>
          </cell>
          <cell r="B734" t="str">
            <v>2024-11-28</v>
          </cell>
          <cell r="C734" t="str">
            <v>06 Dec 2024</v>
          </cell>
          <cell r="D734" t="str">
            <v>CUST-4973</v>
          </cell>
          <cell r="E734" t="str">
            <v>Arjun Bose</v>
          </cell>
          <cell r="F734" t="str">
            <v>Small Business</v>
          </cell>
          <cell r="G734" t="str">
            <v>North</v>
          </cell>
          <cell r="H734" t="str">
            <v>Punjab</v>
          </cell>
          <cell r="I734" t="str">
            <v>Ludhiana</v>
          </cell>
          <cell r="J734" t="str">
            <v>Technology</v>
          </cell>
          <cell r="K734" t="str">
            <v>Phones</v>
          </cell>
          <cell r="L734" t="str">
            <v>Max Phones 678</v>
          </cell>
          <cell r="M734" t="str">
            <v>Standard Class</v>
          </cell>
          <cell r="N734">
            <v>6</v>
          </cell>
          <cell r="O734">
            <v>2464.63</v>
          </cell>
          <cell r="P734">
            <v>0</v>
          </cell>
          <cell r="S734">
            <v>6191.13</v>
          </cell>
          <cell r="T734" t="str">
            <v>Paid</v>
          </cell>
          <cell r="U734" t="str">
            <v>Completed</v>
          </cell>
        </row>
        <row r="735">
          <cell r="A735" t="str">
            <v>ORD-2024-10734</v>
          </cell>
          <cell r="B735" t="str">
            <v>21-06-2024</v>
          </cell>
          <cell r="C735" t="str">
            <v>28 Jun 2024</v>
          </cell>
          <cell r="D735" t="str">
            <v>CUST-2394</v>
          </cell>
          <cell r="E735" t="str">
            <v>Aarav Sharma</v>
          </cell>
          <cell r="F735" t="str">
            <v>Home Office</v>
          </cell>
          <cell r="G735" t="str">
            <v>North</v>
          </cell>
          <cell r="H735" t="str">
            <v>Rajasthan</v>
          </cell>
          <cell r="I735" t="str">
            <v>Jaipur</v>
          </cell>
          <cell r="J735" t="str">
            <v>Furniture</v>
          </cell>
          <cell r="K735" t="str">
            <v>Furnishings</v>
          </cell>
          <cell r="L735" t="str">
            <v>Classic Furnishings 582</v>
          </cell>
          <cell r="M735" t="str">
            <v>First Class</v>
          </cell>
          <cell r="N735">
            <v>9</v>
          </cell>
          <cell r="O735">
            <v>2797.96</v>
          </cell>
          <cell r="P735">
            <v>0</v>
          </cell>
          <cell r="S735">
            <v>9843.74</v>
          </cell>
          <cell r="T735" t="str">
            <v>Paid</v>
          </cell>
          <cell r="U735" t="str">
            <v>Completed</v>
          </cell>
        </row>
        <row r="736">
          <cell r="A736" t="str">
            <v>ORD-2024-10735</v>
          </cell>
          <cell r="B736" t="str">
            <v>24-08-2024</v>
          </cell>
          <cell r="C736" t="str">
            <v>24-08-2024</v>
          </cell>
          <cell r="D736" t="str">
            <v>CUST-5406</v>
          </cell>
          <cell r="E736" t="str">
            <v>Ananya Rao</v>
          </cell>
          <cell r="F736" t="str">
            <v>Small Business</v>
          </cell>
          <cell r="G736" t="str">
            <v>North</v>
          </cell>
          <cell r="H736" t="str">
            <v>Rajasthan</v>
          </cell>
          <cell r="I736" t="str">
            <v>Jaipur</v>
          </cell>
          <cell r="J736" t="str">
            <v>Technology</v>
          </cell>
          <cell r="K736" t="str">
            <v>Accessories</v>
          </cell>
          <cell r="L736" t="str">
            <v>Classic Accessories 981</v>
          </cell>
          <cell r="M736" t="str">
            <v>First Class</v>
          </cell>
          <cell r="N736">
            <v>4</v>
          </cell>
          <cell r="O736">
            <v>2761.86</v>
          </cell>
          <cell r="P736">
            <v>0.2</v>
          </cell>
          <cell r="S736">
            <v>2680.68</v>
          </cell>
          <cell r="T736" t="str">
            <v>Paid</v>
          </cell>
          <cell r="U736" t="str">
            <v>Completed</v>
          </cell>
        </row>
        <row r="737">
          <cell r="A737" t="str">
            <v>ORD-2024-10736</v>
          </cell>
          <cell r="B737" t="str">
            <v>2024-08-11</v>
          </cell>
          <cell r="C737" t="str">
            <v>19-08-2024</v>
          </cell>
          <cell r="D737" t="str">
            <v>CUST-1963</v>
          </cell>
          <cell r="E737" t="str">
            <v>Mira Das</v>
          </cell>
          <cell r="F737" t="str">
            <v>Consumer</v>
          </cell>
          <cell r="G737" t="str">
            <v>West</v>
          </cell>
          <cell r="H737" t="str">
            <v>Maharashtra</v>
          </cell>
          <cell r="I737" t="str">
            <v>Mumbai</v>
          </cell>
          <cell r="J737" t="str">
            <v>Furniture</v>
          </cell>
          <cell r="K737" t="str">
            <v>Tables</v>
          </cell>
          <cell r="L737" t="str">
            <v>Classic Tables 534</v>
          </cell>
          <cell r="M737" t="str">
            <v>Standard Class</v>
          </cell>
          <cell r="N737">
            <v>6</v>
          </cell>
          <cell r="O737">
            <v>1515.79</v>
          </cell>
          <cell r="P737">
            <v>0.2</v>
          </cell>
          <cell r="S737">
            <v>1122.92</v>
          </cell>
          <cell r="T737" t="str">
            <v>Paid</v>
          </cell>
          <cell r="U737" t="str">
            <v>Completed</v>
          </cell>
        </row>
        <row r="738">
          <cell r="A738" t="str">
            <v>ORD-2024-10737</v>
          </cell>
          <cell r="B738" t="str">
            <v>06 Dec 2024</v>
          </cell>
          <cell r="C738" t="str">
            <v>09-12-2024</v>
          </cell>
          <cell r="D738" t="str">
            <v>CUST-9017</v>
          </cell>
          <cell r="E738" t="str">
            <v>Aditi Sen</v>
          </cell>
          <cell r="F738" t="str">
            <v>Consumer</v>
          </cell>
          <cell r="G738" t="str">
            <v>West</v>
          </cell>
          <cell r="H738" t="str">
            <v>Maharashtra</v>
          </cell>
          <cell r="I738" t="str">
            <v>Mumbai</v>
          </cell>
          <cell r="J738" t="str">
            <v>Furniture</v>
          </cell>
          <cell r="K738" t="str">
            <v>Chairs</v>
          </cell>
          <cell r="L738" t="str">
            <v>Pro Chairs 383</v>
          </cell>
          <cell r="M738" t="str">
            <v>Second Class</v>
          </cell>
          <cell r="N738">
            <v>9</v>
          </cell>
          <cell r="O738">
            <v>290.75</v>
          </cell>
          <cell r="P738">
            <v>0.1</v>
          </cell>
          <cell r="S738">
            <v>1005.05</v>
          </cell>
          <cell r="T738" t="str">
            <v>Paid</v>
          </cell>
          <cell r="U738" t="str">
            <v>Completed</v>
          </cell>
        </row>
        <row r="739">
          <cell r="A739" t="str">
            <v>ORD-2024-10738</v>
          </cell>
          <cell r="B739" t="str">
            <v>2024-02-10</v>
          </cell>
          <cell r="C739" t="str">
            <v>10 Feb 2024</v>
          </cell>
          <cell r="D739" t="str">
            <v>CUST-7967</v>
          </cell>
          <cell r="E739" t="str">
            <v>Isha Nair</v>
          </cell>
          <cell r="F739" t="str">
            <v>Home Office</v>
          </cell>
          <cell r="G739" t="str">
            <v>West</v>
          </cell>
          <cell r="H739" t="str">
            <v>Maharashtra</v>
          </cell>
          <cell r="I739" t="str">
            <v>Mumbai</v>
          </cell>
          <cell r="J739" t="str">
            <v>Furniture</v>
          </cell>
          <cell r="K739" t="str">
            <v>Chairs</v>
          </cell>
          <cell r="L739" t="str">
            <v>Max Chairs 845</v>
          </cell>
          <cell r="M739" t="str">
            <v>Same Day</v>
          </cell>
          <cell r="N739">
            <v>6</v>
          </cell>
          <cell r="O739">
            <v>601.52</v>
          </cell>
          <cell r="P739">
            <v>0</v>
          </cell>
          <cell r="S739">
            <v>963.62</v>
          </cell>
          <cell r="T739" t="str">
            <v>Paid</v>
          </cell>
          <cell r="U739" t="str">
            <v>Completed</v>
          </cell>
        </row>
        <row r="740">
          <cell r="A740" t="str">
            <v>ORD-2025-10739</v>
          </cell>
          <cell r="B740" t="str">
            <v>20 Feb 2025</v>
          </cell>
          <cell r="C740" t="str">
            <v>02/22/2025</v>
          </cell>
          <cell r="D740" t="str">
            <v>CUST-5334</v>
          </cell>
          <cell r="E740" t="str">
            <v>Priya Menon</v>
          </cell>
          <cell r="F740" t="str">
            <v>Corporate</v>
          </cell>
          <cell r="G740" t="str">
            <v>South</v>
          </cell>
          <cell r="H740" t="str">
            <v>Kerala</v>
          </cell>
          <cell r="I740" t="str">
            <v>Kochi</v>
          </cell>
          <cell r="J740" t="str">
            <v>Office Supplies</v>
          </cell>
          <cell r="K740" t="str">
            <v>Paper</v>
          </cell>
          <cell r="L740" t="str">
            <v>Prime Paper 307</v>
          </cell>
          <cell r="M740" t="str">
            <v>First Class</v>
          </cell>
          <cell r="N740">
            <v>1</v>
          </cell>
          <cell r="O740">
            <v>2188.19</v>
          </cell>
          <cell r="P740">
            <v>0</v>
          </cell>
          <cell r="S740">
            <v>889.35</v>
          </cell>
          <cell r="T740" t="str">
            <v>Paid</v>
          </cell>
          <cell r="U740" t="str">
            <v>Completed</v>
          </cell>
        </row>
        <row r="741">
          <cell r="A741" t="str">
            <v>ORD-2024-10740</v>
          </cell>
          <cell r="B741" t="str">
            <v>03 Dec 2024</v>
          </cell>
          <cell r="C741" t="str">
            <v>12/10/2024</v>
          </cell>
          <cell r="D741" t="str">
            <v>CUST-5846</v>
          </cell>
          <cell r="E741" t="str">
            <v>Neha Gupta</v>
          </cell>
          <cell r="F741" t="str">
            <v>Corporate</v>
          </cell>
          <cell r="G741" t="str">
            <v>North</v>
          </cell>
          <cell r="H741" t="str">
            <v>Rajasthan</v>
          </cell>
          <cell r="I741" t="str">
            <v>Jaipur</v>
          </cell>
          <cell r="J741" t="str">
            <v>Technology</v>
          </cell>
          <cell r="K741" t="str">
            <v>Phones</v>
          </cell>
          <cell r="L741" t="str">
            <v>Basic Phones 859</v>
          </cell>
          <cell r="M741" t="str">
            <v>Standard Class</v>
          </cell>
          <cell r="N741">
            <v>5</v>
          </cell>
          <cell r="O741">
            <v>2393.86</v>
          </cell>
          <cell r="P741">
            <v>0.05</v>
          </cell>
          <cell r="S741">
            <v>3901.26</v>
          </cell>
          <cell r="T741" t="str">
            <v>Paid</v>
          </cell>
          <cell r="U741" t="str">
            <v>Completed</v>
          </cell>
        </row>
        <row r="742">
          <cell r="A742" t="str">
            <v>ORD-2024-10741</v>
          </cell>
          <cell r="B742" t="str">
            <v>02 Apr 2024</v>
          </cell>
          <cell r="C742" t="str">
            <v>04/02/2024</v>
          </cell>
          <cell r="D742" t="str">
            <v>CUST-7932</v>
          </cell>
          <cell r="E742" t="str">
            <v>Sneha Kapoor</v>
          </cell>
          <cell r="F742" t="str">
            <v>Small Business</v>
          </cell>
          <cell r="G742" t="str">
            <v>West</v>
          </cell>
          <cell r="H742" t="str">
            <v>Maharashtra</v>
          </cell>
          <cell r="I742" t="str">
            <v>Mumbai</v>
          </cell>
          <cell r="J742" t="str">
            <v>Furniture</v>
          </cell>
          <cell r="K742" t="str">
            <v>Chairs</v>
          </cell>
          <cell r="L742" t="str">
            <v>Eco Chairs 883</v>
          </cell>
          <cell r="M742" t="str">
            <v>First Class</v>
          </cell>
          <cell r="N742">
            <v>4</v>
          </cell>
          <cell r="O742">
            <v>2583</v>
          </cell>
          <cell r="P742">
            <v>0.1</v>
          </cell>
          <cell r="S742">
            <v>2750.3</v>
          </cell>
          <cell r="T742" t="str">
            <v>Paid</v>
          </cell>
          <cell r="U742" t="str">
            <v>Completed</v>
          </cell>
        </row>
        <row r="743">
          <cell r="A743" t="str">
            <v>ORD-2025-10742</v>
          </cell>
          <cell r="B743" t="str">
            <v>04/23/2025</v>
          </cell>
          <cell r="C743" t="str">
            <v>2025-04-25</v>
          </cell>
          <cell r="D743" t="str">
            <v>CUST-3285</v>
          </cell>
          <cell r="E743" t="str">
            <v>Isha Nair</v>
          </cell>
          <cell r="F743" t="str">
            <v>Home Office</v>
          </cell>
          <cell r="G743" t="str">
            <v>South</v>
          </cell>
          <cell r="H743" t="str">
            <v>Tamil Nadu</v>
          </cell>
          <cell r="I743" t="str">
            <v>Chennai</v>
          </cell>
          <cell r="J743" t="str">
            <v>Furniture</v>
          </cell>
          <cell r="K743" t="str">
            <v>Chairs</v>
          </cell>
          <cell r="L743" t="str">
            <v>Max Chairs 706</v>
          </cell>
          <cell r="M743" t="str">
            <v>Second Class</v>
          </cell>
          <cell r="N743">
            <v>3</v>
          </cell>
          <cell r="O743">
            <v>2951.12</v>
          </cell>
          <cell r="S743">
            <v>1486.35</v>
          </cell>
          <cell r="T743" t="str">
            <v>Paid</v>
          </cell>
          <cell r="U743" t="str">
            <v>Cancelled</v>
          </cell>
        </row>
        <row r="744">
          <cell r="A744" t="str">
            <v>ORD-2024-10743</v>
          </cell>
          <cell r="B744" t="str">
            <v>10/15/2024</v>
          </cell>
          <cell r="C744" t="str">
            <v>22 Oct 2024</v>
          </cell>
          <cell r="D744" t="str">
            <v>CUST-6368</v>
          </cell>
          <cell r="E744" t="str">
            <v>Karan Malhotra</v>
          </cell>
          <cell r="F744" t="str">
            <v>Corporate</v>
          </cell>
          <cell r="G744" t="str">
            <v>east</v>
          </cell>
          <cell r="H744" t="str">
            <v>Odisha</v>
          </cell>
          <cell r="I744" t="str">
            <v>Bhubaneswar</v>
          </cell>
          <cell r="J744" t="str">
            <v>Office Supplies</v>
          </cell>
          <cell r="K744" t="str">
            <v>Paper</v>
          </cell>
          <cell r="L744" t="str">
            <v>Prime Paper 768</v>
          </cell>
          <cell r="M744" t="str">
            <v>Standard Class</v>
          </cell>
          <cell r="N744">
            <v>4</v>
          </cell>
          <cell r="O744">
            <v>2260.9499999999998</v>
          </cell>
          <cell r="P744">
            <v>0</v>
          </cell>
          <cell r="S744">
            <v>3130.42</v>
          </cell>
          <cell r="T744" t="str">
            <v>Paid</v>
          </cell>
          <cell r="U744" t="str">
            <v>Completed</v>
          </cell>
        </row>
        <row r="745">
          <cell r="A745" t="str">
            <v>ORD-2025-10744</v>
          </cell>
          <cell r="B745" t="str">
            <v>02/12/2025</v>
          </cell>
          <cell r="C745" t="str">
            <v>14 Feb 2025</v>
          </cell>
          <cell r="D745" t="str">
            <v>CUST-6231</v>
          </cell>
          <cell r="E745" t="str">
            <v>Sneha Kapoor</v>
          </cell>
          <cell r="F745" t="str">
            <v>Consumer</v>
          </cell>
          <cell r="G745" t="str">
            <v>North</v>
          </cell>
          <cell r="H745" t="str">
            <v>Uttar Pradesh</v>
          </cell>
          <cell r="I745" t="str">
            <v>Noida</v>
          </cell>
          <cell r="J745" t="str">
            <v>Office Supplies</v>
          </cell>
          <cell r="K745" t="str">
            <v>Art</v>
          </cell>
          <cell r="L745" t="str">
            <v>Basic Art 764</v>
          </cell>
          <cell r="M745" t="str">
            <v>Standard Class</v>
          </cell>
          <cell r="N745">
            <v>6</v>
          </cell>
          <cell r="O745">
            <v>491.4</v>
          </cell>
          <cell r="P745">
            <v>0.25</v>
          </cell>
          <cell r="S745">
            <v>475.66</v>
          </cell>
          <cell r="T745" t="str">
            <v>Paid</v>
          </cell>
          <cell r="U745" t="str">
            <v>Completed</v>
          </cell>
        </row>
        <row r="746">
          <cell r="A746" t="str">
            <v>ORD-2025-10745</v>
          </cell>
          <cell r="B746" t="str">
            <v>2025-08-17</v>
          </cell>
          <cell r="C746" t="str">
            <v>2025-08-20</v>
          </cell>
          <cell r="D746" t="str">
            <v>CUST-2021</v>
          </cell>
          <cell r="E746" t="str">
            <v>Mira Das</v>
          </cell>
          <cell r="F746" t="str">
            <v>Home Office</v>
          </cell>
          <cell r="G746" t="str">
            <v>North</v>
          </cell>
          <cell r="H746" t="str">
            <v>Punjab</v>
          </cell>
          <cell r="I746" t="str">
            <v>Ludhiana</v>
          </cell>
          <cell r="J746" t="str">
            <v>Office Supplies</v>
          </cell>
          <cell r="K746" t="str">
            <v>Binders</v>
          </cell>
          <cell r="L746" t="str">
            <v>Prime Binders 181</v>
          </cell>
          <cell r="M746" t="str">
            <v>First Class</v>
          </cell>
          <cell r="N746">
            <v>5</v>
          </cell>
          <cell r="O746">
            <v>2701.89</v>
          </cell>
          <cell r="P746">
            <v>0.1</v>
          </cell>
          <cell r="S746">
            <v>1898.43</v>
          </cell>
          <cell r="T746" t="str">
            <v>Paid</v>
          </cell>
          <cell r="U746" t="str">
            <v>Cancelled</v>
          </cell>
        </row>
        <row r="747">
          <cell r="A747" t="str">
            <v>ORD-2024-10746</v>
          </cell>
          <cell r="B747" t="str">
            <v>24 Oct 2024</v>
          </cell>
          <cell r="C747" t="str">
            <v>28-10-2024</v>
          </cell>
          <cell r="D747" t="str">
            <v>CUST-1493</v>
          </cell>
          <cell r="E747" t="str">
            <v>Mira Das</v>
          </cell>
          <cell r="F747" t="str">
            <v>Small Business</v>
          </cell>
          <cell r="G747" t="str">
            <v>East</v>
          </cell>
          <cell r="H747" t="str">
            <v>Assam</v>
          </cell>
          <cell r="I747" t="str">
            <v>Guwahati</v>
          </cell>
          <cell r="J747" t="str">
            <v>Technology</v>
          </cell>
          <cell r="K747" t="str">
            <v>Copiers</v>
          </cell>
          <cell r="L747" t="str">
            <v>Max Copiers 866</v>
          </cell>
          <cell r="M747" t="str">
            <v>Standard Class</v>
          </cell>
          <cell r="N747">
            <v>3</v>
          </cell>
          <cell r="O747">
            <v>723.59</v>
          </cell>
          <cell r="P747">
            <v>0.2</v>
          </cell>
          <cell r="S747">
            <v>677.1</v>
          </cell>
          <cell r="T747" t="str">
            <v>Paid</v>
          </cell>
          <cell r="U747" t="str">
            <v>Completed</v>
          </cell>
        </row>
        <row r="748">
          <cell r="A748" t="str">
            <v>ORD-2025-10747</v>
          </cell>
          <cell r="B748" t="str">
            <v>2025-01-04</v>
          </cell>
          <cell r="C748" t="str">
            <v>10-01-2025</v>
          </cell>
          <cell r="D748" t="str">
            <v>CUST-2314</v>
          </cell>
          <cell r="E748" t="str">
            <v>Aarav Sharma</v>
          </cell>
          <cell r="F748" t="str">
            <v>Home Office</v>
          </cell>
          <cell r="G748" t="str">
            <v>East</v>
          </cell>
          <cell r="H748" t="str">
            <v>West Bengal</v>
          </cell>
          <cell r="I748" t="str">
            <v>Kolkata</v>
          </cell>
          <cell r="J748" t="str">
            <v>Office Supplies</v>
          </cell>
          <cell r="K748" t="str">
            <v>Paper</v>
          </cell>
          <cell r="L748" t="str">
            <v>Pro Paper 662</v>
          </cell>
          <cell r="M748" t="str">
            <v>Standard Class</v>
          </cell>
          <cell r="N748">
            <v>4</v>
          </cell>
          <cell r="O748">
            <v>2583.19</v>
          </cell>
          <cell r="P748">
            <v>0.2</v>
          </cell>
          <cell r="S748">
            <v>2029.89</v>
          </cell>
          <cell r="T748" t="str">
            <v>Paid</v>
          </cell>
          <cell r="U748" t="str">
            <v>Completed</v>
          </cell>
        </row>
        <row r="749">
          <cell r="A749" t="str">
            <v>ORD-2024-10748</v>
          </cell>
          <cell r="B749" t="str">
            <v>2024-05-01</v>
          </cell>
          <cell r="C749" t="str">
            <v>07 May 2024</v>
          </cell>
          <cell r="D749" t="str">
            <v>CUST-8416</v>
          </cell>
          <cell r="E749" t="str">
            <v>Isha Nair</v>
          </cell>
          <cell r="F749" t="str">
            <v>Home Office</v>
          </cell>
          <cell r="G749" t="str">
            <v>East</v>
          </cell>
          <cell r="H749" t="str">
            <v>Odisha</v>
          </cell>
          <cell r="I749" t="str">
            <v>Bhubaneswar</v>
          </cell>
          <cell r="J749" t="str">
            <v>Office Supplies</v>
          </cell>
          <cell r="K749" t="str">
            <v>Paper</v>
          </cell>
          <cell r="L749" t="str">
            <v>Classic Paper 388</v>
          </cell>
          <cell r="M749" t="str">
            <v>Same Day</v>
          </cell>
          <cell r="N749">
            <v>8</v>
          </cell>
          <cell r="O749">
            <v>1473.83</v>
          </cell>
          <cell r="P749">
            <v>0.15</v>
          </cell>
          <cell r="S749">
            <v>4445.0600000000004</v>
          </cell>
          <cell r="T749" t="str">
            <v>Paid</v>
          </cell>
          <cell r="U749" t="str">
            <v>Completed</v>
          </cell>
        </row>
        <row r="750">
          <cell r="A750" t="str">
            <v>ORD-2024-10749</v>
          </cell>
          <cell r="B750" t="str">
            <v>30-05-2024</v>
          </cell>
          <cell r="C750" t="str">
            <v>05/30/2024</v>
          </cell>
          <cell r="D750" t="str">
            <v>CUST-3103</v>
          </cell>
          <cell r="E750" t="str">
            <v>Diya Patel</v>
          </cell>
          <cell r="F750" t="str">
            <v>Home Office</v>
          </cell>
          <cell r="G750" t="str">
            <v>North</v>
          </cell>
          <cell r="H750" t="str">
            <v>Haryana</v>
          </cell>
          <cell r="I750" t="str">
            <v>Gurugram</v>
          </cell>
          <cell r="J750" t="str">
            <v>Technology</v>
          </cell>
          <cell r="K750" t="str">
            <v>Phones</v>
          </cell>
          <cell r="L750" t="str">
            <v>Pro Phones 765</v>
          </cell>
          <cell r="M750" t="str">
            <v>Second Class</v>
          </cell>
          <cell r="N750">
            <v>1</v>
          </cell>
          <cell r="O750">
            <v>3848.04</v>
          </cell>
          <cell r="P750">
            <v>0.25</v>
          </cell>
          <cell r="S750">
            <v>821.2</v>
          </cell>
          <cell r="T750" t="str">
            <v>Paid</v>
          </cell>
          <cell r="U750" t="str">
            <v>Completed</v>
          </cell>
        </row>
        <row r="751">
          <cell r="A751" t="str">
            <v>ORD-2024-10750</v>
          </cell>
          <cell r="B751" t="str">
            <v>21 Mar 2024</v>
          </cell>
          <cell r="C751" t="str">
            <v>2024-03-25</v>
          </cell>
          <cell r="D751" t="str">
            <v>CUST-4457</v>
          </cell>
          <cell r="E751" t="str">
            <v>Aditi Sen</v>
          </cell>
          <cell r="F751" t="str">
            <v>Home Office</v>
          </cell>
          <cell r="G751" t="str">
            <v>East</v>
          </cell>
          <cell r="H751" t="str">
            <v>Assam</v>
          </cell>
          <cell r="I751" t="str">
            <v>Guwahati</v>
          </cell>
          <cell r="J751" t="str">
            <v>Technology</v>
          </cell>
          <cell r="K751" t="str">
            <v>Machines</v>
          </cell>
          <cell r="L751" t="str">
            <v>Classic Machines 543</v>
          </cell>
          <cell r="M751" t="str">
            <v>Standard Class</v>
          </cell>
          <cell r="N751">
            <v>1</v>
          </cell>
          <cell r="O751">
            <v>1716.7</v>
          </cell>
          <cell r="P751">
            <v>0.15</v>
          </cell>
          <cell r="S751">
            <v>403.4</v>
          </cell>
          <cell r="T751" t="str">
            <v>Paid</v>
          </cell>
          <cell r="U751" t="str">
            <v>Completed</v>
          </cell>
        </row>
        <row r="752">
          <cell r="A752" t="str">
            <v>ORD-2025-10751</v>
          </cell>
          <cell r="B752" t="str">
            <v>06/02/2025</v>
          </cell>
          <cell r="C752" t="str">
            <v>2025-06-02</v>
          </cell>
          <cell r="D752" t="str">
            <v>CUST-7036</v>
          </cell>
          <cell r="E752" t="str">
            <v>Aarav Sharma</v>
          </cell>
          <cell r="F752" t="str">
            <v>Home Office</v>
          </cell>
          <cell r="G752" t="str">
            <v>South</v>
          </cell>
          <cell r="H752" t="str">
            <v>Telangana</v>
          </cell>
          <cell r="I752" t="str">
            <v>Hyderabad</v>
          </cell>
          <cell r="J752" t="str">
            <v>Technology</v>
          </cell>
          <cell r="K752" t="str">
            <v>Accessories</v>
          </cell>
          <cell r="L752" t="str">
            <v>Max Accessories 291</v>
          </cell>
          <cell r="M752" t="str">
            <v>First Class</v>
          </cell>
          <cell r="N752">
            <v>8</v>
          </cell>
          <cell r="O752">
            <v>3925.93</v>
          </cell>
          <cell r="P752">
            <v>0.15</v>
          </cell>
          <cell r="S752">
            <v>3971.8</v>
          </cell>
          <cell r="T752" t="str">
            <v>Paid</v>
          </cell>
          <cell r="U752" t="str">
            <v>Completed</v>
          </cell>
        </row>
        <row r="753">
          <cell r="A753" t="str">
            <v>ORD-2025-10752</v>
          </cell>
          <cell r="B753" t="str">
            <v>18-07-2025</v>
          </cell>
          <cell r="C753" t="str">
            <v>19-07-2025</v>
          </cell>
          <cell r="D753" t="str">
            <v>CUST-8512</v>
          </cell>
          <cell r="E753" t="str">
            <v>Priya Menon</v>
          </cell>
          <cell r="F753" t="str">
            <v>Home Office</v>
          </cell>
          <cell r="H753" t="str">
            <v>Uttar Pradesh</v>
          </cell>
          <cell r="I753" t="str">
            <v>Noida</v>
          </cell>
          <cell r="J753" t="str">
            <v>Technology</v>
          </cell>
          <cell r="K753" t="str">
            <v>Machines</v>
          </cell>
          <cell r="L753" t="str">
            <v>Eco Machines 414</v>
          </cell>
          <cell r="N753">
            <v>3</v>
          </cell>
          <cell r="O753">
            <v>2963.25</v>
          </cell>
          <cell r="P753">
            <v>0.05</v>
          </cell>
          <cell r="S753">
            <v>1507.66</v>
          </cell>
          <cell r="T753" t="str">
            <v>Paid</v>
          </cell>
          <cell r="U753" t="str">
            <v>Completed</v>
          </cell>
        </row>
        <row r="754">
          <cell r="A754" t="str">
            <v>ORD-2024-10753</v>
          </cell>
          <cell r="B754" t="str">
            <v>24-03-2024</v>
          </cell>
          <cell r="C754" t="str">
            <v>27-03-2024</v>
          </cell>
          <cell r="D754" t="str">
            <v>CUST-6345</v>
          </cell>
          <cell r="E754" t="str">
            <v>Aditi Sen</v>
          </cell>
          <cell r="F754" t="str">
            <v>Corporate</v>
          </cell>
          <cell r="G754" t="str">
            <v>West</v>
          </cell>
          <cell r="H754" t="str">
            <v>Gujarat</v>
          </cell>
          <cell r="I754" t="str">
            <v>Ahmedabad</v>
          </cell>
          <cell r="J754" t="str">
            <v>Office Supplies</v>
          </cell>
          <cell r="K754" t="str">
            <v>Storage</v>
          </cell>
          <cell r="L754" t="str">
            <v>Basic Storage 273</v>
          </cell>
          <cell r="M754" t="str">
            <v>First Class</v>
          </cell>
          <cell r="N754">
            <v>5</v>
          </cell>
          <cell r="O754">
            <v>2465.2199999999998</v>
          </cell>
          <cell r="P754">
            <v>0.05</v>
          </cell>
          <cell r="S754">
            <v>3337.5</v>
          </cell>
          <cell r="T754" t="str">
            <v>Paid</v>
          </cell>
          <cell r="U754" t="str">
            <v>Completed</v>
          </cell>
        </row>
        <row r="755">
          <cell r="A755" t="str">
            <v>ORD-2024-10754</v>
          </cell>
          <cell r="B755" t="str">
            <v>11 Aug 2024</v>
          </cell>
          <cell r="C755" t="str">
            <v>10-08-2024</v>
          </cell>
          <cell r="D755" t="str">
            <v>CUST-4505</v>
          </cell>
          <cell r="E755" t="str">
            <v>Aditi Sen</v>
          </cell>
          <cell r="F755" t="str">
            <v>Corporate</v>
          </cell>
          <cell r="G755" t="str">
            <v>North</v>
          </cell>
          <cell r="H755" t="str">
            <v>Delhi</v>
          </cell>
          <cell r="I755" t="str">
            <v>New Delhi</v>
          </cell>
          <cell r="J755" t="str">
            <v>Furniture</v>
          </cell>
          <cell r="K755" t="str">
            <v>Furnishings</v>
          </cell>
          <cell r="L755" t="str">
            <v>Elite Furnishings 588</v>
          </cell>
          <cell r="M755" t="str">
            <v>Second Class</v>
          </cell>
          <cell r="N755">
            <v>3</v>
          </cell>
          <cell r="O755">
            <v>1017.22</v>
          </cell>
          <cell r="P755">
            <v>0.15</v>
          </cell>
          <cell r="S755">
            <v>745.43</v>
          </cell>
          <cell r="T755" t="str">
            <v>Failed</v>
          </cell>
          <cell r="U755" t="str">
            <v>Returned</v>
          </cell>
        </row>
        <row r="756">
          <cell r="A756" t="str">
            <v>ORD-2025-10755</v>
          </cell>
          <cell r="B756" t="str">
            <v>06/04/2025</v>
          </cell>
          <cell r="C756" t="str">
            <v>06/04/2025</v>
          </cell>
          <cell r="D756" t="str">
            <v>CUST-7960</v>
          </cell>
          <cell r="E756" t="str">
            <v>Neha Gupta</v>
          </cell>
          <cell r="F756" t="str">
            <v>Corporate</v>
          </cell>
          <cell r="G756" t="str">
            <v>South</v>
          </cell>
          <cell r="H756" t="str">
            <v>Kerala</v>
          </cell>
          <cell r="I756" t="str">
            <v>Kochi</v>
          </cell>
          <cell r="J756" t="str">
            <v>Office Supplies</v>
          </cell>
          <cell r="K756" t="str">
            <v>Storage</v>
          </cell>
          <cell r="L756" t="str">
            <v>Elite Storage 857</v>
          </cell>
          <cell r="M756" t="str">
            <v>Standard Class</v>
          </cell>
          <cell r="N756">
            <v>4</v>
          </cell>
          <cell r="O756">
            <v>891.34</v>
          </cell>
          <cell r="P756">
            <v>0.25</v>
          </cell>
          <cell r="S756">
            <v>466.45</v>
          </cell>
          <cell r="T756" t="str">
            <v>Paid</v>
          </cell>
          <cell r="U756" t="str">
            <v>Completed</v>
          </cell>
        </row>
        <row r="757">
          <cell r="A757" t="str">
            <v>ORD-2025-10756</v>
          </cell>
          <cell r="B757" t="str">
            <v>20-07-2025</v>
          </cell>
          <cell r="C757" t="str">
            <v>24-07-2025</v>
          </cell>
          <cell r="D757" t="str">
            <v>CUST-3365</v>
          </cell>
          <cell r="E757" t="str">
            <v>Priya Menon</v>
          </cell>
          <cell r="F757" t="str">
            <v>Home Office</v>
          </cell>
          <cell r="G757" t="str">
            <v>West</v>
          </cell>
          <cell r="H757" t="str">
            <v>Madhya Pradesh</v>
          </cell>
          <cell r="I757" t="str">
            <v>Indore</v>
          </cell>
          <cell r="J757" t="str">
            <v>Office Supplies</v>
          </cell>
          <cell r="K757" t="str">
            <v>Storage</v>
          </cell>
          <cell r="L757" t="str">
            <v>Prime Storage 183</v>
          </cell>
          <cell r="M757" t="str">
            <v>Second Class</v>
          </cell>
          <cell r="N757">
            <v>5</v>
          </cell>
          <cell r="O757">
            <v>2481.7399999999998</v>
          </cell>
          <cell r="P757">
            <v>0.2</v>
          </cell>
          <cell r="S757">
            <v>1931.98</v>
          </cell>
          <cell r="T757" t="str">
            <v>Paid</v>
          </cell>
          <cell r="U757" t="str">
            <v>Completed</v>
          </cell>
        </row>
        <row r="758">
          <cell r="A758" t="str">
            <v>ORD-2024-10757</v>
          </cell>
          <cell r="B758" t="str">
            <v>10/27/2024</v>
          </cell>
          <cell r="C758" t="str">
            <v>11/01/2024</v>
          </cell>
          <cell r="D758" t="str">
            <v>CUST-1557</v>
          </cell>
          <cell r="E758" t="str">
            <v>Rohan Mehta</v>
          </cell>
          <cell r="F758" t="str">
            <v>Consumer</v>
          </cell>
          <cell r="G758" t="str">
            <v>North</v>
          </cell>
          <cell r="H758" t="str">
            <v>Rajasthan</v>
          </cell>
          <cell r="I758" t="str">
            <v>Jaipur</v>
          </cell>
          <cell r="J758" t="str">
            <v>Technology</v>
          </cell>
          <cell r="K758" t="str">
            <v>Accessories</v>
          </cell>
          <cell r="L758" t="str">
            <v>Smart Accessories 362</v>
          </cell>
          <cell r="M758" t="str">
            <v>Same Day</v>
          </cell>
          <cell r="N758">
            <v>7</v>
          </cell>
          <cell r="O758">
            <v>2177.1</v>
          </cell>
          <cell r="P758">
            <v>0.2</v>
          </cell>
          <cell r="S758">
            <v>1734.27</v>
          </cell>
          <cell r="T758" t="str">
            <v>Paid</v>
          </cell>
          <cell r="U758" t="str">
            <v>Returned</v>
          </cell>
        </row>
        <row r="759">
          <cell r="A759" t="str">
            <v>ORD-2025-10758</v>
          </cell>
          <cell r="B759" t="str">
            <v>01 Aug 2025</v>
          </cell>
          <cell r="C759" t="str">
            <v>2025-08-03</v>
          </cell>
          <cell r="D759" t="str">
            <v>CUST-3058</v>
          </cell>
          <cell r="E759" t="str">
            <v>Aditi Sen</v>
          </cell>
          <cell r="F759" t="str">
            <v>Small Business</v>
          </cell>
          <cell r="G759" t="str">
            <v>South</v>
          </cell>
          <cell r="H759" t="str">
            <v>Kerala</v>
          </cell>
          <cell r="I759" t="str">
            <v>Kochi</v>
          </cell>
          <cell r="J759" t="str">
            <v>Furniture</v>
          </cell>
          <cell r="K759" t="str">
            <v>Bookcases</v>
          </cell>
          <cell r="L759" t="str">
            <v>Classic Bookcases 310</v>
          </cell>
          <cell r="M759" t="str">
            <v>Standard Class</v>
          </cell>
          <cell r="N759">
            <v>3</v>
          </cell>
          <cell r="O759">
            <v>1904.78</v>
          </cell>
          <cell r="P759">
            <v>0.25</v>
          </cell>
          <cell r="S759">
            <v>1899.43</v>
          </cell>
          <cell r="T759" t="str">
            <v>Failed</v>
          </cell>
          <cell r="U759" t="str">
            <v>Cancelled</v>
          </cell>
        </row>
        <row r="760">
          <cell r="A760" t="str">
            <v>ORD-2024-10759</v>
          </cell>
          <cell r="B760" t="str">
            <v>02 May 2024</v>
          </cell>
          <cell r="C760" t="str">
            <v>10 May 2024</v>
          </cell>
          <cell r="D760" t="str">
            <v>CUST-6076</v>
          </cell>
          <cell r="E760" t="str">
            <v>Aarav Sharma</v>
          </cell>
          <cell r="F760" t="str">
            <v>Small Business</v>
          </cell>
          <cell r="G760" t="str">
            <v>South</v>
          </cell>
          <cell r="H760" t="str">
            <v>Karnataka</v>
          </cell>
          <cell r="I760" t="str">
            <v>Bengaluru</v>
          </cell>
          <cell r="J760" t="str">
            <v>Furniture</v>
          </cell>
          <cell r="K760" t="str">
            <v>Chairs</v>
          </cell>
          <cell r="L760" t="str">
            <v>Prime Chairs 721</v>
          </cell>
          <cell r="M760" t="str">
            <v>Standard Class</v>
          </cell>
          <cell r="N760">
            <v>1</v>
          </cell>
          <cell r="O760">
            <v>4166.91</v>
          </cell>
          <cell r="P760">
            <v>0</v>
          </cell>
          <cell r="S760">
            <v>754.28</v>
          </cell>
          <cell r="T760" t="str">
            <v>Paid</v>
          </cell>
          <cell r="U760" t="str">
            <v>Completed</v>
          </cell>
        </row>
        <row r="761">
          <cell r="A761" t="str">
            <v>ORD-2024-10760</v>
          </cell>
          <cell r="B761" t="str">
            <v>2024-07-19</v>
          </cell>
          <cell r="C761" t="str">
            <v>26-07-2024</v>
          </cell>
          <cell r="D761" t="str">
            <v>CUST-2098</v>
          </cell>
          <cell r="E761" t="str">
            <v>Arjun Bose</v>
          </cell>
          <cell r="F761" t="str">
            <v>Home Office</v>
          </cell>
          <cell r="G761" t="str">
            <v>South</v>
          </cell>
          <cell r="H761" t="str">
            <v>Karnataka</v>
          </cell>
          <cell r="I761" t="str">
            <v>Bengaluru</v>
          </cell>
          <cell r="J761" t="str">
            <v>Furniture</v>
          </cell>
          <cell r="K761" t="str">
            <v>Tables</v>
          </cell>
          <cell r="L761" t="str">
            <v>Prime Tables 797</v>
          </cell>
          <cell r="M761" t="str">
            <v>Second Class</v>
          </cell>
          <cell r="N761">
            <v>5</v>
          </cell>
          <cell r="O761">
            <v>3986.01</v>
          </cell>
          <cell r="P761">
            <v>0.25</v>
          </cell>
          <cell r="S761">
            <v>5509.08</v>
          </cell>
          <cell r="T761" t="str">
            <v>Paid</v>
          </cell>
          <cell r="U761" t="str">
            <v>Completed</v>
          </cell>
        </row>
        <row r="762">
          <cell r="A762" t="str">
            <v>ORD-2024-10761</v>
          </cell>
          <cell r="B762" t="str">
            <v>28-08-2024</v>
          </cell>
          <cell r="C762" t="str">
            <v>02 Sep 2024</v>
          </cell>
          <cell r="D762" t="str">
            <v>CUST-7193</v>
          </cell>
          <cell r="E762" t="str">
            <v>Aditi Sen</v>
          </cell>
          <cell r="F762" t="str">
            <v>Home Office</v>
          </cell>
          <cell r="G762" t="str">
            <v>East</v>
          </cell>
          <cell r="H762" t="str">
            <v>Assam</v>
          </cell>
          <cell r="I762" t="str">
            <v>Guwahati</v>
          </cell>
          <cell r="J762" t="str">
            <v>Office Supplies</v>
          </cell>
          <cell r="K762" t="str">
            <v>Art</v>
          </cell>
          <cell r="L762" t="str">
            <v>Max Art 926</v>
          </cell>
          <cell r="M762" t="str">
            <v>Second Class</v>
          </cell>
          <cell r="N762">
            <v>4</v>
          </cell>
          <cell r="O762">
            <v>3365.53</v>
          </cell>
          <cell r="P762">
            <v>0</v>
          </cell>
          <cell r="S762">
            <v>5861.49</v>
          </cell>
          <cell r="T762" t="str">
            <v>Pending</v>
          </cell>
          <cell r="U762" t="str">
            <v>Returned</v>
          </cell>
        </row>
        <row r="763">
          <cell r="A763" t="str">
            <v>ORD-2025-10762</v>
          </cell>
          <cell r="B763" t="str">
            <v>27 Aug 2025</v>
          </cell>
          <cell r="C763" t="str">
            <v>08/31/2025</v>
          </cell>
          <cell r="D763" t="str">
            <v>CUST-8948</v>
          </cell>
          <cell r="E763" t="str">
            <v>Isha Nair</v>
          </cell>
          <cell r="F763" t="str">
            <v>Consumer</v>
          </cell>
          <cell r="G763" t="str">
            <v>South</v>
          </cell>
          <cell r="H763" t="str">
            <v>Karnataka</v>
          </cell>
          <cell r="I763" t="str">
            <v>Bengaluru</v>
          </cell>
          <cell r="J763" t="str">
            <v>Technology</v>
          </cell>
          <cell r="K763" t="str">
            <v>Machines</v>
          </cell>
          <cell r="L763" t="str">
            <v>Max Machines 364</v>
          </cell>
          <cell r="M763" t="str">
            <v>First Class</v>
          </cell>
          <cell r="N763">
            <v>3</v>
          </cell>
          <cell r="O763">
            <v>2489.12</v>
          </cell>
          <cell r="P763">
            <v>0</v>
          </cell>
          <cell r="S763">
            <v>2456.75</v>
          </cell>
          <cell r="T763" t="str">
            <v>Paid</v>
          </cell>
          <cell r="U763" t="str">
            <v>Completed</v>
          </cell>
        </row>
        <row r="764">
          <cell r="A764" t="str">
            <v>ORD-2024-10763</v>
          </cell>
          <cell r="B764" t="str">
            <v>01/01/2024</v>
          </cell>
          <cell r="C764" t="str">
            <v>05 Jan 2024</v>
          </cell>
          <cell r="D764" t="str">
            <v>CUST-6921</v>
          </cell>
          <cell r="E764" t="str">
            <v>Diya Patel</v>
          </cell>
          <cell r="F764" t="str">
            <v>Corporate</v>
          </cell>
          <cell r="G764" t="str">
            <v>West</v>
          </cell>
          <cell r="H764" t="str">
            <v>Madhya Pradesh</v>
          </cell>
          <cell r="I764" t="str">
            <v>Indore</v>
          </cell>
          <cell r="J764" t="str">
            <v>Technology</v>
          </cell>
          <cell r="K764" t="str">
            <v>Machines</v>
          </cell>
          <cell r="L764" t="str">
            <v>Classic Machines 122</v>
          </cell>
          <cell r="M764" t="str">
            <v>Second Class</v>
          </cell>
          <cell r="N764">
            <v>2</v>
          </cell>
          <cell r="O764">
            <v>3694.12</v>
          </cell>
          <cell r="P764">
            <v>0.2</v>
          </cell>
          <cell r="S764">
            <v>1135.1500000000001</v>
          </cell>
          <cell r="T764" t="str">
            <v>Refunded</v>
          </cell>
          <cell r="U764" t="str">
            <v>Returned</v>
          </cell>
        </row>
        <row r="765">
          <cell r="A765" t="str">
            <v>ORD-2025-10764</v>
          </cell>
          <cell r="B765" t="str">
            <v>23 Aug 2025</v>
          </cell>
          <cell r="C765" t="str">
            <v>2025-08-25</v>
          </cell>
          <cell r="D765" t="str">
            <v>CUST-4086</v>
          </cell>
          <cell r="E765" t="str">
            <v>Diya Patel</v>
          </cell>
          <cell r="F765" t="str">
            <v>Consumer</v>
          </cell>
          <cell r="G765" t="str">
            <v>North</v>
          </cell>
          <cell r="H765" t="str">
            <v>Rajasthan</v>
          </cell>
          <cell r="I765" t="str">
            <v>Jaipur</v>
          </cell>
          <cell r="J765" t="str">
            <v>Furniture</v>
          </cell>
          <cell r="K765" t="str">
            <v>Furnishings</v>
          </cell>
          <cell r="L765" t="str">
            <v>Elite Furnishings 169</v>
          </cell>
          <cell r="M765" t="str">
            <v>Same Day</v>
          </cell>
          <cell r="N765">
            <v>6</v>
          </cell>
          <cell r="O765">
            <v>2742.48</v>
          </cell>
          <cell r="P765">
            <v>0</v>
          </cell>
          <cell r="S765">
            <v>4373.34</v>
          </cell>
          <cell r="T765" t="str">
            <v>Paid</v>
          </cell>
          <cell r="U765" t="str">
            <v>Completed</v>
          </cell>
        </row>
        <row r="766">
          <cell r="A766" t="str">
            <v>ORD-2025-10765</v>
          </cell>
          <cell r="B766" t="str">
            <v>2025-04-13</v>
          </cell>
          <cell r="C766" t="str">
            <v>13-04-2025</v>
          </cell>
          <cell r="D766" t="str">
            <v>CUST-5174</v>
          </cell>
          <cell r="E766" t="str">
            <v>Priya Menon</v>
          </cell>
          <cell r="F766" t="str">
            <v>Corporate</v>
          </cell>
          <cell r="G766" t="str">
            <v>South</v>
          </cell>
          <cell r="H766" t="str">
            <v>Kerala</v>
          </cell>
          <cell r="I766" t="str">
            <v>Kochi</v>
          </cell>
          <cell r="J766" t="str">
            <v>Furniture</v>
          </cell>
          <cell r="K766" t="str">
            <v>Bookcases</v>
          </cell>
          <cell r="L766" t="str">
            <v>Pro Bookcases 615</v>
          </cell>
          <cell r="M766" t="str">
            <v>First Class</v>
          </cell>
          <cell r="N766">
            <v>6</v>
          </cell>
          <cell r="O766">
            <v>4414</v>
          </cell>
          <cell r="P766">
            <v>0.05</v>
          </cell>
          <cell r="S766">
            <v>3552.97</v>
          </cell>
          <cell r="T766" t="str">
            <v>Paid</v>
          </cell>
          <cell r="U766" t="str">
            <v>Completed</v>
          </cell>
        </row>
        <row r="767">
          <cell r="A767" t="str">
            <v>ORD-2025-10766</v>
          </cell>
          <cell r="B767" t="str">
            <v>29-06-2025</v>
          </cell>
          <cell r="C767" t="str">
            <v>2025-07-03</v>
          </cell>
          <cell r="D767" t="str">
            <v>CUST-8747</v>
          </cell>
          <cell r="E767" t="str">
            <v>Vikram Iyer</v>
          </cell>
          <cell r="F767" t="str">
            <v>Corporate</v>
          </cell>
          <cell r="G767" t="str">
            <v>East</v>
          </cell>
          <cell r="H767" t="str">
            <v>Jharkhand</v>
          </cell>
          <cell r="I767" t="str">
            <v>Ranchi</v>
          </cell>
          <cell r="J767" t="str">
            <v>Office Supplies</v>
          </cell>
          <cell r="K767" t="str">
            <v>Labels</v>
          </cell>
          <cell r="L767" t="str">
            <v>Max Labels 136</v>
          </cell>
          <cell r="M767" t="str">
            <v>First Class</v>
          </cell>
          <cell r="N767">
            <v>3</v>
          </cell>
          <cell r="O767">
            <v>608.14</v>
          </cell>
          <cell r="P767">
            <v>0</v>
          </cell>
          <cell r="S767">
            <v>609.54999999999995</v>
          </cell>
          <cell r="T767" t="str">
            <v>Paid</v>
          </cell>
          <cell r="U767" t="str">
            <v>Completed</v>
          </cell>
        </row>
        <row r="768">
          <cell r="A768" t="str">
            <v>ORD-2024-10767</v>
          </cell>
          <cell r="B768" t="str">
            <v>17 Sep 2024</v>
          </cell>
          <cell r="C768" t="str">
            <v>24 Sep 2024</v>
          </cell>
          <cell r="D768" t="str">
            <v>CUST-3156</v>
          </cell>
          <cell r="E768" t="str">
            <v>Mira Das</v>
          </cell>
          <cell r="F768" t="str">
            <v>Corporate</v>
          </cell>
          <cell r="G768" t="str">
            <v>West</v>
          </cell>
          <cell r="H768" t="str">
            <v>Gujarat</v>
          </cell>
          <cell r="I768" t="str">
            <v>Ahmedabad</v>
          </cell>
          <cell r="J768" t="str">
            <v>Office Supplies</v>
          </cell>
          <cell r="K768" t="str">
            <v>Art</v>
          </cell>
          <cell r="L768" t="str">
            <v>Prime Art 380</v>
          </cell>
          <cell r="M768" t="str">
            <v>Second Class</v>
          </cell>
          <cell r="N768">
            <v>9</v>
          </cell>
          <cell r="O768">
            <v>2307.96</v>
          </cell>
          <cell r="P768">
            <v>0.2</v>
          </cell>
          <cell r="S768">
            <v>7421.58</v>
          </cell>
          <cell r="T768" t="str">
            <v>Paid</v>
          </cell>
          <cell r="U768" t="str">
            <v>Cancelled</v>
          </cell>
        </row>
        <row r="769">
          <cell r="A769" t="str">
            <v>ORD-2024-10768</v>
          </cell>
          <cell r="B769" t="str">
            <v>03 May 2024</v>
          </cell>
          <cell r="C769" t="str">
            <v>05/06/2024</v>
          </cell>
          <cell r="D769" t="str">
            <v>CUST-2043</v>
          </cell>
          <cell r="E769" t="str">
            <v>Ananya Rao</v>
          </cell>
          <cell r="F769" t="str">
            <v>Home Office</v>
          </cell>
          <cell r="G769" t="str">
            <v>North</v>
          </cell>
          <cell r="H769" t="str">
            <v>Uttar Pradesh</v>
          </cell>
          <cell r="I769" t="str">
            <v>Noida</v>
          </cell>
          <cell r="J769" t="str">
            <v>OFFICE SUPPLIES</v>
          </cell>
          <cell r="K769" t="str">
            <v>Binders</v>
          </cell>
          <cell r="L769" t="str">
            <v>Classic Binders 234</v>
          </cell>
          <cell r="M769" t="str">
            <v>Standard Class</v>
          </cell>
          <cell r="N769">
            <v>1</v>
          </cell>
          <cell r="O769">
            <v>1244.58</v>
          </cell>
          <cell r="P769">
            <v>0.25</v>
          </cell>
          <cell r="S769">
            <v>350.34</v>
          </cell>
          <cell r="T769" t="str">
            <v>Paid</v>
          </cell>
          <cell r="U769" t="str">
            <v>Completed</v>
          </cell>
        </row>
        <row r="770">
          <cell r="A770" t="str">
            <v>ORD-2025-10769</v>
          </cell>
          <cell r="B770" t="str">
            <v>2025-04-02</v>
          </cell>
          <cell r="C770" t="str">
            <v>2025-04-04</v>
          </cell>
          <cell r="D770" t="str">
            <v>CUST-8808</v>
          </cell>
          <cell r="E770" t="str">
            <v>Sneha Kapoor</v>
          </cell>
          <cell r="F770" t="str">
            <v>Home Office</v>
          </cell>
          <cell r="G770" t="str">
            <v>East</v>
          </cell>
          <cell r="H770" t="str">
            <v>Jharkhand</v>
          </cell>
          <cell r="I770" t="str">
            <v>Ranchi</v>
          </cell>
          <cell r="J770" t="str">
            <v>Office Supplies</v>
          </cell>
          <cell r="K770" t="str">
            <v>Paper</v>
          </cell>
          <cell r="L770" t="str">
            <v>Classic Paper 280</v>
          </cell>
          <cell r="M770" t="str">
            <v>Same Day</v>
          </cell>
          <cell r="N770">
            <v>5</v>
          </cell>
          <cell r="O770">
            <v>3234.24</v>
          </cell>
          <cell r="P770">
            <v>0.1</v>
          </cell>
          <cell r="S770">
            <v>3387.24</v>
          </cell>
          <cell r="T770" t="str">
            <v>Paid</v>
          </cell>
          <cell r="U770" t="str">
            <v>Completed</v>
          </cell>
        </row>
        <row r="771">
          <cell r="A771" t="str">
            <v>ORD-2024-10770</v>
          </cell>
          <cell r="B771" t="str">
            <v>05/11/2024</v>
          </cell>
          <cell r="C771" t="str">
            <v>13 May 2024</v>
          </cell>
          <cell r="D771" t="str">
            <v>CUST-1293</v>
          </cell>
          <cell r="E771" t="str">
            <v>Priya Menon</v>
          </cell>
          <cell r="F771" t="str">
            <v>Home Office</v>
          </cell>
          <cell r="G771" t="str">
            <v>West</v>
          </cell>
          <cell r="H771" t="str">
            <v>Goa</v>
          </cell>
          <cell r="I771" t="str">
            <v>Panaji</v>
          </cell>
          <cell r="J771" t="str">
            <v>Furniture</v>
          </cell>
          <cell r="K771" t="str">
            <v>Bookcases</v>
          </cell>
          <cell r="L771" t="str">
            <v>Classic Bookcases 922</v>
          </cell>
          <cell r="M771" t="str">
            <v>Same Day</v>
          </cell>
          <cell r="N771">
            <v>3</v>
          </cell>
          <cell r="O771">
            <v>3612.75</v>
          </cell>
          <cell r="P771">
            <v>0.25</v>
          </cell>
          <cell r="S771">
            <v>3057.03</v>
          </cell>
          <cell r="T771" t="str">
            <v>Paid</v>
          </cell>
          <cell r="U771" t="str">
            <v>Completed</v>
          </cell>
        </row>
        <row r="772">
          <cell r="A772" t="str">
            <v>ORD-2024-10771</v>
          </cell>
          <cell r="B772" t="str">
            <v>02/15/2024</v>
          </cell>
          <cell r="C772" t="str">
            <v>17-02-2024</v>
          </cell>
          <cell r="D772" t="str">
            <v>CUST-8384</v>
          </cell>
          <cell r="E772" t="str">
            <v>Neha Gupta</v>
          </cell>
          <cell r="F772" t="str">
            <v>Consumer</v>
          </cell>
          <cell r="G772" t="str">
            <v>North</v>
          </cell>
          <cell r="H772" t="str">
            <v>Uttar Pradesh</v>
          </cell>
          <cell r="I772" t="str">
            <v>Noida</v>
          </cell>
          <cell r="J772" t="str">
            <v>Technology</v>
          </cell>
          <cell r="K772" t="str">
            <v>Copiers</v>
          </cell>
          <cell r="L772" t="str">
            <v>Eco Copiers 396</v>
          </cell>
          <cell r="M772" t="str">
            <v>First Class</v>
          </cell>
          <cell r="N772">
            <v>4</v>
          </cell>
          <cell r="O772">
            <v>863</v>
          </cell>
          <cell r="S772">
            <v>730.18</v>
          </cell>
          <cell r="T772" t="str">
            <v>Paid</v>
          </cell>
          <cell r="U772" t="str">
            <v>Completed</v>
          </cell>
        </row>
        <row r="773">
          <cell r="A773" t="str">
            <v>ORD-2024-10772</v>
          </cell>
          <cell r="B773" t="str">
            <v>2024-07-12</v>
          </cell>
          <cell r="C773" t="str">
            <v>2024-07-14</v>
          </cell>
          <cell r="D773" t="str">
            <v>CUST-7861</v>
          </cell>
          <cell r="E773" t="str">
            <v>Ananya Rao</v>
          </cell>
          <cell r="F773" t="str">
            <v>Consumer</v>
          </cell>
          <cell r="G773" t="str">
            <v>North</v>
          </cell>
          <cell r="H773" t="str">
            <v>Haryana</v>
          </cell>
          <cell r="I773" t="str">
            <v>Gurugram</v>
          </cell>
          <cell r="J773" t="str">
            <v>Technology</v>
          </cell>
          <cell r="K773" t="str">
            <v>Machines</v>
          </cell>
          <cell r="L773" t="str">
            <v>Basic Machines 401</v>
          </cell>
          <cell r="M773" t="str">
            <v>Second Class</v>
          </cell>
          <cell r="N773">
            <v>4</v>
          </cell>
          <cell r="O773">
            <v>2131.41</v>
          </cell>
          <cell r="S773">
            <v>2873.54</v>
          </cell>
          <cell r="T773" t="str">
            <v>Paid</v>
          </cell>
          <cell r="U773" t="str">
            <v>Completed</v>
          </cell>
        </row>
        <row r="774">
          <cell r="A774" t="str">
            <v>ORD-2025-10773</v>
          </cell>
          <cell r="B774" t="str">
            <v>07/15/2025</v>
          </cell>
          <cell r="C774" t="str">
            <v>19 Jul 2025</v>
          </cell>
          <cell r="D774" t="str">
            <v>CUST-8422</v>
          </cell>
          <cell r="E774" t="str">
            <v>Diya Patel</v>
          </cell>
          <cell r="F774" t="str">
            <v>Consumer</v>
          </cell>
          <cell r="G774" t="str">
            <v>South</v>
          </cell>
          <cell r="H774" t="str">
            <v>Tamil Nadu</v>
          </cell>
          <cell r="I774" t="str">
            <v>Chennai</v>
          </cell>
          <cell r="J774" t="str">
            <v>Furniture</v>
          </cell>
          <cell r="K774" t="str">
            <v>Chairs</v>
          </cell>
          <cell r="L774" t="str">
            <v>Basic Chairs 279</v>
          </cell>
          <cell r="M774" t="str">
            <v>Same Day</v>
          </cell>
          <cell r="N774">
            <v>1</v>
          </cell>
          <cell r="O774">
            <v>3903.22</v>
          </cell>
          <cell r="P774">
            <v>0.05</v>
          </cell>
          <cell r="S774">
            <v>947.77</v>
          </cell>
          <cell r="T774" t="str">
            <v>Pending</v>
          </cell>
          <cell r="U774" t="str">
            <v>Cancelled</v>
          </cell>
        </row>
        <row r="775">
          <cell r="A775" t="str">
            <v>ORD-2025-10774</v>
          </cell>
          <cell r="B775" t="str">
            <v>2025-02-21</v>
          </cell>
          <cell r="C775" t="str">
            <v>21 Feb 2025</v>
          </cell>
          <cell r="D775" t="str">
            <v>CUST-4766</v>
          </cell>
          <cell r="E775" t="str">
            <v>Karan Malhotra</v>
          </cell>
          <cell r="F775" t="str">
            <v>Home Office</v>
          </cell>
          <cell r="G775" t="str">
            <v>West</v>
          </cell>
          <cell r="H775" t="str">
            <v>Gujarat</v>
          </cell>
          <cell r="I775" t="str">
            <v>Ahmedabad</v>
          </cell>
          <cell r="J775" t="str">
            <v>Technology</v>
          </cell>
          <cell r="K775" t="str">
            <v>Phones</v>
          </cell>
          <cell r="L775" t="str">
            <v>Basic Phones 753</v>
          </cell>
          <cell r="N775">
            <v>4</v>
          </cell>
          <cell r="O775">
            <v>2945.07</v>
          </cell>
          <cell r="P775">
            <v>0.2</v>
          </cell>
          <cell r="S775">
            <v>3245.3</v>
          </cell>
          <cell r="T775" t="str">
            <v>Paid</v>
          </cell>
          <cell r="U775" t="str">
            <v>Completed</v>
          </cell>
        </row>
        <row r="776">
          <cell r="A776" t="str">
            <v>ORD-2025-10775</v>
          </cell>
          <cell r="B776" t="str">
            <v>07-08-2025</v>
          </cell>
          <cell r="C776" t="str">
            <v>2025-08-07</v>
          </cell>
          <cell r="D776" t="str">
            <v>CUST-1182</v>
          </cell>
          <cell r="E776" t="str">
            <v>Kabir Singh</v>
          </cell>
          <cell r="F776" t="str">
            <v>Consumer</v>
          </cell>
          <cell r="G776" t="str">
            <v>West</v>
          </cell>
          <cell r="H776" t="str">
            <v>Rajasthan</v>
          </cell>
          <cell r="I776" t="str">
            <v>Udaipur</v>
          </cell>
          <cell r="J776" t="str">
            <v>Technology</v>
          </cell>
          <cell r="K776" t="str">
            <v>Machines</v>
          </cell>
          <cell r="L776" t="str">
            <v>Smart Machines 789</v>
          </cell>
          <cell r="N776">
            <v>9</v>
          </cell>
          <cell r="O776">
            <v>1076.75</v>
          </cell>
          <cell r="P776">
            <v>0.2</v>
          </cell>
          <cell r="S776">
            <v>3063.3</v>
          </cell>
          <cell r="T776" t="str">
            <v>Paid</v>
          </cell>
          <cell r="U776" t="str">
            <v>Completed</v>
          </cell>
        </row>
        <row r="777">
          <cell r="A777" t="str">
            <v>ORD-2024-10776</v>
          </cell>
          <cell r="B777" t="str">
            <v>14 Apr 2024</v>
          </cell>
          <cell r="C777" t="str">
            <v>22-04-2024</v>
          </cell>
          <cell r="D777" t="str">
            <v>CUST-4461</v>
          </cell>
          <cell r="E777" t="str">
            <v>Arjun Bose</v>
          </cell>
          <cell r="F777" t="str">
            <v>Consumer</v>
          </cell>
          <cell r="G777" t="str">
            <v>North</v>
          </cell>
          <cell r="H777" t="str">
            <v>Haryana</v>
          </cell>
          <cell r="I777" t="str">
            <v>Gurugram</v>
          </cell>
          <cell r="J777" t="str">
            <v>Technology</v>
          </cell>
          <cell r="K777" t="str">
            <v>Accessories</v>
          </cell>
          <cell r="L777" t="str">
            <v>Elite Accessories 312</v>
          </cell>
          <cell r="M777" t="str">
            <v>Standard Class</v>
          </cell>
          <cell r="N777">
            <v>8</v>
          </cell>
          <cell r="O777">
            <v>3956.12</v>
          </cell>
          <cell r="P777">
            <v>0.25</v>
          </cell>
          <cell r="S777">
            <v>9845.82</v>
          </cell>
          <cell r="T777" t="str">
            <v>Paid</v>
          </cell>
          <cell r="U777" t="str">
            <v>Completed</v>
          </cell>
        </row>
        <row r="778">
          <cell r="A778" t="str">
            <v>ORD-2025-10777</v>
          </cell>
          <cell r="B778" t="str">
            <v>08-06-2025</v>
          </cell>
          <cell r="C778" t="str">
            <v>06/13/2025</v>
          </cell>
          <cell r="D778" t="str">
            <v>CUST-9690</v>
          </cell>
          <cell r="E778" t="str">
            <v>Aditi Sen</v>
          </cell>
          <cell r="F778" t="str">
            <v>Small Business</v>
          </cell>
          <cell r="G778" t="str">
            <v>North</v>
          </cell>
          <cell r="H778" t="str">
            <v>Rajasthan</v>
          </cell>
          <cell r="I778" t="str">
            <v>Jaipur</v>
          </cell>
          <cell r="J778" t="str">
            <v>Technology</v>
          </cell>
          <cell r="K778" t="str">
            <v>Copiers</v>
          </cell>
          <cell r="L778" t="str">
            <v>Eco Copiers 528</v>
          </cell>
          <cell r="M778" t="str">
            <v>Second Class</v>
          </cell>
          <cell r="N778">
            <v>7</v>
          </cell>
          <cell r="O778">
            <v>3857.13</v>
          </cell>
          <cell r="P778">
            <v>0</v>
          </cell>
          <cell r="S778">
            <v>9183.93</v>
          </cell>
          <cell r="T778" t="str">
            <v>Paid</v>
          </cell>
          <cell r="U778" t="str">
            <v>Completed</v>
          </cell>
        </row>
        <row r="779">
          <cell r="A779" t="str">
            <v>ORD-2024-10778</v>
          </cell>
          <cell r="B779" t="str">
            <v>04-02-2024</v>
          </cell>
          <cell r="C779" t="str">
            <v>2024-02-06</v>
          </cell>
          <cell r="D779" t="str">
            <v>CUST-6879</v>
          </cell>
          <cell r="E779" t="str">
            <v>Kabir Singh</v>
          </cell>
          <cell r="F779" t="str">
            <v>Small Business</v>
          </cell>
          <cell r="G779" t="str">
            <v>West</v>
          </cell>
          <cell r="H779" t="str">
            <v>Madhya Pradesh</v>
          </cell>
          <cell r="I779" t="str">
            <v>Indore</v>
          </cell>
          <cell r="J779" t="str">
            <v>Technology</v>
          </cell>
          <cell r="K779" t="str">
            <v>Accessories</v>
          </cell>
          <cell r="L779" t="str">
            <v>Elite Accessories 226</v>
          </cell>
          <cell r="M779" t="str">
            <v>Second Class</v>
          </cell>
          <cell r="N779">
            <v>4</v>
          </cell>
          <cell r="O779">
            <v>1489.74</v>
          </cell>
          <cell r="P779">
            <v>0.15</v>
          </cell>
          <cell r="S779">
            <v>1535</v>
          </cell>
          <cell r="T779" t="str">
            <v>Failed</v>
          </cell>
          <cell r="U779" t="str">
            <v>Cancelled</v>
          </cell>
        </row>
        <row r="780">
          <cell r="A780" t="str">
            <v>ORD-2024-10779</v>
          </cell>
          <cell r="B780" t="str">
            <v>07/24/2024</v>
          </cell>
          <cell r="C780" t="str">
            <v>24-07-2024</v>
          </cell>
          <cell r="D780" t="str">
            <v>CUST-4714</v>
          </cell>
          <cell r="E780" t="str">
            <v>Karan Malhotra</v>
          </cell>
          <cell r="F780" t="str">
            <v>Small Business</v>
          </cell>
          <cell r="G780" t="str">
            <v>North</v>
          </cell>
          <cell r="H780" t="str">
            <v>Haryana</v>
          </cell>
          <cell r="I780" t="str">
            <v>Gurugram</v>
          </cell>
          <cell r="J780" t="str">
            <v>Technology</v>
          </cell>
          <cell r="K780" t="str">
            <v>Copiers</v>
          </cell>
          <cell r="L780" t="str">
            <v>Pro Copiers 298</v>
          </cell>
          <cell r="M780" t="str">
            <v>Second Class</v>
          </cell>
          <cell r="N780">
            <v>4</v>
          </cell>
          <cell r="O780">
            <v>1676.88</v>
          </cell>
          <cell r="P780">
            <v>0</v>
          </cell>
          <cell r="S780">
            <v>1034.95</v>
          </cell>
          <cell r="T780" t="str">
            <v>Paid</v>
          </cell>
          <cell r="U780" t="str">
            <v>Completed</v>
          </cell>
        </row>
        <row r="781">
          <cell r="A781" t="str">
            <v>ORD-2024-10780</v>
          </cell>
          <cell r="B781" t="str">
            <v>01/15/2024</v>
          </cell>
          <cell r="C781" t="str">
            <v>20-01-2024</v>
          </cell>
          <cell r="D781" t="str">
            <v>CUST-7547</v>
          </cell>
          <cell r="E781" t="str">
            <v>Priya Menon</v>
          </cell>
          <cell r="F781" t="str">
            <v>Small Business</v>
          </cell>
          <cell r="G781" t="str">
            <v>South</v>
          </cell>
          <cell r="H781" t="str">
            <v>Andhra Pradesh</v>
          </cell>
          <cell r="I781" t="str">
            <v>Vijayawada</v>
          </cell>
          <cell r="J781" t="str">
            <v>Furniture</v>
          </cell>
          <cell r="K781" t="str">
            <v>Chairs</v>
          </cell>
          <cell r="L781" t="str">
            <v>Prime Chairs 331</v>
          </cell>
          <cell r="M781" t="str">
            <v>Standard Class</v>
          </cell>
          <cell r="N781">
            <v>4</v>
          </cell>
          <cell r="O781">
            <v>3153.54</v>
          </cell>
          <cell r="P781">
            <v>0.05</v>
          </cell>
          <cell r="S781">
            <v>3410.55</v>
          </cell>
          <cell r="T781" t="str">
            <v>Paid</v>
          </cell>
          <cell r="U781" t="str">
            <v>Completed</v>
          </cell>
        </row>
        <row r="782">
          <cell r="A782" t="str">
            <v>ORD-2024-10781</v>
          </cell>
          <cell r="B782" t="str">
            <v>04 Aug 2024</v>
          </cell>
          <cell r="C782" t="str">
            <v>08/10/2024</v>
          </cell>
          <cell r="D782" t="str">
            <v>CUST-3288</v>
          </cell>
          <cell r="E782" t="str">
            <v>Diya Patel</v>
          </cell>
          <cell r="F782" t="str">
            <v>Small Business</v>
          </cell>
          <cell r="G782" t="str">
            <v>West</v>
          </cell>
          <cell r="H782" t="str">
            <v>Rajasthan</v>
          </cell>
          <cell r="I782" t="str">
            <v>Udaipur</v>
          </cell>
          <cell r="J782" t="str">
            <v>Furniture</v>
          </cell>
          <cell r="K782" t="str">
            <v>Chairs</v>
          </cell>
          <cell r="L782" t="str">
            <v>Classic Chairs 798</v>
          </cell>
          <cell r="M782" t="str">
            <v>Same Day</v>
          </cell>
          <cell r="N782">
            <v>4</v>
          </cell>
          <cell r="O782">
            <v>426.43</v>
          </cell>
          <cell r="P782">
            <v>0.2</v>
          </cell>
          <cell r="S782">
            <v>386.42</v>
          </cell>
          <cell r="T782" t="str">
            <v>Paid</v>
          </cell>
          <cell r="U782" t="str">
            <v>Completed</v>
          </cell>
        </row>
        <row r="783">
          <cell r="A783" t="str">
            <v>ORD-2024-10782</v>
          </cell>
          <cell r="B783" t="str">
            <v>2024-02-02</v>
          </cell>
          <cell r="C783" t="str">
            <v>10 Feb 2024</v>
          </cell>
          <cell r="D783" t="str">
            <v>CUST-8597</v>
          </cell>
          <cell r="E783" t="str">
            <v>Karan Malhotra</v>
          </cell>
          <cell r="F783" t="str">
            <v>Home Office</v>
          </cell>
          <cell r="G783" t="str">
            <v>West</v>
          </cell>
          <cell r="H783" t="str">
            <v>Rajasthan</v>
          </cell>
          <cell r="I783" t="str">
            <v>Udaipur</v>
          </cell>
          <cell r="J783" t="str">
            <v>Office Supplies</v>
          </cell>
          <cell r="K783" t="str">
            <v>Labels</v>
          </cell>
          <cell r="L783" t="str">
            <v>Classic Labels 204</v>
          </cell>
          <cell r="M783" t="str">
            <v>First Class</v>
          </cell>
          <cell r="N783">
            <v>3</v>
          </cell>
          <cell r="O783">
            <v>383.4</v>
          </cell>
          <cell r="P783">
            <v>0.25</v>
          </cell>
          <cell r="S783">
            <v>258.92</v>
          </cell>
          <cell r="T783" t="str">
            <v>Pending</v>
          </cell>
          <cell r="U783" t="str">
            <v>Returned</v>
          </cell>
        </row>
        <row r="784">
          <cell r="A784" t="str">
            <v>ORD-2025-10783</v>
          </cell>
          <cell r="B784" t="str">
            <v>2025-03-14</v>
          </cell>
          <cell r="C784" t="str">
            <v>03/22/2025</v>
          </cell>
          <cell r="D784" t="str">
            <v>CUST-9085</v>
          </cell>
          <cell r="E784" t="str">
            <v>Mira Das</v>
          </cell>
          <cell r="F784" t="str">
            <v>Corporate</v>
          </cell>
          <cell r="G784" t="str">
            <v>East</v>
          </cell>
          <cell r="H784" t="str">
            <v>West Bengal</v>
          </cell>
          <cell r="I784" t="str">
            <v>Kolkata</v>
          </cell>
          <cell r="J784" t="str">
            <v>Technology</v>
          </cell>
          <cell r="K784" t="str">
            <v>Copiers</v>
          </cell>
          <cell r="L784" t="str">
            <v>Basic Copiers 254</v>
          </cell>
          <cell r="M784" t="str">
            <v>Standard Class</v>
          </cell>
          <cell r="N784">
            <v>2</v>
          </cell>
          <cell r="O784">
            <v>669.63</v>
          </cell>
          <cell r="P784">
            <v>0.15</v>
          </cell>
          <cell r="S784">
            <v>341.03</v>
          </cell>
          <cell r="T784" t="str">
            <v>Paid</v>
          </cell>
          <cell r="U784" t="str">
            <v>Completed</v>
          </cell>
        </row>
        <row r="785">
          <cell r="A785" t="str">
            <v>ORD-2024-10784</v>
          </cell>
          <cell r="B785" t="str">
            <v>07 Jun 2024</v>
          </cell>
          <cell r="C785" t="str">
            <v>2024-06-07</v>
          </cell>
          <cell r="D785" t="str">
            <v>CUST-7746</v>
          </cell>
          <cell r="E785" t="str">
            <v>Aarav Sharma</v>
          </cell>
          <cell r="F785" t="str">
            <v>Small Business</v>
          </cell>
          <cell r="G785" t="str">
            <v>East</v>
          </cell>
          <cell r="H785" t="str">
            <v>Bihar</v>
          </cell>
          <cell r="I785" t="str">
            <v>Patna</v>
          </cell>
          <cell r="J785" t="str">
            <v>Office Supplies</v>
          </cell>
          <cell r="K785" t="str">
            <v>Art</v>
          </cell>
          <cell r="L785" t="str">
            <v>Basic Art 709</v>
          </cell>
          <cell r="M785" t="str">
            <v>Second Class</v>
          </cell>
          <cell r="N785">
            <v>1</v>
          </cell>
          <cell r="O785">
            <v>2581.9299999999998</v>
          </cell>
          <cell r="P785">
            <v>0.05</v>
          </cell>
          <cell r="S785">
            <v>546.13</v>
          </cell>
          <cell r="T785" t="str">
            <v>Paid</v>
          </cell>
          <cell r="U785" t="str">
            <v>Completed</v>
          </cell>
        </row>
        <row r="786">
          <cell r="A786" t="str">
            <v>ORD-2025-10785</v>
          </cell>
          <cell r="B786" t="str">
            <v>10/04/2025</v>
          </cell>
          <cell r="C786" t="str">
            <v>2025-10-05</v>
          </cell>
          <cell r="D786" t="str">
            <v>CUST-3119</v>
          </cell>
          <cell r="E786" t="str">
            <v>Priya Menon</v>
          </cell>
          <cell r="F786" t="str">
            <v>Corporate</v>
          </cell>
          <cell r="G786" t="str">
            <v>north</v>
          </cell>
          <cell r="H786" t="str">
            <v>Punjab</v>
          </cell>
          <cell r="I786" t="str">
            <v>Ludhiana</v>
          </cell>
          <cell r="J786" t="str">
            <v>Technology</v>
          </cell>
          <cell r="K786" t="str">
            <v>Copiers</v>
          </cell>
          <cell r="L786" t="str">
            <v>Max Copiers 551</v>
          </cell>
          <cell r="M786" t="str">
            <v>First Class</v>
          </cell>
          <cell r="N786">
            <v>4</v>
          </cell>
          <cell r="O786">
            <v>418.18</v>
          </cell>
          <cell r="P786">
            <v>0.05</v>
          </cell>
          <cell r="S786">
            <v>504.42</v>
          </cell>
          <cell r="T786" t="str">
            <v>Paid</v>
          </cell>
          <cell r="U786" t="str">
            <v>Completed</v>
          </cell>
        </row>
        <row r="787">
          <cell r="A787" t="str">
            <v>ORD-2024-10786</v>
          </cell>
          <cell r="B787" t="str">
            <v>23-05-2024</v>
          </cell>
          <cell r="C787" t="str">
            <v>29-05-2024</v>
          </cell>
          <cell r="D787" t="str">
            <v>CUST-7518</v>
          </cell>
          <cell r="E787" t="str">
            <v>Diya Patel</v>
          </cell>
          <cell r="F787" t="str">
            <v>Small Business</v>
          </cell>
          <cell r="G787" t="str">
            <v>North</v>
          </cell>
          <cell r="H787" t="str">
            <v>Haryana</v>
          </cell>
          <cell r="I787" t="str">
            <v>Gurugram</v>
          </cell>
          <cell r="J787" t="str">
            <v>Office Supplies</v>
          </cell>
          <cell r="K787" t="str">
            <v>Storage</v>
          </cell>
          <cell r="L787" t="str">
            <v>Eco Storage 183</v>
          </cell>
          <cell r="M787" t="str">
            <v>Same Day</v>
          </cell>
          <cell r="N787">
            <v>2</v>
          </cell>
          <cell r="O787">
            <v>3012.94</v>
          </cell>
          <cell r="P787">
            <v>0.25</v>
          </cell>
          <cell r="S787">
            <v>1275.55</v>
          </cell>
          <cell r="T787" t="str">
            <v>Failed</v>
          </cell>
          <cell r="U787" t="str">
            <v>Cancelled</v>
          </cell>
        </row>
        <row r="788">
          <cell r="A788" t="str">
            <v>ORD-2025-10787</v>
          </cell>
          <cell r="B788" t="str">
            <v>07/06/2025</v>
          </cell>
          <cell r="C788" t="str">
            <v>08 Jul 2025</v>
          </cell>
          <cell r="D788" t="str">
            <v>CUST-1343</v>
          </cell>
          <cell r="E788" t="str">
            <v>Ananya Rao</v>
          </cell>
          <cell r="F788" t="str">
            <v>Corporate</v>
          </cell>
          <cell r="G788" t="str">
            <v>North</v>
          </cell>
          <cell r="H788" t="str">
            <v>Rajasthan</v>
          </cell>
          <cell r="I788" t="str">
            <v>Jaipur</v>
          </cell>
          <cell r="J788" t="str">
            <v>Furniture</v>
          </cell>
          <cell r="K788" t="str">
            <v>Furnishings</v>
          </cell>
          <cell r="L788" t="str">
            <v>Pro Furnishings 233</v>
          </cell>
          <cell r="N788">
            <v>4</v>
          </cell>
          <cell r="O788">
            <v>715.45</v>
          </cell>
          <cell r="P788">
            <v>0.05</v>
          </cell>
          <cell r="S788">
            <v>653.66</v>
          </cell>
          <cell r="T788" t="str">
            <v>Refunded</v>
          </cell>
          <cell r="U788" t="str">
            <v>Returned</v>
          </cell>
        </row>
        <row r="789">
          <cell r="A789" t="str">
            <v>ORD-2024-10788</v>
          </cell>
          <cell r="B789" t="str">
            <v>2024-09-12</v>
          </cell>
          <cell r="C789" t="str">
            <v>2024-09-18</v>
          </cell>
          <cell r="D789" t="str">
            <v>CUST-7548</v>
          </cell>
          <cell r="E789" t="str">
            <v>Ananya Rao</v>
          </cell>
          <cell r="F789" t="str">
            <v>Home Office</v>
          </cell>
          <cell r="G789" t="str">
            <v>East</v>
          </cell>
          <cell r="H789" t="str">
            <v>Bihar</v>
          </cell>
          <cell r="I789" t="str">
            <v>Patna</v>
          </cell>
          <cell r="J789" t="str">
            <v>Office Supplies</v>
          </cell>
          <cell r="K789" t="str">
            <v>Paper</v>
          </cell>
          <cell r="L789" t="str">
            <v>Prime Paper 878</v>
          </cell>
          <cell r="M789" t="str">
            <v>Second Class</v>
          </cell>
          <cell r="N789">
            <v>2</v>
          </cell>
          <cell r="O789">
            <v>3718.77</v>
          </cell>
          <cell r="P789">
            <v>0.05</v>
          </cell>
          <cell r="S789">
            <v>2150.39</v>
          </cell>
          <cell r="T789" t="str">
            <v>Paid</v>
          </cell>
          <cell r="U789" t="str">
            <v>Completed</v>
          </cell>
        </row>
        <row r="790">
          <cell r="A790" t="str">
            <v>ORD-2024-10789</v>
          </cell>
          <cell r="B790" t="str">
            <v>01 Aug 2024</v>
          </cell>
          <cell r="C790" t="str">
            <v>02-08-2024</v>
          </cell>
          <cell r="D790" t="str">
            <v>CUST-3631</v>
          </cell>
          <cell r="E790" t="str">
            <v>Isha Nair</v>
          </cell>
          <cell r="F790" t="str">
            <v>Corporate</v>
          </cell>
          <cell r="G790" t="str">
            <v>North</v>
          </cell>
          <cell r="H790" t="str">
            <v>Uttar Pradesh</v>
          </cell>
          <cell r="I790" t="str">
            <v>Noida</v>
          </cell>
          <cell r="J790" t="str">
            <v>Furniture</v>
          </cell>
          <cell r="K790" t="str">
            <v>Chairs</v>
          </cell>
          <cell r="L790" t="str">
            <v>Smart Chairs 353</v>
          </cell>
          <cell r="M790" t="str">
            <v>Standard Class</v>
          </cell>
          <cell r="N790">
            <v>8</v>
          </cell>
          <cell r="O790">
            <v>2487.64</v>
          </cell>
          <cell r="P790">
            <v>0.1</v>
          </cell>
          <cell r="S790">
            <v>6364.96</v>
          </cell>
          <cell r="T790" t="str">
            <v>Failed</v>
          </cell>
          <cell r="U790" t="str">
            <v>Returned</v>
          </cell>
        </row>
        <row r="791">
          <cell r="A791" t="str">
            <v>ORD-2025-10790</v>
          </cell>
          <cell r="B791" t="str">
            <v>07 Mar 2025</v>
          </cell>
          <cell r="C791" t="str">
            <v>08 Mar 2025</v>
          </cell>
          <cell r="D791" t="str">
            <v>CUST-1453</v>
          </cell>
          <cell r="E791" t="str">
            <v>Priya Menon</v>
          </cell>
          <cell r="F791" t="str">
            <v>Home Office</v>
          </cell>
          <cell r="H791" t="str">
            <v>Rajasthan</v>
          </cell>
          <cell r="I791" t="str">
            <v>Udaipur</v>
          </cell>
          <cell r="J791" t="str">
            <v>Technology</v>
          </cell>
          <cell r="K791" t="str">
            <v>Copiers</v>
          </cell>
          <cell r="L791" t="str">
            <v>Smart Copiers 408</v>
          </cell>
          <cell r="M791" t="str">
            <v>Same Day</v>
          </cell>
          <cell r="N791">
            <v>4</v>
          </cell>
          <cell r="O791">
            <v>3537.48</v>
          </cell>
          <cell r="P791">
            <v>0</v>
          </cell>
          <cell r="S791">
            <v>4683.41</v>
          </cell>
          <cell r="T791" t="str">
            <v>Paid</v>
          </cell>
          <cell r="U791" t="str">
            <v>Completed</v>
          </cell>
        </row>
        <row r="792">
          <cell r="A792" t="str">
            <v>ORD-2024-10791</v>
          </cell>
          <cell r="B792" t="str">
            <v>31 May 2024</v>
          </cell>
          <cell r="C792" t="str">
            <v>2024-06-02</v>
          </cell>
          <cell r="D792" t="str">
            <v>CUST-1951</v>
          </cell>
          <cell r="E792" t="str">
            <v>Rahul Verma</v>
          </cell>
          <cell r="F792" t="str">
            <v>Corporate</v>
          </cell>
          <cell r="G792" t="str">
            <v>South</v>
          </cell>
          <cell r="H792" t="str">
            <v>Andhra Pradesh</v>
          </cell>
          <cell r="I792" t="str">
            <v>Vijayawada</v>
          </cell>
          <cell r="J792" t="str">
            <v>Office Supplies</v>
          </cell>
          <cell r="K792" t="str">
            <v>Art</v>
          </cell>
          <cell r="L792" t="str">
            <v>Classic Art 781</v>
          </cell>
          <cell r="M792" t="str">
            <v>Standard Class</v>
          </cell>
          <cell r="N792">
            <v>8</v>
          </cell>
          <cell r="O792">
            <v>667.59</v>
          </cell>
          <cell r="P792">
            <v>0.2</v>
          </cell>
          <cell r="S792">
            <v>943.66</v>
          </cell>
          <cell r="T792" t="str">
            <v>Paid</v>
          </cell>
          <cell r="U792" t="str">
            <v>Completed</v>
          </cell>
        </row>
        <row r="793">
          <cell r="A793" t="str">
            <v>ORD-2024-10792</v>
          </cell>
          <cell r="B793" t="str">
            <v>02 Oct 2024</v>
          </cell>
          <cell r="C793" t="str">
            <v>2024-10-06</v>
          </cell>
          <cell r="D793" t="str">
            <v>CUST-6300</v>
          </cell>
          <cell r="E793" t="str">
            <v>Rahul Verma</v>
          </cell>
          <cell r="F793" t="str">
            <v>Home Office</v>
          </cell>
          <cell r="G793" t="str">
            <v>South</v>
          </cell>
          <cell r="H793" t="str">
            <v>Karnataka</v>
          </cell>
          <cell r="I793" t="str">
            <v>Bengaluru</v>
          </cell>
          <cell r="J793" t="str">
            <v>Furniture</v>
          </cell>
          <cell r="K793" t="str">
            <v>Bookcases</v>
          </cell>
          <cell r="L793" t="str">
            <v>Eco Bookcases 144</v>
          </cell>
          <cell r="M793" t="str">
            <v>Same Day</v>
          </cell>
          <cell r="N793">
            <v>8</v>
          </cell>
          <cell r="O793">
            <v>1558.77</v>
          </cell>
          <cell r="P793">
            <v>0.25</v>
          </cell>
          <cell r="S793">
            <v>4083.21</v>
          </cell>
          <cell r="T793" t="str">
            <v>Paid</v>
          </cell>
          <cell r="U793" t="str">
            <v>Completed</v>
          </cell>
        </row>
        <row r="794">
          <cell r="A794" t="str">
            <v>ORD-2025-10793</v>
          </cell>
          <cell r="B794" t="str">
            <v>2025-06-04</v>
          </cell>
          <cell r="C794" t="str">
            <v>08 Jun 2025</v>
          </cell>
          <cell r="D794" t="str">
            <v>CUST-1417</v>
          </cell>
          <cell r="E794" t="str">
            <v>Arjun Bose</v>
          </cell>
          <cell r="F794" t="str">
            <v>Small Business</v>
          </cell>
          <cell r="G794" t="str">
            <v>East</v>
          </cell>
          <cell r="H794" t="str">
            <v>Assam</v>
          </cell>
          <cell r="I794" t="str">
            <v>Guwahati</v>
          </cell>
          <cell r="J794" t="str">
            <v>Furniture</v>
          </cell>
          <cell r="K794" t="str">
            <v>Furnishings</v>
          </cell>
          <cell r="L794" t="str">
            <v>Elite Furnishings 852</v>
          </cell>
          <cell r="M794" t="str">
            <v>Second Class</v>
          </cell>
          <cell r="N794">
            <v>1</v>
          </cell>
          <cell r="O794">
            <v>3501.12</v>
          </cell>
          <cell r="P794">
            <v>0.2</v>
          </cell>
          <cell r="S794">
            <v>1064.92</v>
          </cell>
          <cell r="T794" t="str">
            <v>Paid</v>
          </cell>
          <cell r="U794" t="str">
            <v>Returned</v>
          </cell>
        </row>
        <row r="795">
          <cell r="A795" t="str">
            <v>ORD-2024-10794</v>
          </cell>
          <cell r="B795" t="str">
            <v>28-05-2024</v>
          </cell>
          <cell r="C795" t="str">
            <v>03 Jun 2024</v>
          </cell>
          <cell r="D795" t="str">
            <v>CUST-5421</v>
          </cell>
          <cell r="E795" t="str">
            <v>Vikram Iyer</v>
          </cell>
          <cell r="F795" t="str">
            <v>Corporate</v>
          </cell>
          <cell r="G795" t="str">
            <v>North</v>
          </cell>
          <cell r="H795" t="str">
            <v>Rajasthan</v>
          </cell>
          <cell r="I795" t="str">
            <v>Jaipur</v>
          </cell>
          <cell r="J795" t="str">
            <v>Technology</v>
          </cell>
          <cell r="K795" t="str">
            <v>Copiers</v>
          </cell>
          <cell r="L795" t="str">
            <v>Basic Copiers 238</v>
          </cell>
          <cell r="M795" t="str">
            <v>Second Class</v>
          </cell>
          <cell r="N795">
            <v>5</v>
          </cell>
          <cell r="O795">
            <v>4302.32</v>
          </cell>
          <cell r="P795">
            <v>0</v>
          </cell>
          <cell r="S795">
            <v>6103.13</v>
          </cell>
          <cell r="T795" t="str">
            <v>Paid</v>
          </cell>
          <cell r="U795" t="str">
            <v>Completed</v>
          </cell>
        </row>
        <row r="796">
          <cell r="A796" t="str">
            <v>ORD-2025-10795</v>
          </cell>
          <cell r="B796" t="str">
            <v>2025-06-22</v>
          </cell>
          <cell r="C796" t="str">
            <v>2025-06-24</v>
          </cell>
          <cell r="D796" t="str">
            <v>CUST-2829</v>
          </cell>
          <cell r="E796" t="str">
            <v>Sneha Kapoor</v>
          </cell>
          <cell r="F796" t="str">
            <v>Corporate</v>
          </cell>
          <cell r="G796" t="str">
            <v>East</v>
          </cell>
          <cell r="H796" t="str">
            <v>Assam</v>
          </cell>
          <cell r="I796" t="str">
            <v>Guwahati</v>
          </cell>
          <cell r="J796" t="str">
            <v>Office Supplies</v>
          </cell>
          <cell r="K796" t="str">
            <v>Paper</v>
          </cell>
          <cell r="L796" t="str">
            <v>Elite Paper 847</v>
          </cell>
          <cell r="M796" t="str">
            <v>Standard Class</v>
          </cell>
          <cell r="N796">
            <v>9</v>
          </cell>
          <cell r="O796">
            <v>951.55</v>
          </cell>
          <cell r="P796">
            <v>0.15</v>
          </cell>
          <cell r="S796">
            <v>2408.9699999999998</v>
          </cell>
          <cell r="T796" t="str">
            <v>Paid</v>
          </cell>
          <cell r="U796" t="str">
            <v>Completed</v>
          </cell>
        </row>
        <row r="797">
          <cell r="A797" t="str">
            <v>ORD-2024-10796</v>
          </cell>
          <cell r="B797" t="str">
            <v>30-07-2024</v>
          </cell>
          <cell r="C797" t="str">
            <v>2024-07-30</v>
          </cell>
          <cell r="D797" t="str">
            <v>CUST-6529</v>
          </cell>
          <cell r="E797" t="str">
            <v>Diya Patel</v>
          </cell>
          <cell r="F797" t="str">
            <v>Home Office</v>
          </cell>
          <cell r="G797" t="str">
            <v>East</v>
          </cell>
          <cell r="H797" t="str">
            <v>Odisha</v>
          </cell>
          <cell r="I797" t="str">
            <v>Bhubaneswar</v>
          </cell>
          <cell r="J797" t="str">
            <v>Technology</v>
          </cell>
          <cell r="K797" t="str">
            <v>Copiers</v>
          </cell>
          <cell r="L797" t="str">
            <v>Pro Copiers 653</v>
          </cell>
          <cell r="M797" t="str">
            <v>Same Day</v>
          </cell>
          <cell r="N797">
            <v>9</v>
          </cell>
          <cell r="O797">
            <v>2894.66</v>
          </cell>
          <cell r="P797">
            <v>0</v>
          </cell>
          <cell r="S797">
            <v>9168.35</v>
          </cell>
          <cell r="T797" t="str">
            <v>Refunded</v>
          </cell>
          <cell r="U797" t="str">
            <v>Cancelled</v>
          </cell>
        </row>
        <row r="798">
          <cell r="A798" t="str">
            <v>ORD-2024-10797</v>
          </cell>
          <cell r="B798" t="str">
            <v>03/23/2024</v>
          </cell>
          <cell r="C798" t="str">
            <v>30-03-2024</v>
          </cell>
          <cell r="D798" t="str">
            <v>CUST-3126</v>
          </cell>
          <cell r="E798" t="str">
            <v>Rohan Mehta</v>
          </cell>
          <cell r="F798" t="str">
            <v>Small Business</v>
          </cell>
          <cell r="G798" t="str">
            <v>South</v>
          </cell>
          <cell r="H798" t="str">
            <v>Andhra Pradesh</v>
          </cell>
          <cell r="I798" t="str">
            <v>Vijayawada</v>
          </cell>
          <cell r="J798" t="str">
            <v>Technology</v>
          </cell>
          <cell r="K798" t="str">
            <v>Machines</v>
          </cell>
          <cell r="L798" t="str">
            <v>Elite Machines 459</v>
          </cell>
          <cell r="M798" t="str">
            <v>First Class</v>
          </cell>
          <cell r="N798">
            <v>6</v>
          </cell>
          <cell r="O798">
            <v>1894.44</v>
          </cell>
          <cell r="P798">
            <v>0.15</v>
          </cell>
          <cell r="S798">
            <v>3357.87</v>
          </cell>
          <cell r="T798" t="str">
            <v>Paid</v>
          </cell>
          <cell r="U798" t="str">
            <v>Completed</v>
          </cell>
        </row>
        <row r="799">
          <cell r="A799" t="str">
            <v>ORD-2024-10798</v>
          </cell>
          <cell r="B799" t="str">
            <v>18 Apr 2024</v>
          </cell>
          <cell r="C799" t="str">
            <v>22-04-2024</v>
          </cell>
          <cell r="D799" t="str">
            <v>CUST-3991</v>
          </cell>
          <cell r="E799" t="str">
            <v>Aarav Sharma</v>
          </cell>
          <cell r="F799" t="str">
            <v>Consumer</v>
          </cell>
          <cell r="G799" t="str">
            <v>East</v>
          </cell>
          <cell r="H799" t="str">
            <v>Odisha</v>
          </cell>
          <cell r="I799" t="str">
            <v>Bhubaneswar</v>
          </cell>
          <cell r="J799" t="str">
            <v>Office Supplies</v>
          </cell>
          <cell r="K799" t="str">
            <v>Binders</v>
          </cell>
          <cell r="L799" t="str">
            <v>Elite Binders 764</v>
          </cell>
          <cell r="M799" t="str">
            <v>First Class</v>
          </cell>
          <cell r="N799">
            <v>8</v>
          </cell>
          <cell r="O799">
            <v>1714.37</v>
          </cell>
          <cell r="P799">
            <v>0</v>
          </cell>
          <cell r="S799">
            <v>3164.49</v>
          </cell>
          <cell r="T799" t="str">
            <v>Failed</v>
          </cell>
          <cell r="U799" t="str">
            <v>Cancelled</v>
          </cell>
        </row>
        <row r="800">
          <cell r="A800" t="str">
            <v>ORD-2025-10799</v>
          </cell>
          <cell r="B800" t="str">
            <v>2025-07-11</v>
          </cell>
          <cell r="C800" t="str">
            <v>09-07-2025</v>
          </cell>
          <cell r="D800" t="str">
            <v>CUST-7553</v>
          </cell>
          <cell r="E800" t="str">
            <v>Aditi Sen</v>
          </cell>
          <cell r="F800" t="str">
            <v>Corporate</v>
          </cell>
          <cell r="G800" t="str">
            <v>North</v>
          </cell>
          <cell r="H800" t="str">
            <v>Delhi</v>
          </cell>
          <cell r="I800" t="str">
            <v>New Delhi</v>
          </cell>
          <cell r="J800" t="str">
            <v>Furniture</v>
          </cell>
          <cell r="K800" t="str">
            <v>Furnishings</v>
          </cell>
          <cell r="L800" t="str">
            <v>Classic Furnishings 348</v>
          </cell>
          <cell r="M800" t="str">
            <v>Standard Class</v>
          </cell>
          <cell r="N800">
            <v>9</v>
          </cell>
          <cell r="O800">
            <v>1706.05</v>
          </cell>
          <cell r="P800">
            <v>0</v>
          </cell>
          <cell r="S800">
            <v>5697.95</v>
          </cell>
          <cell r="T800" t="str">
            <v>Paid</v>
          </cell>
          <cell r="U800" t="str">
            <v>Completed</v>
          </cell>
        </row>
        <row r="801">
          <cell r="A801" t="str">
            <v>ORD-2024-10800</v>
          </cell>
          <cell r="B801" t="str">
            <v>10 Oct 2024</v>
          </cell>
          <cell r="C801" t="str">
            <v>2024-10-17</v>
          </cell>
          <cell r="D801" t="str">
            <v>CUST-8527</v>
          </cell>
          <cell r="E801" t="str">
            <v>Isha Nair</v>
          </cell>
          <cell r="F801" t="str">
            <v>Home Office</v>
          </cell>
          <cell r="G801" t="str">
            <v>North</v>
          </cell>
          <cell r="H801" t="str">
            <v>Haryana</v>
          </cell>
          <cell r="I801" t="str">
            <v>Gurugram</v>
          </cell>
          <cell r="J801" t="str">
            <v>Technology</v>
          </cell>
          <cell r="K801" t="str">
            <v>Accessories</v>
          </cell>
          <cell r="L801" t="str">
            <v>Smart Accessories 487</v>
          </cell>
          <cell r="N801">
            <v>5</v>
          </cell>
          <cell r="O801">
            <v>967.41</v>
          </cell>
          <cell r="P801">
            <v>0.05</v>
          </cell>
          <cell r="S801">
            <v>707.79</v>
          </cell>
          <cell r="T801" t="str">
            <v>Paid</v>
          </cell>
          <cell r="U801" t="str">
            <v>Returned</v>
          </cell>
        </row>
        <row r="802">
          <cell r="A802" t="str">
            <v>ORD-2024-10801</v>
          </cell>
          <cell r="B802" t="str">
            <v>01 Mar 2024</v>
          </cell>
          <cell r="C802" t="str">
            <v>2024-03-07</v>
          </cell>
          <cell r="D802" t="str">
            <v>CUST-5015</v>
          </cell>
          <cell r="E802" t="str">
            <v>Vikram Iyer</v>
          </cell>
          <cell r="F802" t="str">
            <v>Small Business</v>
          </cell>
          <cell r="G802" t="str">
            <v>West</v>
          </cell>
          <cell r="H802" t="str">
            <v>Maharashtra</v>
          </cell>
          <cell r="I802" t="str">
            <v>Mumbai</v>
          </cell>
          <cell r="J802" t="str">
            <v>Office Supplies</v>
          </cell>
          <cell r="K802" t="str">
            <v>Storage</v>
          </cell>
          <cell r="L802" t="str">
            <v>Elite Storage 825</v>
          </cell>
          <cell r="M802" t="str">
            <v>Second Class</v>
          </cell>
          <cell r="N802">
            <v>6</v>
          </cell>
          <cell r="O802">
            <v>4163.72</v>
          </cell>
          <cell r="P802">
            <v>0.15</v>
          </cell>
          <cell r="S802">
            <v>4498.88</v>
          </cell>
          <cell r="T802" t="str">
            <v>Paid</v>
          </cell>
          <cell r="U802" t="str">
            <v>Completed</v>
          </cell>
        </row>
        <row r="803">
          <cell r="A803" t="str">
            <v>ORD-2025-10802</v>
          </cell>
          <cell r="B803" t="str">
            <v>2025-10-08</v>
          </cell>
          <cell r="C803" t="str">
            <v>15 Oct 2025</v>
          </cell>
          <cell r="D803" t="str">
            <v>CUST-3344</v>
          </cell>
          <cell r="E803" t="str">
            <v>Aarav Sharma</v>
          </cell>
          <cell r="F803" t="str">
            <v>Home Office</v>
          </cell>
          <cell r="G803" t="str">
            <v>East</v>
          </cell>
          <cell r="H803" t="str">
            <v>Odisha</v>
          </cell>
          <cell r="I803" t="str">
            <v>Bhubaneswar</v>
          </cell>
          <cell r="J803" t="str">
            <v>Technology</v>
          </cell>
          <cell r="K803" t="str">
            <v>Accessories</v>
          </cell>
          <cell r="L803" t="str">
            <v>Pro Accessories 500</v>
          </cell>
          <cell r="M803" t="str">
            <v>Second Class</v>
          </cell>
          <cell r="N803">
            <v>3</v>
          </cell>
          <cell r="O803">
            <v>3372.21</v>
          </cell>
          <cell r="P803">
            <v>0.2</v>
          </cell>
          <cell r="S803">
            <v>2040.87</v>
          </cell>
          <cell r="T803" t="str">
            <v>Pending</v>
          </cell>
          <cell r="U803" t="str">
            <v>Cancelled</v>
          </cell>
        </row>
        <row r="804">
          <cell r="A804" t="str">
            <v>ORD-2025-10803</v>
          </cell>
          <cell r="B804" t="str">
            <v>16 Feb 2025</v>
          </cell>
          <cell r="C804" t="str">
            <v>2025-02-16</v>
          </cell>
          <cell r="D804" t="str">
            <v>CUST-5866</v>
          </cell>
          <cell r="E804" t="str">
            <v>Rohan Mehta</v>
          </cell>
          <cell r="F804" t="str">
            <v>Small Business</v>
          </cell>
          <cell r="G804" t="str">
            <v>East</v>
          </cell>
          <cell r="H804" t="str">
            <v>Assam</v>
          </cell>
          <cell r="I804" t="str">
            <v>Guwahati</v>
          </cell>
          <cell r="J804" t="str">
            <v>Furniture</v>
          </cell>
          <cell r="K804" t="str">
            <v>Furnishings</v>
          </cell>
          <cell r="L804" t="str">
            <v>Pro Furnishings 909</v>
          </cell>
          <cell r="M804" t="str">
            <v>Second Class</v>
          </cell>
          <cell r="N804">
            <v>6</v>
          </cell>
          <cell r="O804">
            <v>1441.91</v>
          </cell>
          <cell r="P804">
            <v>0</v>
          </cell>
          <cell r="S804">
            <v>3396.84</v>
          </cell>
          <cell r="T804" t="str">
            <v>failed</v>
          </cell>
          <cell r="U804" t="str">
            <v>Returned</v>
          </cell>
        </row>
        <row r="805">
          <cell r="A805" t="str">
            <v>ORD-2024-10804</v>
          </cell>
          <cell r="B805" t="str">
            <v>09 Dec 2024</v>
          </cell>
          <cell r="C805" t="str">
            <v>13 Dec 2024</v>
          </cell>
          <cell r="D805" t="str">
            <v>CUST-7180</v>
          </cell>
          <cell r="E805" t="str">
            <v>Rohan Mehta</v>
          </cell>
          <cell r="F805" t="str">
            <v>Consumer</v>
          </cell>
          <cell r="H805" t="str">
            <v>Jharkhand</v>
          </cell>
          <cell r="I805" t="str">
            <v>Ranchi</v>
          </cell>
          <cell r="J805" t="str">
            <v>Office Supplies</v>
          </cell>
          <cell r="K805" t="str">
            <v>Labels</v>
          </cell>
          <cell r="L805" t="str">
            <v>Basic Labels 359</v>
          </cell>
          <cell r="M805" t="str">
            <v>First Class</v>
          </cell>
          <cell r="N805">
            <v>1</v>
          </cell>
          <cell r="O805">
            <v>4306.6499999999996</v>
          </cell>
          <cell r="P805">
            <v>0</v>
          </cell>
          <cell r="S805">
            <v>1737.83</v>
          </cell>
          <cell r="T805" t="str">
            <v>Paid</v>
          </cell>
          <cell r="U805" t="str">
            <v>Completed</v>
          </cell>
        </row>
        <row r="806">
          <cell r="A806" t="str">
            <v>ORD-2025-10805</v>
          </cell>
          <cell r="B806" t="str">
            <v>10-09-2025</v>
          </cell>
          <cell r="C806" t="str">
            <v>18-09-2025</v>
          </cell>
          <cell r="D806" t="str">
            <v>CUST-8745</v>
          </cell>
          <cell r="E806" t="str">
            <v>Rahul Verma</v>
          </cell>
          <cell r="F806" t="str">
            <v>Home Office</v>
          </cell>
          <cell r="G806" t="str">
            <v>South</v>
          </cell>
          <cell r="H806" t="str">
            <v>Telangana</v>
          </cell>
          <cell r="I806" t="str">
            <v>Hyderabad</v>
          </cell>
          <cell r="J806" t="str">
            <v>Furniture</v>
          </cell>
          <cell r="K806" t="str">
            <v>Furnishings</v>
          </cell>
          <cell r="L806" t="str">
            <v>Eco Furnishings 541</v>
          </cell>
          <cell r="M806" t="str">
            <v>Standard Class</v>
          </cell>
          <cell r="N806">
            <v>1</v>
          </cell>
          <cell r="O806">
            <v>2050.62</v>
          </cell>
          <cell r="P806">
            <v>0.05</v>
          </cell>
          <cell r="S806">
            <v>441.01</v>
          </cell>
          <cell r="T806" t="str">
            <v>Paid</v>
          </cell>
          <cell r="U806" t="str">
            <v>Completed</v>
          </cell>
        </row>
        <row r="807">
          <cell r="A807" t="str">
            <v>ORD-2025-10806</v>
          </cell>
          <cell r="B807" t="str">
            <v>2025-04-06</v>
          </cell>
          <cell r="C807" t="str">
            <v>07-04-2025</v>
          </cell>
          <cell r="D807" t="str">
            <v>CUST-2098</v>
          </cell>
          <cell r="E807" t="str">
            <v>Priya Menon</v>
          </cell>
          <cell r="F807" t="str">
            <v>Home Office</v>
          </cell>
          <cell r="G807" t="str">
            <v>East</v>
          </cell>
          <cell r="H807" t="str">
            <v>Assam</v>
          </cell>
          <cell r="I807" t="str">
            <v>Guwahati</v>
          </cell>
          <cell r="J807" t="str">
            <v>Office Supplies</v>
          </cell>
          <cell r="K807" t="str">
            <v>Binders</v>
          </cell>
          <cell r="L807" t="str">
            <v>Classic Binders 103</v>
          </cell>
          <cell r="M807" t="str">
            <v>Second Class</v>
          </cell>
          <cell r="N807">
            <v>2</v>
          </cell>
          <cell r="O807">
            <v>2030.06</v>
          </cell>
          <cell r="P807">
            <v>0.25</v>
          </cell>
          <cell r="S807">
            <v>444</v>
          </cell>
          <cell r="T807" t="str">
            <v>Paid</v>
          </cell>
          <cell r="U807" t="str">
            <v>Completed</v>
          </cell>
        </row>
        <row r="808">
          <cell r="A808" t="str">
            <v>ORD-2024-10807</v>
          </cell>
          <cell r="B808" t="str">
            <v>09-11-2024</v>
          </cell>
          <cell r="C808" t="str">
            <v>15 Nov 2024</v>
          </cell>
          <cell r="D808" t="str">
            <v>CUST-3704</v>
          </cell>
          <cell r="E808" t="str">
            <v>Isha Nair</v>
          </cell>
          <cell r="F808" t="str">
            <v>Home Office</v>
          </cell>
          <cell r="G808" t="str">
            <v>North</v>
          </cell>
          <cell r="H808" t="str">
            <v>Rajasthan</v>
          </cell>
          <cell r="I808" t="str">
            <v>Jaipur</v>
          </cell>
          <cell r="J808" t="str">
            <v>Technology</v>
          </cell>
          <cell r="K808" t="str">
            <v>Copiers</v>
          </cell>
          <cell r="L808" t="str">
            <v>Max Copiers 560</v>
          </cell>
          <cell r="M808" t="str">
            <v>Standard Class</v>
          </cell>
          <cell r="N808">
            <v>1</v>
          </cell>
          <cell r="O808">
            <v>3665.97</v>
          </cell>
          <cell r="P808">
            <v>0.2</v>
          </cell>
          <cell r="S808">
            <v>1032.43</v>
          </cell>
          <cell r="T808" t="str">
            <v>Failed</v>
          </cell>
          <cell r="U808" t="str">
            <v>Cancelled</v>
          </cell>
        </row>
        <row r="809">
          <cell r="A809" t="str">
            <v>ORD-2025-10808</v>
          </cell>
          <cell r="B809" t="str">
            <v>07 Feb 2025</v>
          </cell>
          <cell r="C809" t="str">
            <v>2025-02-08</v>
          </cell>
          <cell r="D809" t="str">
            <v>CUST-5884</v>
          </cell>
          <cell r="E809" t="str">
            <v>Karan Malhotra</v>
          </cell>
          <cell r="F809" t="str">
            <v>Small Business</v>
          </cell>
          <cell r="G809" t="str">
            <v>South</v>
          </cell>
          <cell r="H809" t="str">
            <v>Telangana</v>
          </cell>
          <cell r="I809" t="str">
            <v>Hyderabad</v>
          </cell>
          <cell r="J809" t="str">
            <v>Office Supplies</v>
          </cell>
          <cell r="K809" t="str">
            <v>Labels</v>
          </cell>
          <cell r="L809" t="str">
            <v>Smart Labels 436</v>
          </cell>
          <cell r="M809" t="str">
            <v>standard class</v>
          </cell>
          <cell r="N809">
            <v>2</v>
          </cell>
          <cell r="O809">
            <v>2432.98</v>
          </cell>
          <cell r="P809">
            <v>0.1</v>
          </cell>
          <cell r="S809">
            <v>655.43</v>
          </cell>
          <cell r="T809" t="str">
            <v>Paid</v>
          </cell>
          <cell r="U809" t="str">
            <v>Completed</v>
          </cell>
        </row>
        <row r="810">
          <cell r="A810" t="str">
            <v>ORD-2025-10809</v>
          </cell>
          <cell r="B810" t="str">
            <v>2025-08-31</v>
          </cell>
          <cell r="C810" t="str">
            <v>2025-08-28</v>
          </cell>
          <cell r="D810" t="str">
            <v>CUST-7503</v>
          </cell>
          <cell r="E810" t="str">
            <v>Aarav Sharma</v>
          </cell>
          <cell r="F810" t="str">
            <v>Small Business</v>
          </cell>
          <cell r="G810" t="str">
            <v>South</v>
          </cell>
          <cell r="H810" t="str">
            <v>Tamil Nadu</v>
          </cell>
          <cell r="I810" t="str">
            <v>Chennai</v>
          </cell>
          <cell r="J810" t="str">
            <v>Furniture</v>
          </cell>
          <cell r="K810" t="str">
            <v>Furnishings</v>
          </cell>
          <cell r="L810" t="str">
            <v>Pro Furnishings 386</v>
          </cell>
          <cell r="M810" t="str">
            <v>First Class</v>
          </cell>
          <cell r="N810">
            <v>7</v>
          </cell>
          <cell r="O810">
            <v>977.28</v>
          </cell>
          <cell r="P810">
            <v>0.2</v>
          </cell>
          <cell r="S810">
            <v>995.44</v>
          </cell>
          <cell r="T810" t="str">
            <v>Paid</v>
          </cell>
          <cell r="U810" t="str">
            <v>Completed</v>
          </cell>
        </row>
        <row r="811">
          <cell r="A811" t="str">
            <v>ORD-2025-10810</v>
          </cell>
          <cell r="B811" t="str">
            <v>25 Jun 2025</v>
          </cell>
          <cell r="C811" t="str">
            <v>25 Jun 2025</v>
          </cell>
          <cell r="D811" t="str">
            <v>CUST-6973</v>
          </cell>
          <cell r="E811" t="str">
            <v>Arjun Bose</v>
          </cell>
          <cell r="F811" t="str">
            <v>Small Business</v>
          </cell>
          <cell r="H811" t="str">
            <v>Punjab</v>
          </cell>
          <cell r="I811" t="str">
            <v>Ludhiana</v>
          </cell>
          <cell r="J811" t="str">
            <v>Office Supplies</v>
          </cell>
          <cell r="K811" t="str">
            <v>Binders</v>
          </cell>
          <cell r="L811" t="str">
            <v>Eco Binders 601</v>
          </cell>
          <cell r="M811" t="str">
            <v>Second Class</v>
          </cell>
          <cell r="N811">
            <v>6</v>
          </cell>
          <cell r="O811">
            <v>1366.13</v>
          </cell>
          <cell r="P811">
            <v>0.1</v>
          </cell>
          <cell r="S811">
            <v>2291.89</v>
          </cell>
          <cell r="T811" t="str">
            <v>Paid</v>
          </cell>
          <cell r="U811" t="str">
            <v>Completed</v>
          </cell>
        </row>
        <row r="812">
          <cell r="A812" t="str">
            <v>ORD-2024-10811</v>
          </cell>
          <cell r="B812" t="str">
            <v>04/03/2024</v>
          </cell>
          <cell r="C812" t="str">
            <v>08-04-2024</v>
          </cell>
          <cell r="D812" t="str">
            <v>CUST-4653</v>
          </cell>
          <cell r="E812" t="str">
            <v>Kabir Singh</v>
          </cell>
          <cell r="F812" t="str">
            <v>Home Office</v>
          </cell>
          <cell r="G812" t="str">
            <v>West</v>
          </cell>
          <cell r="H812" t="str">
            <v>Gujarat</v>
          </cell>
          <cell r="I812" t="str">
            <v>Ahmedabad</v>
          </cell>
          <cell r="J812" t="str">
            <v>Technology</v>
          </cell>
          <cell r="K812" t="str">
            <v>Copiers</v>
          </cell>
          <cell r="L812" t="str">
            <v>Pro Copiers 867</v>
          </cell>
          <cell r="M812" t="str">
            <v>First Class</v>
          </cell>
          <cell r="N812">
            <v>1</v>
          </cell>
          <cell r="O812">
            <v>3151.85</v>
          </cell>
          <cell r="P812">
            <v>0.25</v>
          </cell>
          <cell r="S812">
            <v>892.38</v>
          </cell>
          <cell r="T812" t="str">
            <v>Paid</v>
          </cell>
          <cell r="U812" t="str">
            <v>Completed</v>
          </cell>
        </row>
        <row r="813">
          <cell r="A813" t="str">
            <v>ORD-2024-10812</v>
          </cell>
          <cell r="B813" t="str">
            <v>12 Dec 2024</v>
          </cell>
          <cell r="C813" t="str">
            <v>19 Dec 2024</v>
          </cell>
          <cell r="D813" t="str">
            <v>CUST-3303</v>
          </cell>
          <cell r="E813" t="str">
            <v>Rohan Mehta</v>
          </cell>
          <cell r="F813" t="str">
            <v>Home Office</v>
          </cell>
          <cell r="G813" t="str">
            <v>North</v>
          </cell>
          <cell r="H813" t="str">
            <v>Haryana</v>
          </cell>
          <cell r="I813" t="str">
            <v>Gurugram</v>
          </cell>
          <cell r="J813" t="str">
            <v>Technology</v>
          </cell>
          <cell r="K813" t="str">
            <v>Accessories</v>
          </cell>
          <cell r="L813" t="str">
            <v>Eco Accessories 122</v>
          </cell>
          <cell r="M813" t="str">
            <v>First Class</v>
          </cell>
          <cell r="N813">
            <v>2</v>
          </cell>
          <cell r="O813">
            <v>1610.75</v>
          </cell>
          <cell r="P813">
            <v>0.2</v>
          </cell>
          <cell r="S813">
            <v>1101.33</v>
          </cell>
          <cell r="T813" t="str">
            <v>Paid</v>
          </cell>
          <cell r="U813" t="str">
            <v>Completed</v>
          </cell>
        </row>
        <row r="814">
          <cell r="A814" t="str">
            <v>ORD-2024-10813</v>
          </cell>
          <cell r="B814" t="str">
            <v>2024-06-15</v>
          </cell>
          <cell r="C814" t="str">
            <v>20-06-2024</v>
          </cell>
          <cell r="D814" t="str">
            <v>CUST-5754</v>
          </cell>
          <cell r="E814" t="str">
            <v>Sneha Kapoor</v>
          </cell>
          <cell r="F814" t="str">
            <v>Small Business</v>
          </cell>
          <cell r="G814" t="str">
            <v>East</v>
          </cell>
          <cell r="H814" t="str">
            <v>Jharkhand</v>
          </cell>
          <cell r="I814" t="str">
            <v>Ranchi</v>
          </cell>
          <cell r="J814" t="str">
            <v>Furniture</v>
          </cell>
          <cell r="K814" t="str">
            <v>Tables</v>
          </cell>
          <cell r="L814" t="str">
            <v>Basic Tables 127</v>
          </cell>
          <cell r="M814" t="str">
            <v>First Class</v>
          </cell>
          <cell r="N814">
            <v>8</v>
          </cell>
          <cell r="O814">
            <v>2228.4699999999998</v>
          </cell>
          <cell r="P814">
            <v>0</v>
          </cell>
          <cell r="S814">
            <v>3705.63</v>
          </cell>
          <cell r="T814" t="str">
            <v>Paid</v>
          </cell>
          <cell r="U814" t="str">
            <v>Completed</v>
          </cell>
        </row>
        <row r="815">
          <cell r="A815" t="str">
            <v>ORD-2025-10814</v>
          </cell>
          <cell r="B815" t="str">
            <v>04/06/2025</v>
          </cell>
          <cell r="C815" t="str">
            <v>10 Apr 2025</v>
          </cell>
          <cell r="D815" t="str">
            <v>CUST-7848</v>
          </cell>
          <cell r="E815" t="str">
            <v>Rohan Mehta</v>
          </cell>
          <cell r="F815" t="str">
            <v>Consumer</v>
          </cell>
          <cell r="G815" t="str">
            <v>East</v>
          </cell>
          <cell r="H815" t="str">
            <v>Odisha</v>
          </cell>
          <cell r="I815" t="str">
            <v>Bhubaneswar</v>
          </cell>
          <cell r="J815" t="str">
            <v>Furniture</v>
          </cell>
          <cell r="K815" t="str">
            <v>Bookcases</v>
          </cell>
          <cell r="L815" t="str">
            <v>Elite Bookcases 988</v>
          </cell>
          <cell r="M815" t="str">
            <v>Standard Class</v>
          </cell>
          <cell r="N815">
            <v>2</v>
          </cell>
          <cell r="O815">
            <v>1337.67</v>
          </cell>
          <cell r="P815">
            <v>0</v>
          </cell>
          <cell r="S815">
            <v>1079.47</v>
          </cell>
          <cell r="T815" t="str">
            <v>Paid</v>
          </cell>
          <cell r="U815" t="str">
            <v>Completed</v>
          </cell>
        </row>
        <row r="816">
          <cell r="A816" t="str">
            <v>ORD-2025-10815</v>
          </cell>
          <cell r="B816" t="str">
            <v>06 Aug 2025</v>
          </cell>
          <cell r="C816" t="str">
            <v>2025-08-11</v>
          </cell>
          <cell r="D816" t="str">
            <v>CUST-9048</v>
          </cell>
          <cell r="E816" t="str">
            <v>Arjun Bose</v>
          </cell>
          <cell r="F816" t="str">
            <v>Consumer</v>
          </cell>
          <cell r="G816" t="str">
            <v>West</v>
          </cell>
          <cell r="H816" t="str">
            <v>Madhya Pradesh</v>
          </cell>
          <cell r="I816" t="str">
            <v>Indore</v>
          </cell>
          <cell r="J816" t="str">
            <v>Office Supplies</v>
          </cell>
          <cell r="K816" t="str">
            <v>Labels</v>
          </cell>
          <cell r="L816" t="str">
            <v>Smart Labels 126</v>
          </cell>
          <cell r="M816" t="str">
            <v>First Class</v>
          </cell>
          <cell r="N816">
            <v>2</v>
          </cell>
          <cell r="O816">
            <v>2375.94</v>
          </cell>
          <cell r="P816">
            <v>0.25</v>
          </cell>
          <cell r="S816">
            <v>924.21</v>
          </cell>
          <cell r="T816" t="str">
            <v>Paid</v>
          </cell>
          <cell r="U816" t="str">
            <v>Completed</v>
          </cell>
        </row>
        <row r="817">
          <cell r="A817" t="str">
            <v>ORD-2024-10816</v>
          </cell>
          <cell r="B817" t="str">
            <v>04/01/2024</v>
          </cell>
          <cell r="C817" t="str">
            <v>2024-04-08</v>
          </cell>
          <cell r="D817" t="str">
            <v>CUST-2951</v>
          </cell>
          <cell r="E817" t="str">
            <v>Diya Patel</v>
          </cell>
          <cell r="F817" t="str">
            <v>Consumer</v>
          </cell>
          <cell r="G817" t="str">
            <v>East</v>
          </cell>
          <cell r="H817" t="str">
            <v>Odisha</v>
          </cell>
          <cell r="I817" t="str">
            <v>Bhubaneswar</v>
          </cell>
          <cell r="J817" t="str">
            <v>Technology</v>
          </cell>
          <cell r="K817" t="str">
            <v>Machines</v>
          </cell>
          <cell r="L817" t="str">
            <v>Max Machines 569</v>
          </cell>
          <cell r="M817" t="str">
            <v>Standard Class</v>
          </cell>
          <cell r="N817">
            <v>7</v>
          </cell>
          <cell r="O817">
            <v>715.81</v>
          </cell>
          <cell r="P817">
            <v>0.15</v>
          </cell>
          <cell r="S817">
            <v>1128.75</v>
          </cell>
          <cell r="T817" t="str">
            <v>Pending</v>
          </cell>
          <cell r="U817" t="str">
            <v>Cancelled</v>
          </cell>
        </row>
        <row r="818">
          <cell r="A818" t="str">
            <v>ORD-2024-10817</v>
          </cell>
          <cell r="B818" t="str">
            <v>11/27/2024</v>
          </cell>
          <cell r="C818" t="str">
            <v>2024-11-30</v>
          </cell>
          <cell r="D818" t="str">
            <v>CUST-3072</v>
          </cell>
          <cell r="E818" t="str">
            <v>Rahul Verma</v>
          </cell>
          <cell r="F818" t="str">
            <v>Small Business</v>
          </cell>
          <cell r="G818" t="str">
            <v>East</v>
          </cell>
          <cell r="H818" t="str">
            <v>Jharkhand</v>
          </cell>
          <cell r="I818" t="str">
            <v>Ranchi</v>
          </cell>
          <cell r="J818" t="str">
            <v>Furniture</v>
          </cell>
          <cell r="K818" t="str">
            <v>Furnishings</v>
          </cell>
          <cell r="L818" t="str">
            <v>Basic Furnishings 306</v>
          </cell>
          <cell r="M818" t="str">
            <v>First Class</v>
          </cell>
          <cell r="N818">
            <v>1</v>
          </cell>
          <cell r="O818">
            <v>874.3</v>
          </cell>
          <cell r="P818">
            <v>0.1</v>
          </cell>
          <cell r="S818">
            <v>288.37</v>
          </cell>
          <cell r="T818" t="str">
            <v>Paid</v>
          </cell>
          <cell r="U818" t="str">
            <v>Completed</v>
          </cell>
        </row>
        <row r="819">
          <cell r="A819" t="str">
            <v>ORD-2025-10818</v>
          </cell>
          <cell r="B819" t="str">
            <v>05 Apr 2025</v>
          </cell>
          <cell r="C819" t="str">
            <v>04/05/2025</v>
          </cell>
          <cell r="D819" t="str">
            <v>CUST-2221</v>
          </cell>
          <cell r="E819" t="str">
            <v>Sneha Kapoor</v>
          </cell>
          <cell r="F819" t="str">
            <v>Consumer</v>
          </cell>
          <cell r="G819" t="str">
            <v>East</v>
          </cell>
          <cell r="H819" t="str">
            <v>Bihar</v>
          </cell>
          <cell r="I819" t="str">
            <v>Patna</v>
          </cell>
          <cell r="J819" t="str">
            <v>Office Supplies</v>
          </cell>
          <cell r="K819" t="str">
            <v>Binders</v>
          </cell>
          <cell r="L819" t="str">
            <v>Classic Binders 873</v>
          </cell>
          <cell r="M819" t="str">
            <v>Standard Class</v>
          </cell>
          <cell r="N819">
            <v>6</v>
          </cell>
          <cell r="O819">
            <v>1829.69</v>
          </cell>
          <cell r="P819">
            <v>0.25</v>
          </cell>
          <cell r="S819">
            <v>3519.81</v>
          </cell>
          <cell r="T819" t="str">
            <v>Paid</v>
          </cell>
          <cell r="U819" t="str">
            <v>Completed</v>
          </cell>
        </row>
        <row r="820">
          <cell r="A820" t="str">
            <v>ORD-2024-10819</v>
          </cell>
          <cell r="B820" t="str">
            <v>29 Sep 2024</v>
          </cell>
          <cell r="C820" t="str">
            <v>05-10-2024</v>
          </cell>
          <cell r="D820" t="str">
            <v>CUST-3943</v>
          </cell>
          <cell r="E820" t="str">
            <v>Priya Menon</v>
          </cell>
          <cell r="F820" t="str">
            <v>Small Business</v>
          </cell>
          <cell r="G820" t="str">
            <v>West</v>
          </cell>
          <cell r="H820" t="str">
            <v>Maharashtra</v>
          </cell>
          <cell r="I820" t="str">
            <v>Mumbai</v>
          </cell>
          <cell r="J820" t="str">
            <v>Office Supplies</v>
          </cell>
          <cell r="K820" t="str">
            <v>Labels</v>
          </cell>
          <cell r="L820" t="str">
            <v>Pro Labels 611</v>
          </cell>
          <cell r="M820" t="str">
            <v>First Class</v>
          </cell>
          <cell r="N820">
            <v>8</v>
          </cell>
          <cell r="O820">
            <v>1981.04</v>
          </cell>
          <cell r="P820">
            <v>-0.14000000000000001</v>
          </cell>
          <cell r="S820">
            <v>2590.0100000000002</v>
          </cell>
          <cell r="T820" t="str">
            <v>Paid</v>
          </cell>
          <cell r="U820" t="str">
            <v>Completed</v>
          </cell>
        </row>
        <row r="821">
          <cell r="A821" t="str">
            <v>ORD-2024-10820</v>
          </cell>
          <cell r="B821" t="str">
            <v>07/31/2024</v>
          </cell>
          <cell r="C821" t="str">
            <v>31-07-2024</v>
          </cell>
          <cell r="D821" t="str">
            <v>CUST-7510</v>
          </cell>
          <cell r="E821" t="str">
            <v>Karan Malhotra</v>
          </cell>
          <cell r="F821" t="str">
            <v>Home Office</v>
          </cell>
          <cell r="G821" t="str">
            <v>South</v>
          </cell>
          <cell r="H821" t="str">
            <v>Kerala</v>
          </cell>
          <cell r="I821" t="str">
            <v>Kochi</v>
          </cell>
          <cell r="J821" t="str">
            <v>Technology</v>
          </cell>
          <cell r="K821" t="str">
            <v>MACHINES</v>
          </cell>
          <cell r="L821" t="str">
            <v>Prime Machines 524</v>
          </cell>
          <cell r="M821" t="str">
            <v>Standard Class</v>
          </cell>
          <cell r="N821">
            <v>8</v>
          </cell>
          <cell r="O821">
            <v>4246.01</v>
          </cell>
          <cell r="P821">
            <v>0</v>
          </cell>
          <cell r="S821">
            <v>7065.64</v>
          </cell>
          <cell r="T821" t="str">
            <v>Failed</v>
          </cell>
          <cell r="U821" t="str">
            <v>Cancelled</v>
          </cell>
        </row>
        <row r="822">
          <cell r="A822" t="str">
            <v>ORD-2025-10821</v>
          </cell>
          <cell r="B822" t="str">
            <v>06-02-2025</v>
          </cell>
          <cell r="C822" t="str">
            <v>10-02-2025</v>
          </cell>
          <cell r="D822" t="str">
            <v>CUST-2041</v>
          </cell>
          <cell r="E822" t="str">
            <v>Ananya Rao</v>
          </cell>
          <cell r="F822" t="str">
            <v>Home Office</v>
          </cell>
          <cell r="G822" t="str">
            <v>North</v>
          </cell>
          <cell r="H822" t="str">
            <v>Uttar Pradesh</v>
          </cell>
          <cell r="I822" t="str">
            <v>Noida</v>
          </cell>
          <cell r="J822" t="str">
            <v>Furniture</v>
          </cell>
          <cell r="K822" t="str">
            <v>Bookcases</v>
          </cell>
          <cell r="L822" t="str">
            <v>Classic Bookcases 882</v>
          </cell>
          <cell r="M822" t="str">
            <v>Standard Class</v>
          </cell>
          <cell r="N822">
            <v>2</v>
          </cell>
          <cell r="O822">
            <v>319.57</v>
          </cell>
          <cell r="P822">
            <v>0.2</v>
          </cell>
          <cell r="S822">
            <v>74.88</v>
          </cell>
          <cell r="T822" t="str">
            <v>Paid</v>
          </cell>
          <cell r="U822" t="str">
            <v>Completed</v>
          </cell>
        </row>
        <row r="823">
          <cell r="A823" t="str">
            <v>ORD-2024-10822</v>
          </cell>
          <cell r="B823" t="str">
            <v>2024-07-03</v>
          </cell>
          <cell r="C823" t="str">
            <v>06-07-2024</v>
          </cell>
          <cell r="D823" t="str">
            <v>CUST-4466</v>
          </cell>
          <cell r="E823" t="str">
            <v>Aarav Sharma</v>
          </cell>
          <cell r="F823" t="str">
            <v>Corporate</v>
          </cell>
          <cell r="G823" t="str">
            <v>South</v>
          </cell>
          <cell r="H823" t="str">
            <v>Karnataka</v>
          </cell>
          <cell r="I823" t="str">
            <v>Bengaluru</v>
          </cell>
          <cell r="J823" t="str">
            <v>Technology</v>
          </cell>
          <cell r="K823" t="str">
            <v>Accessories</v>
          </cell>
          <cell r="L823" t="str">
            <v>Classic Accessories 471</v>
          </cell>
          <cell r="M823" t="str">
            <v>First Class</v>
          </cell>
          <cell r="N823">
            <v>7</v>
          </cell>
          <cell r="O823">
            <v>1942.49</v>
          </cell>
          <cell r="P823">
            <v>0.2</v>
          </cell>
          <cell r="S823">
            <v>1767.8</v>
          </cell>
          <cell r="T823" t="str">
            <v>Paid</v>
          </cell>
          <cell r="U823" t="str">
            <v>Completed</v>
          </cell>
        </row>
        <row r="824">
          <cell r="A824" t="str">
            <v>ORD-2024-10823</v>
          </cell>
          <cell r="B824" t="str">
            <v>10/12/2024</v>
          </cell>
          <cell r="C824" t="str">
            <v>08 Oct 2024</v>
          </cell>
          <cell r="D824" t="str">
            <v>CUST-3188</v>
          </cell>
          <cell r="E824" t="str">
            <v>Mira Das</v>
          </cell>
          <cell r="F824" t="str">
            <v>Corporate</v>
          </cell>
          <cell r="G824" t="str">
            <v>East</v>
          </cell>
          <cell r="H824" t="str">
            <v>Assam</v>
          </cell>
          <cell r="I824" t="str">
            <v>Guwahati</v>
          </cell>
          <cell r="J824" t="str">
            <v>Furniture</v>
          </cell>
          <cell r="K824" t="str">
            <v>Furnishings</v>
          </cell>
          <cell r="L824" t="str">
            <v>Smart Furnishings 175</v>
          </cell>
          <cell r="M824" t="str">
            <v>Second Class</v>
          </cell>
          <cell r="N824">
            <v>4</v>
          </cell>
          <cell r="O824">
            <v>3202.04</v>
          </cell>
          <cell r="P824">
            <v>0.2</v>
          </cell>
          <cell r="S824">
            <v>1612.11</v>
          </cell>
          <cell r="T824" t="str">
            <v>Pending</v>
          </cell>
          <cell r="U824" t="str">
            <v>Returned</v>
          </cell>
        </row>
        <row r="825">
          <cell r="A825" t="str">
            <v>ORD-2025-10824</v>
          </cell>
          <cell r="B825" t="str">
            <v>2025-01-06</v>
          </cell>
          <cell r="C825" t="str">
            <v>12 Jan 2025</v>
          </cell>
          <cell r="D825" t="str">
            <v>CUST-6638</v>
          </cell>
          <cell r="E825" t="str">
            <v>Mira Das</v>
          </cell>
          <cell r="F825" t="str">
            <v>Home Office</v>
          </cell>
          <cell r="G825" t="str">
            <v>West</v>
          </cell>
          <cell r="H825" t="str">
            <v>Goa</v>
          </cell>
          <cell r="I825" t="str">
            <v>Panaji</v>
          </cell>
          <cell r="J825" t="str">
            <v>Office Supplies</v>
          </cell>
          <cell r="K825" t="str">
            <v>Paper</v>
          </cell>
          <cell r="L825" t="str">
            <v>Basic Paper 899</v>
          </cell>
          <cell r="M825" t="str">
            <v>Same Day</v>
          </cell>
          <cell r="N825">
            <v>3</v>
          </cell>
          <cell r="O825">
            <v>668.33</v>
          </cell>
          <cell r="P825">
            <v>0.15</v>
          </cell>
          <cell r="S825">
            <v>746.69</v>
          </cell>
          <cell r="T825" t="str">
            <v>Paid</v>
          </cell>
          <cell r="U825" t="str">
            <v>Completed</v>
          </cell>
        </row>
        <row r="826">
          <cell r="A826" t="str">
            <v>ORD-2025-10825</v>
          </cell>
          <cell r="B826" t="str">
            <v>21-03-2025</v>
          </cell>
          <cell r="C826" t="str">
            <v>22 Mar 2025</v>
          </cell>
          <cell r="D826" t="str">
            <v>CUST-3540</v>
          </cell>
          <cell r="E826" t="str">
            <v>Priya Menon</v>
          </cell>
          <cell r="F826" t="str">
            <v>Consumer</v>
          </cell>
          <cell r="G826" t="str">
            <v>West</v>
          </cell>
          <cell r="H826" t="str">
            <v>Goa</v>
          </cell>
          <cell r="I826" t="str">
            <v>Panaji</v>
          </cell>
          <cell r="J826" t="str">
            <v>Office Supplies</v>
          </cell>
          <cell r="K826" t="str">
            <v>Paper</v>
          </cell>
          <cell r="L826" t="str">
            <v>Pro Paper 267</v>
          </cell>
          <cell r="M826" t="str">
            <v>First Class</v>
          </cell>
          <cell r="N826">
            <v>8</v>
          </cell>
          <cell r="O826">
            <v>4436.74</v>
          </cell>
          <cell r="P826">
            <v>0.05</v>
          </cell>
          <cell r="S826">
            <v>4794.79</v>
          </cell>
          <cell r="T826" t="str">
            <v>Paid</v>
          </cell>
          <cell r="U826" t="str">
            <v>Completed</v>
          </cell>
        </row>
        <row r="827">
          <cell r="A827" t="str">
            <v>ORD-2025-10826</v>
          </cell>
          <cell r="B827" t="str">
            <v>16 Apr 2025</v>
          </cell>
          <cell r="C827" t="str">
            <v>17-04-2025</v>
          </cell>
          <cell r="D827" t="str">
            <v>CUST-3351</v>
          </cell>
          <cell r="E827" t="str">
            <v>Vikram Iyer</v>
          </cell>
          <cell r="F827" t="str">
            <v>Small Business</v>
          </cell>
          <cell r="G827" t="str">
            <v>North</v>
          </cell>
          <cell r="H827" t="str">
            <v>Uttar Pradesh</v>
          </cell>
          <cell r="I827" t="str">
            <v>Noida</v>
          </cell>
          <cell r="J827" t="str">
            <v>Technology</v>
          </cell>
          <cell r="K827" t="str">
            <v>Machines</v>
          </cell>
          <cell r="L827" t="str">
            <v>Basic Machines 832</v>
          </cell>
          <cell r="M827" t="str">
            <v>First Class</v>
          </cell>
          <cell r="N827">
            <v>1</v>
          </cell>
          <cell r="O827">
            <v>2720.17</v>
          </cell>
          <cell r="P827">
            <v>0</v>
          </cell>
          <cell r="S827">
            <v>885.94</v>
          </cell>
          <cell r="T827" t="str">
            <v>Paid</v>
          </cell>
          <cell r="U827" t="str">
            <v>Completed</v>
          </cell>
        </row>
        <row r="828">
          <cell r="A828" t="str">
            <v>ORD-2025-10827</v>
          </cell>
          <cell r="B828" t="str">
            <v>2025-08-10</v>
          </cell>
          <cell r="C828" t="str">
            <v>14 Aug 2025</v>
          </cell>
          <cell r="D828" t="str">
            <v>CUST-4375</v>
          </cell>
          <cell r="E828" t="str">
            <v>Aditi Sen</v>
          </cell>
          <cell r="F828" t="str">
            <v>Consumer</v>
          </cell>
          <cell r="G828" t="str">
            <v>West</v>
          </cell>
          <cell r="H828" t="str">
            <v>Rajasthan</v>
          </cell>
          <cell r="I828" t="str">
            <v>Udaipur</v>
          </cell>
          <cell r="J828" t="str">
            <v>Technology</v>
          </cell>
          <cell r="K828" t="str">
            <v>Accessories</v>
          </cell>
          <cell r="L828" t="str">
            <v>Elite Accessories 790</v>
          </cell>
          <cell r="M828" t="str">
            <v>Standard Class</v>
          </cell>
          <cell r="N828">
            <v>5</v>
          </cell>
          <cell r="O828">
            <v>2190.14</v>
          </cell>
          <cell r="P828">
            <v>0.25</v>
          </cell>
          <cell r="S828">
            <v>2643.72</v>
          </cell>
          <cell r="T828" t="str">
            <v>Paid</v>
          </cell>
          <cell r="U828" t="str">
            <v>Completed</v>
          </cell>
        </row>
        <row r="829">
          <cell r="A829" t="str">
            <v>ORD-2024-10828</v>
          </cell>
          <cell r="B829" t="str">
            <v>24 Nov 2024</v>
          </cell>
          <cell r="C829" t="str">
            <v>01-12-2024</v>
          </cell>
          <cell r="D829" t="str">
            <v>CUST-5125</v>
          </cell>
          <cell r="E829" t="str">
            <v>Priya Menon</v>
          </cell>
          <cell r="F829" t="str">
            <v>Home Office</v>
          </cell>
          <cell r="G829" t="str">
            <v>South</v>
          </cell>
          <cell r="H829" t="str">
            <v>Tamil Nadu</v>
          </cell>
          <cell r="I829" t="str">
            <v>Chennai</v>
          </cell>
          <cell r="J829" t="str">
            <v>Office Supplies</v>
          </cell>
          <cell r="K829" t="str">
            <v>Paper</v>
          </cell>
          <cell r="L829" t="str">
            <v>Basic Paper 707</v>
          </cell>
          <cell r="M829" t="str">
            <v>Same Day</v>
          </cell>
          <cell r="N829">
            <v>1</v>
          </cell>
          <cell r="O829">
            <v>844.89</v>
          </cell>
          <cell r="P829">
            <v>0.25</v>
          </cell>
          <cell r="S829">
            <v>113.2</v>
          </cell>
          <cell r="T829" t="str">
            <v>Paid</v>
          </cell>
          <cell r="U829" t="str">
            <v>Cancelled</v>
          </cell>
        </row>
        <row r="830">
          <cell r="A830" t="str">
            <v>ORD-2025-10829</v>
          </cell>
          <cell r="B830" t="str">
            <v>10/10/2025</v>
          </cell>
          <cell r="C830" t="str">
            <v>11-10-2025</v>
          </cell>
          <cell r="D830" t="str">
            <v>CUST-6010</v>
          </cell>
          <cell r="E830" t="str">
            <v>Karan Malhotra</v>
          </cell>
          <cell r="F830" t="str">
            <v>Corporate</v>
          </cell>
          <cell r="G830" t="str">
            <v>East</v>
          </cell>
          <cell r="H830" t="str">
            <v>Odisha</v>
          </cell>
          <cell r="I830" t="str">
            <v>Bhubaneswar</v>
          </cell>
          <cell r="J830" t="str">
            <v>Furniture</v>
          </cell>
          <cell r="K830" t="str">
            <v>Chairs</v>
          </cell>
          <cell r="L830" t="str">
            <v>Elite Chairs 979</v>
          </cell>
          <cell r="M830" t="str">
            <v>Second Class</v>
          </cell>
          <cell r="N830">
            <v>7</v>
          </cell>
          <cell r="O830">
            <v>3791.96</v>
          </cell>
          <cell r="P830">
            <v>0.05</v>
          </cell>
          <cell r="S830">
            <v>10999.59</v>
          </cell>
          <cell r="T830" t="str">
            <v>Failed</v>
          </cell>
          <cell r="U830" t="str">
            <v>Cancelled</v>
          </cell>
        </row>
        <row r="831">
          <cell r="A831" t="str">
            <v>ORD-2024-10830</v>
          </cell>
          <cell r="B831" t="str">
            <v>02/26/2024</v>
          </cell>
          <cell r="C831" t="str">
            <v>28-02-2024</v>
          </cell>
          <cell r="D831" t="str">
            <v>CUST-9036</v>
          </cell>
          <cell r="E831" t="str">
            <v>Aditi Sen</v>
          </cell>
          <cell r="F831" t="str">
            <v>Small Business</v>
          </cell>
          <cell r="G831" t="str">
            <v>West</v>
          </cell>
          <cell r="H831" t="str">
            <v>Goa</v>
          </cell>
          <cell r="I831" t="str">
            <v>Panaji</v>
          </cell>
          <cell r="J831" t="str">
            <v>Furniture</v>
          </cell>
          <cell r="K831" t="str">
            <v>Furnishings</v>
          </cell>
          <cell r="L831" t="str">
            <v>Pro Furnishings 192</v>
          </cell>
          <cell r="M831" t="str">
            <v>Second Class</v>
          </cell>
          <cell r="N831">
            <v>7</v>
          </cell>
          <cell r="O831">
            <v>1035.1400000000001</v>
          </cell>
          <cell r="P831">
            <v>0.1</v>
          </cell>
          <cell r="S831">
            <v>2010.28</v>
          </cell>
          <cell r="T831" t="str">
            <v>Paid</v>
          </cell>
          <cell r="U831" t="str">
            <v>Completed</v>
          </cell>
        </row>
        <row r="832">
          <cell r="A832" t="str">
            <v>ORD-2025-10831</v>
          </cell>
          <cell r="B832" t="str">
            <v>15 Jul 2025</v>
          </cell>
          <cell r="C832" t="str">
            <v>18-07-2025</v>
          </cell>
          <cell r="D832" t="str">
            <v>CUST-7929</v>
          </cell>
          <cell r="E832" t="str">
            <v>Aditi Sen</v>
          </cell>
          <cell r="F832" t="str">
            <v>Small Business</v>
          </cell>
          <cell r="H832" t="str">
            <v>Tamil Nadu</v>
          </cell>
          <cell r="I832" t="str">
            <v>Chennai</v>
          </cell>
          <cell r="J832" t="str">
            <v>Technology</v>
          </cell>
          <cell r="K832" t="str">
            <v>Machines</v>
          </cell>
          <cell r="L832" t="str">
            <v>Smart Machines 951</v>
          </cell>
          <cell r="M832" t="str">
            <v>First Class</v>
          </cell>
          <cell r="N832">
            <v>6</v>
          </cell>
          <cell r="O832">
            <v>2382.88</v>
          </cell>
          <cell r="P832">
            <v>0.1</v>
          </cell>
          <cell r="S832">
            <v>2798.61</v>
          </cell>
          <cell r="T832" t="str">
            <v>Paid</v>
          </cell>
          <cell r="U832" t="str">
            <v>Completed</v>
          </cell>
        </row>
        <row r="833">
          <cell r="A833" t="str">
            <v>ORD-2025-10832</v>
          </cell>
          <cell r="B833" t="str">
            <v>04/03/2025</v>
          </cell>
          <cell r="C833" t="str">
            <v>03-04-2025</v>
          </cell>
          <cell r="D833" t="str">
            <v>CUST-1106</v>
          </cell>
          <cell r="E833" t="str">
            <v>Diya Patel</v>
          </cell>
          <cell r="F833" t="str">
            <v>Home Office</v>
          </cell>
          <cell r="H833" t="str">
            <v>Haryana</v>
          </cell>
          <cell r="I833" t="str">
            <v>Gurugram</v>
          </cell>
          <cell r="J833" t="str">
            <v>Furniture</v>
          </cell>
          <cell r="K833" t="str">
            <v>Chairs</v>
          </cell>
          <cell r="L833" t="str">
            <v>Smart Chairs 794</v>
          </cell>
          <cell r="M833" t="str">
            <v>First Class</v>
          </cell>
          <cell r="N833">
            <v>9</v>
          </cell>
          <cell r="O833">
            <v>3462.7</v>
          </cell>
          <cell r="P833">
            <v>0.15</v>
          </cell>
          <cell r="S833">
            <v>10671.19</v>
          </cell>
          <cell r="T833" t="str">
            <v>Failed</v>
          </cell>
          <cell r="U833" t="str">
            <v>Returned</v>
          </cell>
        </row>
        <row r="834">
          <cell r="A834" t="str">
            <v>ORD-2025-10833</v>
          </cell>
          <cell r="B834" t="str">
            <v>26 May 2025</v>
          </cell>
          <cell r="C834" t="str">
            <v>28-05-2025</v>
          </cell>
          <cell r="D834" t="str">
            <v>CUST-9557</v>
          </cell>
          <cell r="E834" t="str">
            <v>Kabir Singh</v>
          </cell>
          <cell r="F834" t="str">
            <v>Small Business</v>
          </cell>
          <cell r="G834" t="str">
            <v>South</v>
          </cell>
          <cell r="H834" t="str">
            <v>Andhra Pradesh</v>
          </cell>
          <cell r="I834" t="str">
            <v>Vijayawada</v>
          </cell>
          <cell r="J834" t="str">
            <v>Technology</v>
          </cell>
          <cell r="K834" t="str">
            <v>Phones</v>
          </cell>
          <cell r="L834" t="str">
            <v>Max Phones 919</v>
          </cell>
          <cell r="M834" t="str">
            <v>Second Class</v>
          </cell>
          <cell r="N834">
            <v>9</v>
          </cell>
          <cell r="O834">
            <v>4302.0200000000004</v>
          </cell>
          <cell r="P834">
            <v>0.05</v>
          </cell>
          <cell r="S834">
            <v>10879.46</v>
          </cell>
          <cell r="T834" t="str">
            <v>Paid</v>
          </cell>
          <cell r="U834" t="str">
            <v>Completed</v>
          </cell>
        </row>
        <row r="835">
          <cell r="A835" t="str">
            <v>ORD-2024-10834</v>
          </cell>
          <cell r="B835" t="str">
            <v>2024-06-04</v>
          </cell>
          <cell r="C835" t="str">
            <v>06/04/2024</v>
          </cell>
          <cell r="D835" t="str">
            <v>CUST-2689</v>
          </cell>
          <cell r="E835" t="str">
            <v>Rahul Verma</v>
          </cell>
          <cell r="F835" t="str">
            <v>Home Office</v>
          </cell>
          <cell r="G835" t="str">
            <v>East</v>
          </cell>
          <cell r="H835" t="str">
            <v>West Bengal</v>
          </cell>
          <cell r="I835" t="str">
            <v>Kolkata</v>
          </cell>
          <cell r="J835" t="str">
            <v>Furniture</v>
          </cell>
          <cell r="K835" t="str">
            <v>Bookcases</v>
          </cell>
          <cell r="L835" t="str">
            <v>Basic Bookcases 499</v>
          </cell>
          <cell r="M835" t="str">
            <v>First Class</v>
          </cell>
          <cell r="N835">
            <v>6</v>
          </cell>
          <cell r="O835">
            <v>3949.4</v>
          </cell>
          <cell r="P835">
            <v>0</v>
          </cell>
          <cell r="S835">
            <v>5586.63</v>
          </cell>
          <cell r="T835" t="str">
            <v>Paid</v>
          </cell>
          <cell r="U835" t="str">
            <v>Completed</v>
          </cell>
        </row>
        <row r="836">
          <cell r="A836" t="str">
            <v>ORD-2024-10835</v>
          </cell>
          <cell r="B836" t="str">
            <v>18-10-2024</v>
          </cell>
          <cell r="C836" t="str">
            <v>2024-10-22</v>
          </cell>
          <cell r="D836" t="str">
            <v>CUST-2879</v>
          </cell>
          <cell r="E836" t="str">
            <v>Aarav Sharma</v>
          </cell>
          <cell r="F836" t="str">
            <v>Home Office</v>
          </cell>
          <cell r="G836" t="str">
            <v>South</v>
          </cell>
          <cell r="H836" t="str">
            <v>Telangana</v>
          </cell>
          <cell r="I836" t="str">
            <v>Hyderabad</v>
          </cell>
          <cell r="J836" t="str">
            <v>Office Supplies</v>
          </cell>
          <cell r="K836" t="str">
            <v>Art</v>
          </cell>
          <cell r="L836" t="str">
            <v>Basic Art 143</v>
          </cell>
          <cell r="M836" t="str">
            <v>First Class</v>
          </cell>
          <cell r="N836">
            <v>6</v>
          </cell>
          <cell r="O836">
            <v>674.61</v>
          </cell>
          <cell r="P836">
            <v>0</v>
          </cell>
          <cell r="S836">
            <v>1279.79</v>
          </cell>
          <cell r="T836" t="str">
            <v>Paid</v>
          </cell>
          <cell r="U836" t="str">
            <v>Completed</v>
          </cell>
        </row>
        <row r="837">
          <cell r="A837" t="str">
            <v>ORD-2025-10836</v>
          </cell>
          <cell r="B837" t="str">
            <v>09/26/2025</v>
          </cell>
          <cell r="C837" t="str">
            <v>04-10-2025</v>
          </cell>
          <cell r="D837" t="str">
            <v>CUST-5150</v>
          </cell>
          <cell r="E837" t="str">
            <v>Priya Menon</v>
          </cell>
          <cell r="F837" t="str">
            <v>Small Business</v>
          </cell>
          <cell r="G837" t="str">
            <v>East</v>
          </cell>
          <cell r="H837" t="str">
            <v>Assam</v>
          </cell>
          <cell r="I837" t="str">
            <v>Guwahati</v>
          </cell>
          <cell r="J837" t="str">
            <v>Technology</v>
          </cell>
          <cell r="K837" t="str">
            <v>Phones</v>
          </cell>
          <cell r="L837" t="str">
            <v>Prime Phones 338</v>
          </cell>
          <cell r="M837" t="str">
            <v>Second Class</v>
          </cell>
          <cell r="N837">
            <v>7</v>
          </cell>
          <cell r="O837">
            <v>1509.59</v>
          </cell>
          <cell r="P837">
            <v>0.05</v>
          </cell>
          <cell r="S837">
            <v>4365.67</v>
          </cell>
          <cell r="T837" t="str">
            <v>Paid</v>
          </cell>
          <cell r="U837" t="str">
            <v>Completed</v>
          </cell>
        </row>
        <row r="838">
          <cell r="A838" t="str">
            <v>ORD-2024-10837</v>
          </cell>
          <cell r="B838" t="str">
            <v>2024-12-15</v>
          </cell>
          <cell r="C838" t="str">
            <v>2024-12-18</v>
          </cell>
          <cell r="D838" t="str">
            <v>CUST-9776</v>
          </cell>
          <cell r="E838" t="str">
            <v>Isha Nair</v>
          </cell>
          <cell r="F838" t="str">
            <v>Small Business</v>
          </cell>
          <cell r="G838" t="str">
            <v>North</v>
          </cell>
          <cell r="H838" t="str">
            <v>Rajasthan</v>
          </cell>
          <cell r="I838" t="str">
            <v>Jaipur</v>
          </cell>
          <cell r="J838" t="str">
            <v>Office Supplies</v>
          </cell>
          <cell r="K838" t="str">
            <v>Labels</v>
          </cell>
          <cell r="L838" t="str">
            <v>Smart Labels 814</v>
          </cell>
          <cell r="M838" t="str">
            <v>Second Class</v>
          </cell>
          <cell r="N838">
            <v>2</v>
          </cell>
          <cell r="O838">
            <v>537.11</v>
          </cell>
          <cell r="P838">
            <v>0</v>
          </cell>
          <cell r="S838">
            <v>223.36</v>
          </cell>
          <cell r="T838" t="str">
            <v>Paid</v>
          </cell>
          <cell r="U838" t="str">
            <v>Completed</v>
          </cell>
        </row>
        <row r="839">
          <cell r="A839" t="str">
            <v>ORD-2025-10838</v>
          </cell>
          <cell r="B839" t="str">
            <v>2025-09-27</v>
          </cell>
          <cell r="C839" t="str">
            <v>09/28/2025</v>
          </cell>
          <cell r="D839" t="str">
            <v>CUST-2551</v>
          </cell>
          <cell r="E839" t="str">
            <v>Karan Malhotra</v>
          </cell>
          <cell r="F839" t="str">
            <v>Home Office</v>
          </cell>
          <cell r="G839" t="str">
            <v>West</v>
          </cell>
          <cell r="H839" t="str">
            <v>Maharashtra</v>
          </cell>
          <cell r="I839" t="str">
            <v>Mumbai</v>
          </cell>
          <cell r="J839" t="str">
            <v>Office Supplies</v>
          </cell>
          <cell r="K839" t="str">
            <v>Paper</v>
          </cell>
          <cell r="L839" t="str">
            <v>Prime Paper 812</v>
          </cell>
          <cell r="M839" t="str">
            <v>First Class</v>
          </cell>
          <cell r="N839">
            <v>3</v>
          </cell>
          <cell r="O839">
            <v>4177.63</v>
          </cell>
          <cell r="P839">
            <v>0.25</v>
          </cell>
          <cell r="S839">
            <v>2859.3</v>
          </cell>
          <cell r="T839" t="str">
            <v>Paid</v>
          </cell>
          <cell r="U839" t="str">
            <v>Completed</v>
          </cell>
        </row>
        <row r="840">
          <cell r="A840" t="str">
            <v>ORD-2025-10839</v>
          </cell>
          <cell r="B840" t="str">
            <v>04/03/2025</v>
          </cell>
          <cell r="C840" t="str">
            <v>07 Apr 2025</v>
          </cell>
          <cell r="D840" t="str">
            <v>CUST-4708</v>
          </cell>
          <cell r="E840" t="str">
            <v>Ananya Rao</v>
          </cell>
          <cell r="F840" t="str">
            <v>Small Business</v>
          </cell>
          <cell r="G840" t="str">
            <v>West</v>
          </cell>
          <cell r="H840" t="str">
            <v>Goa</v>
          </cell>
          <cell r="I840" t="str">
            <v>Panaji</v>
          </cell>
          <cell r="J840" t="str">
            <v>Office Supplies</v>
          </cell>
          <cell r="K840" t="str">
            <v>Paper</v>
          </cell>
          <cell r="L840" t="str">
            <v>Pro Paper 355</v>
          </cell>
          <cell r="M840" t="str">
            <v>Same Day</v>
          </cell>
          <cell r="N840">
            <v>1</v>
          </cell>
          <cell r="O840">
            <v>1470.57</v>
          </cell>
          <cell r="P840">
            <v>0</v>
          </cell>
          <cell r="S840">
            <v>636.54999999999995</v>
          </cell>
          <cell r="T840" t="str">
            <v>Paid</v>
          </cell>
          <cell r="U840" t="str">
            <v>Returned</v>
          </cell>
        </row>
        <row r="841">
          <cell r="A841" t="str">
            <v>ORD-2024-10840</v>
          </cell>
          <cell r="B841" t="str">
            <v>09/20/2024</v>
          </cell>
          <cell r="C841" t="str">
            <v>22-09-2024</v>
          </cell>
          <cell r="D841" t="str">
            <v>CUST-8206</v>
          </cell>
          <cell r="E841" t="str">
            <v>Rohan Mehta</v>
          </cell>
          <cell r="F841" t="str">
            <v>Home Office</v>
          </cell>
          <cell r="G841" t="str">
            <v>East</v>
          </cell>
          <cell r="H841" t="str">
            <v>Odisha</v>
          </cell>
          <cell r="I841" t="str">
            <v>Bhubaneswar</v>
          </cell>
          <cell r="J841" t="str">
            <v>Technology</v>
          </cell>
          <cell r="K841" t="str">
            <v>Phones</v>
          </cell>
          <cell r="L841" t="str">
            <v>Basic Phones 398</v>
          </cell>
          <cell r="M841" t="str">
            <v>Standard Class</v>
          </cell>
          <cell r="N841">
            <v>8</v>
          </cell>
          <cell r="O841">
            <v>531.42999999999995</v>
          </cell>
          <cell r="P841">
            <v>0.1</v>
          </cell>
          <cell r="S841">
            <v>1632.18</v>
          </cell>
          <cell r="T841" t="str">
            <v>Paid</v>
          </cell>
          <cell r="U841" t="str">
            <v>Completed</v>
          </cell>
        </row>
        <row r="842">
          <cell r="A842" t="str">
            <v>ORD-2025-10841</v>
          </cell>
          <cell r="B842" t="str">
            <v>2025-09-19</v>
          </cell>
          <cell r="C842" t="str">
            <v>19-09-2025</v>
          </cell>
          <cell r="D842" t="str">
            <v>CUST-1297</v>
          </cell>
          <cell r="E842" t="str">
            <v>Neha Gupta</v>
          </cell>
          <cell r="F842" t="str">
            <v>Home Office</v>
          </cell>
          <cell r="G842" t="str">
            <v>North</v>
          </cell>
          <cell r="H842" t="str">
            <v>Delhi</v>
          </cell>
          <cell r="I842" t="str">
            <v>New Delhi</v>
          </cell>
          <cell r="J842" t="str">
            <v>Furniture</v>
          </cell>
          <cell r="K842" t="str">
            <v>Chairs</v>
          </cell>
          <cell r="L842" t="str">
            <v>Classic Chairs 204</v>
          </cell>
          <cell r="M842" t="str">
            <v>Same Day</v>
          </cell>
          <cell r="N842">
            <v>4</v>
          </cell>
          <cell r="O842">
            <v>1584.11</v>
          </cell>
          <cell r="P842">
            <v>0</v>
          </cell>
          <cell r="S842">
            <v>1655.76</v>
          </cell>
          <cell r="T842" t="str">
            <v>Paid</v>
          </cell>
          <cell r="U842" t="str">
            <v>Completed</v>
          </cell>
        </row>
        <row r="843">
          <cell r="A843" t="str">
            <v>ORD-2025-10842</v>
          </cell>
          <cell r="B843" t="str">
            <v>2025-02-06</v>
          </cell>
          <cell r="C843" t="str">
            <v>12 Feb 2025</v>
          </cell>
          <cell r="D843" t="str">
            <v>CUST-7558</v>
          </cell>
          <cell r="E843" t="str">
            <v>Ananya Rao</v>
          </cell>
          <cell r="F843" t="str">
            <v>Small Business</v>
          </cell>
          <cell r="G843" t="str">
            <v>East</v>
          </cell>
          <cell r="H843" t="str">
            <v>Bihar</v>
          </cell>
          <cell r="I843" t="str">
            <v>Patna</v>
          </cell>
          <cell r="J843" t="str">
            <v>Office Supplies</v>
          </cell>
          <cell r="K843" t="str">
            <v>Art</v>
          </cell>
          <cell r="L843" t="str">
            <v>Max Art 339</v>
          </cell>
          <cell r="M843" t="str">
            <v>Standard Class</v>
          </cell>
          <cell r="N843">
            <v>9</v>
          </cell>
          <cell r="O843">
            <v>3237.16</v>
          </cell>
          <cell r="P843">
            <v>0.25</v>
          </cell>
          <cell r="S843">
            <v>5250.7</v>
          </cell>
          <cell r="T843" t="str">
            <v>Paid</v>
          </cell>
          <cell r="U843" t="str">
            <v>Completed</v>
          </cell>
        </row>
        <row r="844">
          <cell r="A844" t="str">
            <v>ORD-2024-10843</v>
          </cell>
          <cell r="B844" t="str">
            <v>31-03-2024</v>
          </cell>
          <cell r="C844" t="str">
            <v>03/30/2024</v>
          </cell>
          <cell r="D844" t="str">
            <v>CUST-1798</v>
          </cell>
          <cell r="E844" t="str">
            <v>kabir singh</v>
          </cell>
          <cell r="F844" t="str">
            <v>Consumer</v>
          </cell>
          <cell r="G844" t="str">
            <v>North</v>
          </cell>
          <cell r="H844" t="str">
            <v>Haryana</v>
          </cell>
          <cell r="I844" t="str">
            <v>Gurugram</v>
          </cell>
          <cell r="J844" t="str">
            <v>Technology</v>
          </cell>
          <cell r="K844" t="str">
            <v>Machines</v>
          </cell>
          <cell r="L844" t="str">
            <v>Smart Machines 581</v>
          </cell>
          <cell r="M844" t="str">
            <v>First Class</v>
          </cell>
          <cell r="N844">
            <v>4</v>
          </cell>
          <cell r="O844">
            <v>2192.08</v>
          </cell>
          <cell r="P844">
            <v>0.15</v>
          </cell>
          <cell r="S844">
            <v>2319.29</v>
          </cell>
          <cell r="T844" t="str">
            <v>Paid</v>
          </cell>
          <cell r="U844" t="str">
            <v>Returned</v>
          </cell>
        </row>
        <row r="845">
          <cell r="A845" t="str">
            <v>ORD-2025-10844</v>
          </cell>
          <cell r="B845" t="str">
            <v>18 Jul 2025</v>
          </cell>
          <cell r="C845" t="str">
            <v>25 Jul 2025</v>
          </cell>
          <cell r="D845" t="str">
            <v>CUST-7333</v>
          </cell>
          <cell r="E845" t="str">
            <v>Priya Menon</v>
          </cell>
          <cell r="F845" t="str">
            <v>Small Business</v>
          </cell>
          <cell r="G845" t="str">
            <v>North</v>
          </cell>
          <cell r="H845" t="str">
            <v>Uttar Pradesh</v>
          </cell>
          <cell r="I845" t="str">
            <v>Noida</v>
          </cell>
          <cell r="J845" t="str">
            <v>Technology</v>
          </cell>
          <cell r="K845" t="str">
            <v>Phones</v>
          </cell>
          <cell r="L845" t="str">
            <v>Prime Phones 482</v>
          </cell>
          <cell r="M845" t="str">
            <v>First Class</v>
          </cell>
          <cell r="N845">
            <v>9</v>
          </cell>
          <cell r="O845">
            <v>3989.52</v>
          </cell>
          <cell r="P845">
            <v>-0.02</v>
          </cell>
          <cell r="S845">
            <v>11989.58</v>
          </cell>
          <cell r="T845" t="str">
            <v>Paid</v>
          </cell>
          <cell r="U845" t="str">
            <v>Completed</v>
          </cell>
        </row>
        <row r="846">
          <cell r="A846" t="str">
            <v>ORD-2025-10845</v>
          </cell>
          <cell r="B846" t="str">
            <v>20-01-2025</v>
          </cell>
          <cell r="C846" t="str">
            <v>25-01-2025</v>
          </cell>
          <cell r="D846" t="str">
            <v>CUST-2086</v>
          </cell>
          <cell r="E846" t="str">
            <v>Aditi Sen</v>
          </cell>
          <cell r="F846" t="str">
            <v>Home Office</v>
          </cell>
          <cell r="G846" t="str">
            <v>West</v>
          </cell>
          <cell r="H846" t="str">
            <v>Goa</v>
          </cell>
          <cell r="I846" t="str">
            <v>Panaji</v>
          </cell>
          <cell r="J846" t="str">
            <v>Office Supplies</v>
          </cell>
          <cell r="K846" t="str">
            <v>Art</v>
          </cell>
          <cell r="L846" t="str">
            <v>Pro Art 588</v>
          </cell>
          <cell r="M846" t="str">
            <v>First Class</v>
          </cell>
          <cell r="N846">
            <v>1</v>
          </cell>
          <cell r="O846">
            <v>3515.15</v>
          </cell>
          <cell r="P846">
            <v>0</v>
          </cell>
          <cell r="S846">
            <v>1298.81</v>
          </cell>
          <cell r="T846" t="str">
            <v>Paid</v>
          </cell>
          <cell r="U846" t="str">
            <v>Completed</v>
          </cell>
        </row>
        <row r="847">
          <cell r="A847" t="str">
            <v>ORD-2024-10846</v>
          </cell>
          <cell r="B847" t="str">
            <v>23-02-2024</v>
          </cell>
          <cell r="C847" t="str">
            <v>27 Feb 2024</v>
          </cell>
          <cell r="D847" t="str">
            <v>CUST-2367</v>
          </cell>
          <cell r="E847" t="str">
            <v>Karan Malhotra</v>
          </cell>
          <cell r="F847" t="str">
            <v>Consumer</v>
          </cell>
          <cell r="G847" t="str">
            <v>East</v>
          </cell>
          <cell r="H847" t="str">
            <v>Odisha</v>
          </cell>
          <cell r="I847" t="str">
            <v>Bhubaneswar</v>
          </cell>
          <cell r="J847" t="str">
            <v>Furniture</v>
          </cell>
          <cell r="K847" t="str">
            <v>Tables</v>
          </cell>
          <cell r="L847" t="str">
            <v>Eco Tables 792</v>
          </cell>
          <cell r="M847" t="str">
            <v>First Class</v>
          </cell>
          <cell r="N847">
            <v>9</v>
          </cell>
          <cell r="O847">
            <v>3616.23</v>
          </cell>
          <cell r="P847">
            <v>0.25</v>
          </cell>
          <cell r="S847">
            <v>7251.97</v>
          </cell>
          <cell r="T847" t="str">
            <v>Pending</v>
          </cell>
          <cell r="U847" t="str">
            <v>Returned</v>
          </cell>
        </row>
        <row r="848">
          <cell r="A848" t="str">
            <v>ORD-2024-10847</v>
          </cell>
          <cell r="B848" t="str">
            <v>2024-04-14</v>
          </cell>
          <cell r="C848" t="str">
            <v>2024-04-22</v>
          </cell>
          <cell r="D848" t="str">
            <v>CUST-6522</v>
          </cell>
          <cell r="E848" t="str">
            <v>Priya Menon</v>
          </cell>
          <cell r="F848" t="str">
            <v>Small Business</v>
          </cell>
          <cell r="G848" t="str">
            <v>West</v>
          </cell>
          <cell r="H848" t="str">
            <v>Gujarat</v>
          </cell>
          <cell r="I848" t="str">
            <v>Ahmedabad</v>
          </cell>
          <cell r="J848" t="str">
            <v>Furniture</v>
          </cell>
          <cell r="K848" t="str">
            <v>Bookcases</v>
          </cell>
          <cell r="L848" t="str">
            <v>Prime Bookcases 177</v>
          </cell>
          <cell r="M848" t="str">
            <v>Standard Class</v>
          </cell>
          <cell r="N848">
            <v>2</v>
          </cell>
          <cell r="O848">
            <v>3977.52</v>
          </cell>
          <cell r="P848">
            <v>0</v>
          </cell>
          <cell r="S848">
            <v>2374.36</v>
          </cell>
          <cell r="T848" t="str">
            <v>Pending</v>
          </cell>
          <cell r="U848" t="str">
            <v>Returned</v>
          </cell>
        </row>
        <row r="849">
          <cell r="A849" t="str">
            <v>ORD-2025-10848</v>
          </cell>
          <cell r="B849" t="str">
            <v>2025-05-20</v>
          </cell>
          <cell r="C849" t="str">
            <v>05/22/2025</v>
          </cell>
          <cell r="D849" t="str">
            <v>CUST-8329</v>
          </cell>
          <cell r="E849" t="str">
            <v>Diya Patel</v>
          </cell>
          <cell r="F849" t="str">
            <v>Home Office</v>
          </cell>
          <cell r="G849" t="str">
            <v>East</v>
          </cell>
          <cell r="H849" t="str">
            <v>Odisha</v>
          </cell>
          <cell r="I849" t="str">
            <v>Bhubaneswar</v>
          </cell>
          <cell r="J849" t="str">
            <v>Furniture</v>
          </cell>
          <cell r="K849" t="str">
            <v>Tables</v>
          </cell>
          <cell r="L849" t="str">
            <v>Pro Tables 828</v>
          </cell>
          <cell r="M849" t="str">
            <v>Second Class</v>
          </cell>
          <cell r="N849">
            <v>2</v>
          </cell>
          <cell r="O849">
            <v>210.08</v>
          </cell>
          <cell r="P849">
            <v>0.2</v>
          </cell>
          <cell r="S849">
            <v>93.94</v>
          </cell>
          <cell r="T849" t="str">
            <v>Paid</v>
          </cell>
          <cell r="U849" t="str">
            <v>Completed</v>
          </cell>
        </row>
        <row r="850">
          <cell r="A850" t="str">
            <v>ORD-2025-10849</v>
          </cell>
          <cell r="B850" t="str">
            <v>27-05-2025</v>
          </cell>
          <cell r="C850" t="str">
            <v>29 May 2025</v>
          </cell>
          <cell r="D850" t="str">
            <v>CUST-4426</v>
          </cell>
          <cell r="E850" t="str">
            <v>Rahul Verma</v>
          </cell>
          <cell r="F850" t="str">
            <v>Home Office</v>
          </cell>
          <cell r="G850" t="str">
            <v>South</v>
          </cell>
          <cell r="H850" t="str">
            <v>Tamil Nadu</v>
          </cell>
          <cell r="I850" t="str">
            <v>Chennai</v>
          </cell>
          <cell r="J850" t="str">
            <v>Furniture</v>
          </cell>
          <cell r="K850" t="str">
            <v>Furnishings</v>
          </cell>
          <cell r="L850" t="str">
            <v>Elite Furnishings 480</v>
          </cell>
          <cell r="M850" t="str">
            <v>Second Class</v>
          </cell>
          <cell r="N850">
            <v>1</v>
          </cell>
          <cell r="O850">
            <v>1744.35</v>
          </cell>
          <cell r="P850">
            <v>0.25</v>
          </cell>
          <cell r="S850">
            <v>224.7</v>
          </cell>
          <cell r="T850" t="str">
            <v>Paid</v>
          </cell>
          <cell r="U850" t="str">
            <v>Completed</v>
          </cell>
        </row>
        <row r="851">
          <cell r="A851" t="str">
            <v>ORD-2024-10850</v>
          </cell>
          <cell r="B851" t="str">
            <v>2024-03-06</v>
          </cell>
          <cell r="C851" t="str">
            <v>12-03-2024</v>
          </cell>
          <cell r="D851" t="str">
            <v>CUST-3360</v>
          </cell>
          <cell r="E851" t="str">
            <v>Isha Nair</v>
          </cell>
          <cell r="F851" t="str">
            <v>Home Office</v>
          </cell>
          <cell r="G851" t="str">
            <v>West</v>
          </cell>
          <cell r="H851" t="str">
            <v>Gujarat</v>
          </cell>
          <cell r="I851" t="str">
            <v>Ahmedabad</v>
          </cell>
          <cell r="J851" t="str">
            <v>Furniture</v>
          </cell>
          <cell r="K851" t="str">
            <v>Bookcases</v>
          </cell>
          <cell r="L851" t="str">
            <v>Prime Bookcases 755</v>
          </cell>
          <cell r="M851" t="str">
            <v>Standard Class</v>
          </cell>
          <cell r="N851">
            <v>3</v>
          </cell>
          <cell r="O851">
            <v>679.63</v>
          </cell>
          <cell r="P851">
            <v>0.2</v>
          </cell>
          <cell r="S851">
            <v>396.58</v>
          </cell>
          <cell r="T851" t="str">
            <v>Paid</v>
          </cell>
          <cell r="U851" t="str">
            <v>Completed</v>
          </cell>
        </row>
        <row r="852">
          <cell r="A852" t="str">
            <v>ORD-2024-10851</v>
          </cell>
          <cell r="B852" t="str">
            <v>30-06-2024</v>
          </cell>
          <cell r="C852" t="str">
            <v>2024-07-03</v>
          </cell>
          <cell r="D852" t="str">
            <v>CUST-2623</v>
          </cell>
          <cell r="E852" t="str">
            <v>Priya Menon</v>
          </cell>
          <cell r="F852" t="str">
            <v>Home Office</v>
          </cell>
          <cell r="G852" t="str">
            <v>East</v>
          </cell>
          <cell r="H852" t="str">
            <v>West Bengal</v>
          </cell>
          <cell r="I852" t="str">
            <v>Kolkata</v>
          </cell>
          <cell r="J852" t="str">
            <v>Office Supplies</v>
          </cell>
          <cell r="K852" t="str">
            <v>Paper</v>
          </cell>
          <cell r="L852" t="str">
            <v>Prime Paper 317</v>
          </cell>
          <cell r="M852" t="str">
            <v>First Class</v>
          </cell>
          <cell r="N852">
            <v>6</v>
          </cell>
          <cell r="O852">
            <v>1211.01</v>
          </cell>
          <cell r="P852">
            <v>0</v>
          </cell>
          <cell r="S852">
            <v>1049.17</v>
          </cell>
          <cell r="T852" t="str">
            <v>Paid</v>
          </cell>
          <cell r="U852" t="str">
            <v>Completed</v>
          </cell>
        </row>
        <row r="853">
          <cell r="A853" t="str">
            <v>ORD-2024-10852</v>
          </cell>
          <cell r="B853" t="str">
            <v>2024-03-26</v>
          </cell>
          <cell r="C853" t="str">
            <v>01 Apr 2024</v>
          </cell>
          <cell r="D853" t="str">
            <v>CUST-3175</v>
          </cell>
          <cell r="E853" t="str">
            <v>Karan Malhotra</v>
          </cell>
          <cell r="F853" t="str">
            <v>Small Business</v>
          </cell>
          <cell r="G853" t="str">
            <v>West</v>
          </cell>
          <cell r="H853" t="str">
            <v>Gujarat</v>
          </cell>
          <cell r="I853" t="str">
            <v>Ahmedabad</v>
          </cell>
          <cell r="J853" t="str">
            <v>Technology</v>
          </cell>
          <cell r="K853" t="str">
            <v>Accessories</v>
          </cell>
          <cell r="L853" t="str">
            <v>Classic Accessories 933</v>
          </cell>
          <cell r="M853" t="str">
            <v>First Class</v>
          </cell>
          <cell r="N853">
            <v>2</v>
          </cell>
          <cell r="O853">
            <v>1161.3</v>
          </cell>
          <cell r="P853">
            <v>0.2</v>
          </cell>
          <cell r="S853">
            <v>267.33</v>
          </cell>
          <cell r="T853" t="str">
            <v>Paid</v>
          </cell>
          <cell r="U853" t="str">
            <v>Completed</v>
          </cell>
        </row>
        <row r="854">
          <cell r="A854" t="str">
            <v>ORD-2024-10853</v>
          </cell>
          <cell r="B854" t="str">
            <v>01-04-2024</v>
          </cell>
          <cell r="C854" t="str">
            <v>08-04-2024</v>
          </cell>
          <cell r="D854" t="str">
            <v>CUST-9630</v>
          </cell>
          <cell r="E854" t="str">
            <v>Ananya Rao</v>
          </cell>
          <cell r="F854" t="str">
            <v>Consumer</v>
          </cell>
          <cell r="G854" t="str">
            <v>East</v>
          </cell>
          <cell r="H854" t="str">
            <v>Assam</v>
          </cell>
          <cell r="I854" t="str">
            <v>Guwahati</v>
          </cell>
          <cell r="J854" t="str">
            <v>Furniture</v>
          </cell>
          <cell r="K854" t="str">
            <v>Tables</v>
          </cell>
          <cell r="L854" t="str">
            <v>Smart Tables 513</v>
          </cell>
          <cell r="M854" t="str">
            <v>Second Class</v>
          </cell>
          <cell r="N854">
            <v>7</v>
          </cell>
          <cell r="O854">
            <v>4205.3500000000004</v>
          </cell>
          <cell r="P854">
            <v>0.15</v>
          </cell>
          <cell r="S854">
            <v>9477.39</v>
          </cell>
          <cell r="T854" t="str">
            <v>Pending</v>
          </cell>
          <cell r="U854" t="str">
            <v>Cancelled</v>
          </cell>
        </row>
        <row r="855">
          <cell r="A855" t="str">
            <v>ORD-2025-10854</v>
          </cell>
          <cell r="B855" t="str">
            <v>2025-05-16</v>
          </cell>
          <cell r="C855" t="str">
            <v>05/22/2025</v>
          </cell>
          <cell r="D855" t="str">
            <v>CUST-8274</v>
          </cell>
          <cell r="E855" t="str">
            <v>Arjun Bose</v>
          </cell>
          <cell r="F855" t="str">
            <v>Corporate</v>
          </cell>
          <cell r="G855" t="str">
            <v>South</v>
          </cell>
          <cell r="H855" t="str">
            <v>Tamil Nadu</v>
          </cell>
          <cell r="I855" t="str">
            <v>Chennai</v>
          </cell>
          <cell r="J855" t="str">
            <v>Technology</v>
          </cell>
          <cell r="K855" t="str">
            <v>Accessories</v>
          </cell>
          <cell r="L855" t="str">
            <v>Elite Accessories 708</v>
          </cell>
          <cell r="M855" t="str">
            <v>Same Day</v>
          </cell>
          <cell r="N855">
            <v>8</v>
          </cell>
          <cell r="O855">
            <v>579.79999999999995</v>
          </cell>
          <cell r="P855">
            <v>0.2</v>
          </cell>
          <cell r="S855">
            <v>595.42999999999995</v>
          </cell>
          <cell r="T855" t="str">
            <v>Paid</v>
          </cell>
          <cell r="U855" t="str">
            <v>Completed</v>
          </cell>
        </row>
        <row r="856">
          <cell r="A856" t="str">
            <v>ORD-2025-10855</v>
          </cell>
          <cell r="B856" t="str">
            <v>03/25/2025</v>
          </cell>
          <cell r="C856" t="str">
            <v>04/02/2025</v>
          </cell>
          <cell r="D856" t="str">
            <v>CUST-2514</v>
          </cell>
          <cell r="E856" t="str">
            <v>Priya Menon</v>
          </cell>
          <cell r="F856" t="str">
            <v>Consumer</v>
          </cell>
          <cell r="G856" t="str">
            <v>South</v>
          </cell>
          <cell r="H856" t="str">
            <v>Karnataka</v>
          </cell>
          <cell r="I856" t="str">
            <v>Bengaluru</v>
          </cell>
          <cell r="J856" t="str">
            <v>Furniture</v>
          </cell>
          <cell r="K856" t="str">
            <v>Bookcases</v>
          </cell>
          <cell r="L856" t="str">
            <v>Max Bookcases 381</v>
          </cell>
          <cell r="M856" t="str">
            <v>Second Class</v>
          </cell>
          <cell r="N856">
            <v>4</v>
          </cell>
          <cell r="O856">
            <v>2233.64</v>
          </cell>
          <cell r="P856">
            <v>0.05</v>
          </cell>
          <cell r="S856">
            <v>3242.11</v>
          </cell>
          <cell r="T856" t="str">
            <v>Paid</v>
          </cell>
          <cell r="U856" t="str">
            <v>Completed</v>
          </cell>
        </row>
        <row r="857">
          <cell r="A857" t="str">
            <v>ORD-2024-10856</v>
          </cell>
          <cell r="B857" t="str">
            <v>25-07-2024</v>
          </cell>
          <cell r="C857" t="str">
            <v>02 Aug 2024</v>
          </cell>
          <cell r="D857" t="str">
            <v>CUST-2752</v>
          </cell>
          <cell r="E857" t="str">
            <v>Rahul Verma</v>
          </cell>
          <cell r="F857" t="str">
            <v>Consumer</v>
          </cell>
          <cell r="G857" t="str">
            <v>North</v>
          </cell>
          <cell r="H857" t="str">
            <v>Rajasthan</v>
          </cell>
          <cell r="I857" t="str">
            <v>Jaipur</v>
          </cell>
          <cell r="J857" t="str">
            <v>Office Supplies</v>
          </cell>
          <cell r="K857" t="str">
            <v>LABELS</v>
          </cell>
          <cell r="L857" t="str">
            <v>Classic Labels 215</v>
          </cell>
          <cell r="M857" t="str">
            <v>Second Class</v>
          </cell>
          <cell r="N857">
            <v>2</v>
          </cell>
          <cell r="O857">
            <v>2073.5300000000002</v>
          </cell>
          <cell r="P857">
            <v>0.25</v>
          </cell>
          <cell r="S857">
            <v>1009.27</v>
          </cell>
          <cell r="T857" t="str">
            <v>Paid</v>
          </cell>
          <cell r="U857" t="str">
            <v>Completed</v>
          </cell>
        </row>
        <row r="858">
          <cell r="A858" t="str">
            <v>ORD-2024-10857</v>
          </cell>
          <cell r="B858" t="str">
            <v>2024-06-12</v>
          </cell>
          <cell r="C858" t="str">
            <v>19 Jun 2024</v>
          </cell>
          <cell r="D858" t="str">
            <v>CUST-5647</v>
          </cell>
          <cell r="E858" t="str">
            <v>Rohan Mehta</v>
          </cell>
          <cell r="F858" t="str">
            <v>Home Office</v>
          </cell>
          <cell r="G858" t="str">
            <v>South</v>
          </cell>
          <cell r="H858" t="str">
            <v>Tamil Nadu</v>
          </cell>
          <cell r="I858" t="str">
            <v>Chennai</v>
          </cell>
          <cell r="J858" t="str">
            <v>Office Supplies</v>
          </cell>
          <cell r="K858" t="str">
            <v>Storage</v>
          </cell>
          <cell r="L858" t="str">
            <v>Classic Storage 918</v>
          </cell>
          <cell r="M858" t="str">
            <v>Standard Class</v>
          </cell>
          <cell r="N858">
            <v>4</v>
          </cell>
          <cell r="O858">
            <v>395.1</v>
          </cell>
          <cell r="P858">
            <v>-0.16</v>
          </cell>
          <cell r="S858">
            <v>218.75</v>
          </cell>
          <cell r="T858" t="str">
            <v>Failed</v>
          </cell>
          <cell r="U858" t="str">
            <v>Cancelled</v>
          </cell>
        </row>
        <row r="859">
          <cell r="A859" t="str">
            <v>ORD-2024-10858</v>
          </cell>
          <cell r="B859" t="str">
            <v>04 Jun 2024</v>
          </cell>
          <cell r="C859" t="str">
            <v>04-06-2024</v>
          </cell>
          <cell r="D859" t="str">
            <v>CUST-8575</v>
          </cell>
          <cell r="E859" t="str">
            <v>Sneha Kapoor</v>
          </cell>
          <cell r="F859" t="str">
            <v>Home Office</v>
          </cell>
          <cell r="G859" t="str">
            <v>South</v>
          </cell>
          <cell r="H859" t="str">
            <v>Kerala</v>
          </cell>
          <cell r="I859" t="str">
            <v>Kochi</v>
          </cell>
          <cell r="J859" t="str">
            <v>Office Supplies</v>
          </cell>
          <cell r="K859" t="str">
            <v>Storage</v>
          </cell>
          <cell r="L859" t="str">
            <v>Max Storage 223</v>
          </cell>
          <cell r="M859" t="str">
            <v>First Class</v>
          </cell>
          <cell r="N859">
            <v>6</v>
          </cell>
          <cell r="O859">
            <v>2708.97</v>
          </cell>
          <cell r="P859">
            <v>0.25</v>
          </cell>
          <cell r="S859">
            <v>2013.37</v>
          </cell>
          <cell r="T859" t="str">
            <v>Paid</v>
          </cell>
          <cell r="U859" t="str">
            <v>Completed</v>
          </cell>
        </row>
        <row r="860">
          <cell r="A860" t="str">
            <v>ORD-2024-10859</v>
          </cell>
          <cell r="B860" t="str">
            <v>05/02/2024</v>
          </cell>
          <cell r="C860" t="str">
            <v>09 May 2024</v>
          </cell>
          <cell r="D860" t="str">
            <v>CUST-9576</v>
          </cell>
          <cell r="E860" t="str">
            <v>Arjun Bose</v>
          </cell>
          <cell r="F860" t="str">
            <v>Consumer</v>
          </cell>
          <cell r="G860" t="str">
            <v>East</v>
          </cell>
          <cell r="H860" t="str">
            <v>Odisha</v>
          </cell>
          <cell r="I860" t="str">
            <v>Bhubaneswar</v>
          </cell>
          <cell r="J860" t="str">
            <v>Technology</v>
          </cell>
          <cell r="K860" t="str">
            <v>Accessories</v>
          </cell>
          <cell r="L860" t="str">
            <v>Basic Accessories 602</v>
          </cell>
          <cell r="M860" t="str">
            <v>Second Class</v>
          </cell>
          <cell r="N860">
            <v>4</v>
          </cell>
          <cell r="O860">
            <v>2904.86</v>
          </cell>
          <cell r="P860">
            <v>0</v>
          </cell>
          <cell r="S860">
            <v>4494.6400000000003</v>
          </cell>
          <cell r="T860" t="str">
            <v>Paid</v>
          </cell>
          <cell r="U860" t="str">
            <v>Completed</v>
          </cell>
        </row>
        <row r="861">
          <cell r="A861" t="str">
            <v>ORD-2024-10860</v>
          </cell>
          <cell r="B861" t="str">
            <v>10/27/2024</v>
          </cell>
          <cell r="C861" t="str">
            <v>2024-11-01</v>
          </cell>
          <cell r="D861" t="str">
            <v>CUST-2395</v>
          </cell>
          <cell r="E861" t="str">
            <v>Aditi Sen</v>
          </cell>
          <cell r="F861" t="str">
            <v>Corporate</v>
          </cell>
          <cell r="G861" t="str">
            <v>South</v>
          </cell>
          <cell r="H861" t="str">
            <v>Tamil Nadu</v>
          </cell>
          <cell r="I861" t="str">
            <v>Chennai</v>
          </cell>
          <cell r="J861" t="str">
            <v>Technology</v>
          </cell>
          <cell r="K861" t="str">
            <v>Phones</v>
          </cell>
          <cell r="L861" t="str">
            <v>Elite Phones 394</v>
          </cell>
          <cell r="M861" t="str">
            <v>Standard Class</v>
          </cell>
          <cell r="N861">
            <v>6</v>
          </cell>
          <cell r="O861">
            <v>4399.2</v>
          </cell>
          <cell r="P861">
            <v>0.05</v>
          </cell>
          <cell r="S861">
            <v>8792.7000000000007</v>
          </cell>
          <cell r="T861" t="str">
            <v>Paid</v>
          </cell>
          <cell r="U861" t="str">
            <v>Completed</v>
          </cell>
        </row>
        <row r="862">
          <cell r="A862" t="str">
            <v>ORD-2024-10861</v>
          </cell>
          <cell r="B862" t="str">
            <v>02 Feb 2024</v>
          </cell>
          <cell r="C862" t="str">
            <v>04 Feb 2024</v>
          </cell>
          <cell r="D862" t="str">
            <v>CUST-8941</v>
          </cell>
          <cell r="E862" t="str">
            <v>Vikram Iyer</v>
          </cell>
          <cell r="F862" t="str">
            <v>Home Office</v>
          </cell>
          <cell r="G862" t="str">
            <v>North</v>
          </cell>
          <cell r="H862" t="str">
            <v>Uttar Pradesh</v>
          </cell>
          <cell r="I862" t="str">
            <v>Noida</v>
          </cell>
          <cell r="J862" t="str">
            <v>Office Supplies</v>
          </cell>
          <cell r="K862" t="str">
            <v>Storage</v>
          </cell>
          <cell r="L862" t="str">
            <v>Classic Storage 194</v>
          </cell>
          <cell r="M862" t="str">
            <v>Second Class</v>
          </cell>
          <cell r="N862">
            <v>1</v>
          </cell>
          <cell r="O862">
            <v>4397.32</v>
          </cell>
          <cell r="P862">
            <v>0.05</v>
          </cell>
          <cell r="S862">
            <v>1877.95</v>
          </cell>
          <cell r="T862" t="str">
            <v>Paid</v>
          </cell>
          <cell r="U862" t="str">
            <v>Completed</v>
          </cell>
        </row>
        <row r="863">
          <cell r="A863" t="str">
            <v>ORD-2025-10862</v>
          </cell>
          <cell r="B863" t="str">
            <v>2025-03-08</v>
          </cell>
          <cell r="C863" t="str">
            <v>2025-03-09</v>
          </cell>
          <cell r="D863" t="str">
            <v>CUST-9448</v>
          </cell>
          <cell r="E863" t="str">
            <v>Priya Menon</v>
          </cell>
          <cell r="F863" t="str">
            <v>Home Office</v>
          </cell>
          <cell r="G863" t="str">
            <v>North</v>
          </cell>
          <cell r="H863" t="str">
            <v>Delhi</v>
          </cell>
          <cell r="I863" t="str">
            <v>New Delhi</v>
          </cell>
          <cell r="J863" t="str">
            <v>Furniture</v>
          </cell>
          <cell r="K863" t="str">
            <v>Furnishings</v>
          </cell>
          <cell r="L863" t="str">
            <v>Smart Furnishings 892</v>
          </cell>
          <cell r="M863" t="str">
            <v>Same Day</v>
          </cell>
          <cell r="N863">
            <v>4</v>
          </cell>
          <cell r="O863">
            <v>3405.68</v>
          </cell>
          <cell r="P863">
            <v>0.2</v>
          </cell>
          <cell r="S863">
            <v>4666.7700000000004</v>
          </cell>
          <cell r="T863" t="str">
            <v>Paid</v>
          </cell>
          <cell r="U863" t="str">
            <v>Completed</v>
          </cell>
        </row>
        <row r="864">
          <cell r="A864" t="str">
            <v>ORD-2025-10863</v>
          </cell>
          <cell r="B864" t="str">
            <v>2025-03-26</v>
          </cell>
          <cell r="C864" t="str">
            <v>31-03-2025</v>
          </cell>
          <cell r="D864" t="str">
            <v>CUST-8354</v>
          </cell>
          <cell r="E864" t="str">
            <v>Priya Menon</v>
          </cell>
          <cell r="F864" t="str">
            <v>Small Business</v>
          </cell>
          <cell r="G864" t="str">
            <v>East</v>
          </cell>
          <cell r="H864" t="str">
            <v>Jharkhand</v>
          </cell>
          <cell r="I864" t="str">
            <v>Ranchi</v>
          </cell>
          <cell r="J864" t="str">
            <v>Office Supplies</v>
          </cell>
          <cell r="K864" t="str">
            <v>Binders</v>
          </cell>
          <cell r="L864" t="str">
            <v>Pro Binders 488</v>
          </cell>
          <cell r="M864" t="str">
            <v>First Class</v>
          </cell>
          <cell r="N864">
            <v>5</v>
          </cell>
          <cell r="O864">
            <v>1395.14</v>
          </cell>
          <cell r="P864">
            <v>0</v>
          </cell>
          <cell r="S864">
            <v>2177.8200000000002</v>
          </cell>
          <cell r="T864" t="str">
            <v>Paid</v>
          </cell>
          <cell r="U864" t="str">
            <v>Cancelled</v>
          </cell>
        </row>
        <row r="865">
          <cell r="A865" t="str">
            <v>ORD-2025-10864</v>
          </cell>
          <cell r="B865" t="str">
            <v>09/06/2025</v>
          </cell>
          <cell r="C865" t="str">
            <v>09/08/2025</v>
          </cell>
          <cell r="D865" t="str">
            <v>CUST-2200</v>
          </cell>
          <cell r="E865" t="str">
            <v>Aarav Sharma</v>
          </cell>
          <cell r="F865" t="str">
            <v>Home Office</v>
          </cell>
          <cell r="G865" t="str">
            <v>West</v>
          </cell>
          <cell r="H865" t="str">
            <v>Madhya Pradesh</v>
          </cell>
          <cell r="I865" t="str">
            <v>Indore</v>
          </cell>
          <cell r="J865" t="str">
            <v>Furniture</v>
          </cell>
          <cell r="K865" t="str">
            <v>Furnishings</v>
          </cell>
          <cell r="L865" t="str">
            <v>Prime Furnishings 679</v>
          </cell>
          <cell r="M865" t="str">
            <v>Same Day</v>
          </cell>
          <cell r="N865">
            <v>3</v>
          </cell>
          <cell r="O865">
            <v>2937.23</v>
          </cell>
          <cell r="P865">
            <v>0</v>
          </cell>
          <cell r="S865">
            <v>2045.78</v>
          </cell>
          <cell r="T865" t="str">
            <v>Paid</v>
          </cell>
          <cell r="U865" t="str">
            <v>Completed</v>
          </cell>
        </row>
        <row r="866">
          <cell r="A866" t="str">
            <v>ORD-2025-10865</v>
          </cell>
          <cell r="B866" t="str">
            <v>02 Sep 2025</v>
          </cell>
          <cell r="C866" t="str">
            <v>05-09-2025</v>
          </cell>
          <cell r="D866" t="str">
            <v>CUST-1178</v>
          </cell>
          <cell r="E866" t="str">
            <v>Vikram Iyer</v>
          </cell>
          <cell r="F866" t="str">
            <v>Consumer</v>
          </cell>
          <cell r="G866" t="str">
            <v>South</v>
          </cell>
          <cell r="H866" t="str">
            <v>Tamil Nadu</v>
          </cell>
          <cell r="I866" t="str">
            <v>Chennai</v>
          </cell>
          <cell r="J866" t="str">
            <v>Technology</v>
          </cell>
          <cell r="K866" t="str">
            <v>Phones</v>
          </cell>
          <cell r="L866" t="str">
            <v>Smart Phones 158</v>
          </cell>
          <cell r="M866" t="str">
            <v>First Class</v>
          </cell>
          <cell r="N866">
            <v>5</v>
          </cell>
          <cell r="O866">
            <v>3406.87</v>
          </cell>
          <cell r="P866">
            <v>0</v>
          </cell>
          <cell r="S866">
            <v>2402.9899999999998</v>
          </cell>
          <cell r="T866" t="str">
            <v>Paid</v>
          </cell>
          <cell r="U866" t="str">
            <v>Completed</v>
          </cell>
        </row>
        <row r="867">
          <cell r="A867" t="str">
            <v>ORD-2025-10866</v>
          </cell>
          <cell r="B867" t="str">
            <v>06-02-2025</v>
          </cell>
          <cell r="C867" t="str">
            <v>14-02-2025</v>
          </cell>
          <cell r="D867" t="str">
            <v>CUST-8099</v>
          </cell>
          <cell r="E867" t="str">
            <v>Kabir Singh</v>
          </cell>
          <cell r="F867" t="str">
            <v>Consumer</v>
          </cell>
          <cell r="G867" t="str">
            <v>West</v>
          </cell>
          <cell r="H867" t="str">
            <v>Maharashtra</v>
          </cell>
          <cell r="I867" t="str">
            <v>Mumbai</v>
          </cell>
          <cell r="J867" t="str">
            <v>Office Supplies</v>
          </cell>
          <cell r="K867" t="str">
            <v>Labels</v>
          </cell>
          <cell r="L867" t="str">
            <v>Classic Labels 218</v>
          </cell>
          <cell r="M867" t="str">
            <v>Second Class</v>
          </cell>
          <cell r="N867">
            <v>2</v>
          </cell>
          <cell r="O867">
            <v>3992.04</v>
          </cell>
          <cell r="P867">
            <v>0</v>
          </cell>
          <cell r="S867">
            <v>2326.0300000000002</v>
          </cell>
          <cell r="T867" t="str">
            <v>Paid</v>
          </cell>
          <cell r="U867" t="str">
            <v>Completed</v>
          </cell>
        </row>
        <row r="868">
          <cell r="A868" t="str">
            <v>ORD-2025-10867</v>
          </cell>
          <cell r="B868" t="str">
            <v>02/26/2025</v>
          </cell>
          <cell r="C868" t="str">
            <v>2025-03-06</v>
          </cell>
          <cell r="D868" t="str">
            <v>CUST-7596</v>
          </cell>
          <cell r="E868" t="str">
            <v>Priya Menon</v>
          </cell>
          <cell r="F868" t="str">
            <v>Consumer</v>
          </cell>
          <cell r="G868" t="str">
            <v>East</v>
          </cell>
          <cell r="H868" t="str">
            <v>Bihar</v>
          </cell>
          <cell r="I868" t="str">
            <v>Patna</v>
          </cell>
          <cell r="J868" t="str">
            <v>Furniture</v>
          </cell>
          <cell r="K868" t="str">
            <v>Bookcases</v>
          </cell>
          <cell r="L868" t="str">
            <v>Smart Bookcases 552</v>
          </cell>
          <cell r="M868" t="str">
            <v>First Class</v>
          </cell>
          <cell r="N868">
            <v>9</v>
          </cell>
          <cell r="O868">
            <v>3043.37</v>
          </cell>
          <cell r="P868">
            <v>0.2</v>
          </cell>
          <cell r="S868">
            <v>5544.48</v>
          </cell>
          <cell r="T868" t="str">
            <v>Pending</v>
          </cell>
          <cell r="U868" t="str">
            <v>Cancelled</v>
          </cell>
        </row>
        <row r="869">
          <cell r="A869" t="str">
            <v>ORD-2024-10868</v>
          </cell>
          <cell r="B869" t="str">
            <v>21 Nov 2024</v>
          </cell>
          <cell r="C869" t="str">
            <v>22 Nov 2024</v>
          </cell>
          <cell r="D869" t="str">
            <v>CUST-2328</v>
          </cell>
          <cell r="E869" t="str">
            <v>Rahul Verma</v>
          </cell>
          <cell r="F869" t="str">
            <v>Home Office</v>
          </cell>
          <cell r="G869" t="str">
            <v>South</v>
          </cell>
          <cell r="H869" t="str">
            <v>Andhra Pradesh</v>
          </cell>
          <cell r="I869" t="str">
            <v>Vijayawada</v>
          </cell>
          <cell r="J869" t="str">
            <v>Technology</v>
          </cell>
          <cell r="K869" t="str">
            <v>Accessories</v>
          </cell>
          <cell r="L869" t="str">
            <v>Eco Accessories 389</v>
          </cell>
          <cell r="M869" t="str">
            <v>Same Day</v>
          </cell>
          <cell r="N869">
            <v>6</v>
          </cell>
          <cell r="O869">
            <v>1043.49</v>
          </cell>
          <cell r="P869">
            <v>0.25</v>
          </cell>
          <cell r="S869">
            <v>824.01</v>
          </cell>
          <cell r="T869" t="str">
            <v>Failed</v>
          </cell>
          <cell r="U869" t="str">
            <v>Cancelled</v>
          </cell>
        </row>
        <row r="870">
          <cell r="A870" t="str">
            <v>ORD-2025-10869</v>
          </cell>
          <cell r="B870" t="str">
            <v>11-04-2025</v>
          </cell>
          <cell r="C870" t="str">
            <v>2025-04-15</v>
          </cell>
          <cell r="D870" t="str">
            <v>CUST-8483</v>
          </cell>
          <cell r="E870" t="str">
            <v>Vikram Iyer</v>
          </cell>
          <cell r="F870" t="str">
            <v>Home Office</v>
          </cell>
          <cell r="G870" t="str">
            <v>South</v>
          </cell>
          <cell r="H870" t="str">
            <v>Karnataka</v>
          </cell>
          <cell r="I870" t="str">
            <v>Bengaluru</v>
          </cell>
          <cell r="J870" t="str">
            <v>Office Supplies</v>
          </cell>
          <cell r="K870" t="str">
            <v>Storage</v>
          </cell>
          <cell r="L870" t="str">
            <v>Elite Storage 187</v>
          </cell>
          <cell r="M870" t="str">
            <v>Same Day</v>
          </cell>
          <cell r="N870">
            <v>9</v>
          </cell>
          <cell r="O870">
            <v>224.94</v>
          </cell>
          <cell r="P870">
            <v>0.05</v>
          </cell>
          <cell r="S870">
            <v>829.58</v>
          </cell>
          <cell r="T870" t="str">
            <v>Paid</v>
          </cell>
          <cell r="U870" t="str">
            <v>Completed</v>
          </cell>
        </row>
        <row r="871">
          <cell r="A871" t="str">
            <v>ORD-2025-10870</v>
          </cell>
          <cell r="B871" t="str">
            <v>03/06/2025</v>
          </cell>
          <cell r="C871" t="str">
            <v>07-03-2025</v>
          </cell>
          <cell r="D871" t="str">
            <v>CUST-2388</v>
          </cell>
          <cell r="E871" t="str">
            <v>Rohan Mehta</v>
          </cell>
          <cell r="F871" t="str">
            <v>Home Office</v>
          </cell>
          <cell r="H871" t="str">
            <v>Delhi</v>
          </cell>
          <cell r="I871" t="str">
            <v>New Delhi</v>
          </cell>
          <cell r="J871" t="str">
            <v>Furniture</v>
          </cell>
          <cell r="K871" t="str">
            <v>Chairs</v>
          </cell>
          <cell r="L871" t="str">
            <v>Max Chairs 487</v>
          </cell>
          <cell r="M871" t="str">
            <v>Same Day</v>
          </cell>
          <cell r="N871">
            <v>6</v>
          </cell>
          <cell r="O871">
            <v>796.65</v>
          </cell>
          <cell r="P871">
            <v>0.1</v>
          </cell>
          <cell r="S871">
            <v>1927.51</v>
          </cell>
          <cell r="T871" t="str">
            <v>Paid</v>
          </cell>
          <cell r="U871" t="str">
            <v>Completed</v>
          </cell>
        </row>
        <row r="872">
          <cell r="A872" t="str">
            <v>ORD-2025-10871</v>
          </cell>
          <cell r="B872" t="str">
            <v>06 Jun 2025</v>
          </cell>
          <cell r="C872" t="str">
            <v>07 Jun 2025</v>
          </cell>
          <cell r="D872" t="str">
            <v>CUST-7054</v>
          </cell>
          <cell r="E872" t="str">
            <v>Vikram Iyer</v>
          </cell>
          <cell r="F872" t="str">
            <v>Corporate</v>
          </cell>
          <cell r="G872" t="str">
            <v>West</v>
          </cell>
          <cell r="H872" t="str">
            <v>Goa</v>
          </cell>
          <cell r="I872" t="str">
            <v>Panaji</v>
          </cell>
          <cell r="J872" t="str">
            <v>Furniture</v>
          </cell>
          <cell r="K872" t="str">
            <v>Tables</v>
          </cell>
          <cell r="L872" t="str">
            <v>Max Tables 281</v>
          </cell>
          <cell r="M872" t="str">
            <v>Standard Class</v>
          </cell>
          <cell r="N872">
            <v>9</v>
          </cell>
          <cell r="O872">
            <v>2932.92</v>
          </cell>
          <cell r="P872">
            <v>0.15</v>
          </cell>
          <cell r="S872">
            <v>4982.17</v>
          </cell>
          <cell r="T872" t="str">
            <v>Paid</v>
          </cell>
          <cell r="U872" t="str">
            <v>Cancelled</v>
          </cell>
        </row>
        <row r="873">
          <cell r="A873" t="str">
            <v>ORD-2024-10872</v>
          </cell>
          <cell r="B873" t="str">
            <v>02/20/2024</v>
          </cell>
          <cell r="C873" t="str">
            <v>2024-02-22</v>
          </cell>
          <cell r="D873" t="str">
            <v>CUST-4375</v>
          </cell>
          <cell r="E873" t="str">
            <v>Neha Gupta</v>
          </cell>
          <cell r="F873" t="str">
            <v>Small Business</v>
          </cell>
          <cell r="G873" t="str">
            <v>South</v>
          </cell>
          <cell r="H873" t="str">
            <v>Telangana</v>
          </cell>
          <cell r="I873" t="str">
            <v>Hyderabad</v>
          </cell>
          <cell r="J873" t="str">
            <v>Technology</v>
          </cell>
          <cell r="K873" t="str">
            <v>Accessories</v>
          </cell>
          <cell r="L873" t="str">
            <v>Pro Accessories 325</v>
          </cell>
          <cell r="M873" t="str">
            <v>First Class</v>
          </cell>
          <cell r="N873">
            <v>9</v>
          </cell>
          <cell r="O873">
            <v>2186.23</v>
          </cell>
          <cell r="P873">
            <v>0</v>
          </cell>
          <cell r="S873">
            <v>7217.45</v>
          </cell>
          <cell r="T873" t="str">
            <v>Refunded</v>
          </cell>
          <cell r="U873" t="str">
            <v>Cancelled</v>
          </cell>
        </row>
        <row r="874">
          <cell r="A874" t="str">
            <v>ORD-2024-10873</v>
          </cell>
          <cell r="B874" t="str">
            <v>11/01/2024</v>
          </cell>
          <cell r="C874" t="str">
            <v>02 Nov 2024</v>
          </cell>
          <cell r="D874" t="str">
            <v>CUST-6262</v>
          </cell>
          <cell r="E874" t="str">
            <v>Karan Malhotra</v>
          </cell>
          <cell r="F874" t="str">
            <v>Corporate</v>
          </cell>
          <cell r="G874" t="str">
            <v>East</v>
          </cell>
          <cell r="H874" t="str">
            <v>West Bengal</v>
          </cell>
          <cell r="I874" t="str">
            <v>Kolkata</v>
          </cell>
          <cell r="J874" t="str">
            <v>Furniture</v>
          </cell>
          <cell r="K874" t="str">
            <v>Furnishings</v>
          </cell>
          <cell r="L874" t="str">
            <v>Prime Furnishings 178</v>
          </cell>
          <cell r="M874" t="str">
            <v>Standard Class</v>
          </cell>
          <cell r="N874">
            <v>5</v>
          </cell>
          <cell r="O874">
            <v>2212.02</v>
          </cell>
          <cell r="P874">
            <v>0.2</v>
          </cell>
          <cell r="S874">
            <v>3156.52</v>
          </cell>
          <cell r="T874" t="str">
            <v>Paid</v>
          </cell>
          <cell r="U874" t="str">
            <v>Completed</v>
          </cell>
        </row>
        <row r="875">
          <cell r="A875" t="str">
            <v>ORD-2025-10874</v>
          </cell>
          <cell r="B875" t="str">
            <v>01 Feb 2025</v>
          </cell>
          <cell r="C875" t="str">
            <v>08-02-2025</v>
          </cell>
          <cell r="D875" t="str">
            <v>CUST-8160</v>
          </cell>
          <cell r="E875" t="str">
            <v>Aditi Sen</v>
          </cell>
          <cell r="F875" t="str">
            <v>Home Office</v>
          </cell>
          <cell r="G875" t="str">
            <v>West</v>
          </cell>
          <cell r="H875" t="str">
            <v>Gujarat</v>
          </cell>
          <cell r="I875" t="str">
            <v>Ahmedabad</v>
          </cell>
          <cell r="J875" t="str">
            <v>Office Supplies</v>
          </cell>
          <cell r="K875" t="str">
            <v>Storage</v>
          </cell>
          <cell r="L875" t="str">
            <v>Elite Storage 144</v>
          </cell>
          <cell r="M875" t="str">
            <v>Second Class</v>
          </cell>
          <cell r="N875">
            <v>8</v>
          </cell>
          <cell r="O875">
            <v>623.30999999999995</v>
          </cell>
          <cell r="P875">
            <v>0.1</v>
          </cell>
          <cell r="S875">
            <v>1854.05</v>
          </cell>
          <cell r="T875" t="str">
            <v>Paid</v>
          </cell>
          <cell r="U875" t="str">
            <v>Completed</v>
          </cell>
        </row>
        <row r="876">
          <cell r="A876" t="str">
            <v>ORD-2025-10875</v>
          </cell>
          <cell r="B876" t="str">
            <v>15 Jul 2025</v>
          </cell>
          <cell r="C876" t="str">
            <v>16 Jul 2025</v>
          </cell>
          <cell r="D876" t="str">
            <v>CUST-8770</v>
          </cell>
          <cell r="E876" t="str">
            <v>Vikram Iyer</v>
          </cell>
          <cell r="F876" t="str">
            <v>Small Business</v>
          </cell>
          <cell r="G876" t="str">
            <v>West</v>
          </cell>
          <cell r="H876" t="str">
            <v>Maharashtra</v>
          </cell>
          <cell r="I876" t="str">
            <v>Mumbai</v>
          </cell>
          <cell r="J876" t="str">
            <v>Office Supplies</v>
          </cell>
          <cell r="K876" t="str">
            <v>Paper</v>
          </cell>
          <cell r="L876" t="str">
            <v>Elite Paper 309</v>
          </cell>
          <cell r="M876" t="str">
            <v>Standard Class</v>
          </cell>
          <cell r="N876">
            <v>8</v>
          </cell>
          <cell r="O876">
            <v>3924.88</v>
          </cell>
          <cell r="P876">
            <v>0.05</v>
          </cell>
          <cell r="S876">
            <v>9118.91</v>
          </cell>
          <cell r="T876" t="str">
            <v>Paid</v>
          </cell>
          <cell r="U876" t="str">
            <v>Completed</v>
          </cell>
        </row>
        <row r="877">
          <cell r="A877" t="str">
            <v>ORD-2024-10876</v>
          </cell>
          <cell r="B877" t="str">
            <v>10 Aug 2024</v>
          </cell>
          <cell r="C877" t="str">
            <v>08/11/2024</v>
          </cell>
          <cell r="D877" t="str">
            <v>CUST-6928</v>
          </cell>
          <cell r="E877" t="str">
            <v>Mira Das</v>
          </cell>
          <cell r="F877" t="str">
            <v>Corporate</v>
          </cell>
          <cell r="G877" t="str">
            <v>West</v>
          </cell>
          <cell r="H877" t="str">
            <v>Maharashtra</v>
          </cell>
          <cell r="I877" t="str">
            <v>Mumbai</v>
          </cell>
          <cell r="J877" t="str">
            <v>Technology</v>
          </cell>
          <cell r="K877" t="str">
            <v>Copiers</v>
          </cell>
          <cell r="L877" t="str">
            <v>Elite Copiers 752</v>
          </cell>
          <cell r="M877" t="str">
            <v>First Class</v>
          </cell>
          <cell r="N877">
            <v>7</v>
          </cell>
          <cell r="O877">
            <v>3852.62</v>
          </cell>
          <cell r="P877">
            <v>0.2</v>
          </cell>
          <cell r="S877">
            <v>6901.84</v>
          </cell>
          <cell r="T877" t="str">
            <v>Paid</v>
          </cell>
          <cell r="U877" t="str">
            <v>Completed</v>
          </cell>
        </row>
        <row r="878">
          <cell r="A878" t="str">
            <v>ORD-2024-10877</v>
          </cell>
          <cell r="B878" t="str">
            <v>11/18/2024</v>
          </cell>
          <cell r="C878" t="str">
            <v>20-11-2024</v>
          </cell>
          <cell r="D878" t="str">
            <v>CUST-9044</v>
          </cell>
          <cell r="E878" t="str">
            <v>Priya Menon</v>
          </cell>
          <cell r="F878" t="str">
            <v>Consumer</v>
          </cell>
          <cell r="G878" t="str">
            <v>West</v>
          </cell>
          <cell r="H878" t="str">
            <v>Rajasthan</v>
          </cell>
          <cell r="I878" t="str">
            <v>Udaipur</v>
          </cell>
          <cell r="J878" t="str">
            <v>Furniture</v>
          </cell>
          <cell r="K878" t="str">
            <v>Chairs</v>
          </cell>
          <cell r="L878" t="str">
            <v>Pro Chairs 316</v>
          </cell>
          <cell r="M878" t="str">
            <v>First Class</v>
          </cell>
          <cell r="N878">
            <v>6</v>
          </cell>
          <cell r="O878">
            <v>3790.22</v>
          </cell>
          <cell r="P878">
            <v>0</v>
          </cell>
          <cell r="S878">
            <v>6352.75</v>
          </cell>
          <cell r="T878" t="str">
            <v>Paid</v>
          </cell>
          <cell r="U878" t="str">
            <v>Completed</v>
          </cell>
        </row>
        <row r="879">
          <cell r="A879" t="str">
            <v>ORD-2025-10878</v>
          </cell>
          <cell r="B879" t="str">
            <v>26-08-2025</v>
          </cell>
          <cell r="C879" t="str">
            <v>2025-09-03</v>
          </cell>
          <cell r="D879" t="str">
            <v>CUST-7146</v>
          </cell>
          <cell r="E879" t="str">
            <v>Aarav Sharma</v>
          </cell>
          <cell r="F879" t="str">
            <v>Consumer</v>
          </cell>
          <cell r="G879" t="str">
            <v>West</v>
          </cell>
          <cell r="H879" t="str">
            <v>Rajasthan</v>
          </cell>
          <cell r="I879" t="str">
            <v>Udaipur</v>
          </cell>
          <cell r="J879" t="str">
            <v>Office Supplies</v>
          </cell>
          <cell r="K879" t="str">
            <v>Storage</v>
          </cell>
          <cell r="L879" t="str">
            <v>Max Storage 438</v>
          </cell>
          <cell r="M879" t="str">
            <v>Second Class</v>
          </cell>
          <cell r="N879">
            <v>6</v>
          </cell>
          <cell r="O879">
            <v>674.36</v>
          </cell>
          <cell r="P879">
            <v>0.1</v>
          </cell>
          <cell r="S879">
            <v>951.17</v>
          </cell>
          <cell r="T879" t="str">
            <v>Paid</v>
          </cell>
          <cell r="U879" t="str">
            <v>Completed</v>
          </cell>
        </row>
        <row r="880">
          <cell r="A880" t="str">
            <v>ORD-2024-10879</v>
          </cell>
          <cell r="B880" t="str">
            <v>2024-01-22</v>
          </cell>
          <cell r="C880" t="str">
            <v>2024-01-22</v>
          </cell>
          <cell r="D880" t="str">
            <v>CUST-8534</v>
          </cell>
          <cell r="E880" t="str">
            <v>Karan Malhotra</v>
          </cell>
          <cell r="F880" t="str">
            <v>Corporate</v>
          </cell>
          <cell r="G880" t="str">
            <v>East</v>
          </cell>
          <cell r="H880" t="str">
            <v>West Bengal</v>
          </cell>
          <cell r="I880" t="str">
            <v>Kolkata</v>
          </cell>
          <cell r="J880" t="str">
            <v>Office Supplies</v>
          </cell>
          <cell r="K880" t="str">
            <v>Paper</v>
          </cell>
          <cell r="L880" t="str">
            <v>Basic Paper 904</v>
          </cell>
          <cell r="M880" t="str">
            <v>First Class</v>
          </cell>
          <cell r="N880">
            <v>8</v>
          </cell>
          <cell r="O880">
            <v>1557.21</v>
          </cell>
          <cell r="P880">
            <v>0.05</v>
          </cell>
          <cell r="S880">
            <v>2512.44</v>
          </cell>
          <cell r="T880" t="str">
            <v>Paid</v>
          </cell>
          <cell r="U880" t="str">
            <v>Completed</v>
          </cell>
        </row>
        <row r="881">
          <cell r="A881" t="str">
            <v>ORD-2025-10880</v>
          </cell>
          <cell r="B881" t="str">
            <v>2025-08-27</v>
          </cell>
          <cell r="C881" t="str">
            <v>08/28/2025</v>
          </cell>
          <cell r="D881" t="str">
            <v>CUST-4486</v>
          </cell>
          <cell r="E881" t="str">
            <v>Ananya Rao</v>
          </cell>
          <cell r="F881" t="str">
            <v>Home Office</v>
          </cell>
          <cell r="G881" t="str">
            <v>North</v>
          </cell>
          <cell r="H881" t="str">
            <v>Uttar Pradesh</v>
          </cell>
          <cell r="I881" t="str">
            <v>Noida</v>
          </cell>
          <cell r="J881" t="str">
            <v>Office Supplies</v>
          </cell>
          <cell r="K881" t="str">
            <v>Art</v>
          </cell>
          <cell r="L881" t="str">
            <v>Smart Art 990</v>
          </cell>
          <cell r="M881" t="str">
            <v>Standard Class</v>
          </cell>
          <cell r="N881">
            <v>6</v>
          </cell>
          <cell r="O881">
            <v>1182.03</v>
          </cell>
          <cell r="P881">
            <v>0.15</v>
          </cell>
          <cell r="S881">
            <v>1594.72</v>
          </cell>
          <cell r="T881" t="str">
            <v>Paid</v>
          </cell>
          <cell r="U881" t="str">
            <v>Completed</v>
          </cell>
        </row>
        <row r="882">
          <cell r="A882" t="str">
            <v>ORD-2024-10881</v>
          </cell>
          <cell r="B882" t="str">
            <v>08-03-2024</v>
          </cell>
          <cell r="C882" t="str">
            <v>03/15/2024</v>
          </cell>
          <cell r="D882" t="str">
            <v>CUST-5287</v>
          </cell>
          <cell r="E882" t="str">
            <v>Aarav Sharma</v>
          </cell>
          <cell r="F882" t="str">
            <v>Small Business</v>
          </cell>
          <cell r="H882" t="str">
            <v>Punjab</v>
          </cell>
          <cell r="I882" t="str">
            <v>Ludhiana</v>
          </cell>
          <cell r="J882" t="str">
            <v>Furniture</v>
          </cell>
          <cell r="K882" t="str">
            <v>Chairs</v>
          </cell>
          <cell r="L882" t="str">
            <v>Basic Chairs 327</v>
          </cell>
          <cell r="M882" t="str">
            <v>First Class</v>
          </cell>
          <cell r="N882">
            <v>5</v>
          </cell>
          <cell r="O882">
            <v>3234.77</v>
          </cell>
          <cell r="P882">
            <v>0</v>
          </cell>
          <cell r="S882">
            <v>2537.5100000000002</v>
          </cell>
          <cell r="T882" t="str">
            <v>Paid</v>
          </cell>
          <cell r="U882" t="str">
            <v>Completed</v>
          </cell>
        </row>
        <row r="883">
          <cell r="A883" t="str">
            <v>ORD-2024-10882</v>
          </cell>
          <cell r="B883" t="str">
            <v>01 Dec 2024</v>
          </cell>
          <cell r="C883" t="str">
            <v>05-12-2024</v>
          </cell>
          <cell r="D883" t="str">
            <v>CUST-3445</v>
          </cell>
          <cell r="E883" t="str">
            <v>Ananya Rao</v>
          </cell>
          <cell r="F883" t="str">
            <v>Small Business</v>
          </cell>
          <cell r="G883" t="str">
            <v>South</v>
          </cell>
          <cell r="H883" t="str">
            <v>Andhra Pradesh</v>
          </cell>
          <cell r="I883" t="str">
            <v>Vijayawada</v>
          </cell>
          <cell r="J883" t="str">
            <v>Technology</v>
          </cell>
          <cell r="K883" t="str">
            <v>Copiers</v>
          </cell>
          <cell r="L883" t="str">
            <v>Eco Copiers 987</v>
          </cell>
          <cell r="M883" t="str">
            <v>Second Class</v>
          </cell>
          <cell r="N883">
            <v>9</v>
          </cell>
          <cell r="O883">
            <v>3726.75</v>
          </cell>
          <cell r="P883">
            <v>0.25</v>
          </cell>
          <cell r="S883">
            <v>7562.87</v>
          </cell>
          <cell r="T883" t="str">
            <v>Paid</v>
          </cell>
          <cell r="U883" t="str">
            <v>Completed</v>
          </cell>
        </row>
        <row r="884">
          <cell r="A884" t="str">
            <v>ORD-2025-10883</v>
          </cell>
          <cell r="B884" t="str">
            <v>02 Feb 2025</v>
          </cell>
          <cell r="C884" t="str">
            <v>02/10/2025</v>
          </cell>
          <cell r="D884" t="str">
            <v>CUST-4983</v>
          </cell>
          <cell r="E884" t="str">
            <v>Sneha Kapoor</v>
          </cell>
          <cell r="F884" t="str">
            <v>Corporate</v>
          </cell>
          <cell r="G884" t="str">
            <v>East</v>
          </cell>
          <cell r="H884" t="str">
            <v>Bihar</v>
          </cell>
          <cell r="I884" t="str">
            <v>Patna</v>
          </cell>
          <cell r="J884" t="str">
            <v>Technology</v>
          </cell>
          <cell r="K884" t="str">
            <v>Accessories</v>
          </cell>
          <cell r="L884" t="str">
            <v>Basic Accessories 607</v>
          </cell>
          <cell r="M884" t="str">
            <v>Standard Class</v>
          </cell>
          <cell r="N884">
            <v>4</v>
          </cell>
          <cell r="O884">
            <v>1912.45</v>
          </cell>
          <cell r="P884">
            <v>0</v>
          </cell>
          <cell r="S884">
            <v>2755.27</v>
          </cell>
          <cell r="T884" t="str">
            <v>Pending</v>
          </cell>
          <cell r="U884" t="str">
            <v>Returned</v>
          </cell>
        </row>
        <row r="885">
          <cell r="A885" t="str">
            <v>ORD-2025-10884</v>
          </cell>
          <cell r="B885" t="str">
            <v>28 Apr 2025</v>
          </cell>
          <cell r="C885" t="str">
            <v>05/01/2025</v>
          </cell>
          <cell r="D885" t="str">
            <v>CUST-2597</v>
          </cell>
          <cell r="E885" t="str">
            <v>Aarav Sharma</v>
          </cell>
          <cell r="F885" t="str">
            <v>Small Business</v>
          </cell>
          <cell r="G885" t="str">
            <v>West</v>
          </cell>
          <cell r="H885" t="str">
            <v>Goa</v>
          </cell>
          <cell r="I885" t="str">
            <v>Panaji</v>
          </cell>
          <cell r="J885" t="str">
            <v>Office Supplies</v>
          </cell>
          <cell r="K885" t="str">
            <v>Storage</v>
          </cell>
          <cell r="L885" t="str">
            <v>Classic Storage 211</v>
          </cell>
          <cell r="M885" t="str">
            <v>Same Day</v>
          </cell>
          <cell r="N885">
            <v>1</v>
          </cell>
          <cell r="O885">
            <v>1620.87</v>
          </cell>
          <cell r="P885">
            <v>0</v>
          </cell>
          <cell r="S885">
            <v>517.26</v>
          </cell>
          <cell r="T885" t="str">
            <v>Paid</v>
          </cell>
          <cell r="U885" t="str">
            <v>Completed</v>
          </cell>
        </row>
        <row r="886">
          <cell r="A886" t="str">
            <v>ORD-2025-10885</v>
          </cell>
          <cell r="B886" t="str">
            <v>18-01-2025</v>
          </cell>
          <cell r="C886" t="str">
            <v>2025-01-25</v>
          </cell>
          <cell r="D886" t="str">
            <v>CUST-7505</v>
          </cell>
          <cell r="E886" t="str">
            <v>Neha Gupta</v>
          </cell>
          <cell r="F886" t="str">
            <v>Home Office</v>
          </cell>
          <cell r="G886" t="str">
            <v>South</v>
          </cell>
          <cell r="H886" t="str">
            <v>Karnataka</v>
          </cell>
          <cell r="I886" t="str">
            <v>Bengaluru</v>
          </cell>
          <cell r="J886" t="str">
            <v>Office Supplies</v>
          </cell>
          <cell r="K886" t="str">
            <v>Storage</v>
          </cell>
          <cell r="L886" t="str">
            <v>Eco Storage 783</v>
          </cell>
          <cell r="M886" t="str">
            <v>Same Day</v>
          </cell>
          <cell r="N886">
            <v>2</v>
          </cell>
          <cell r="O886">
            <v>2098.54</v>
          </cell>
          <cell r="P886">
            <v>0.15</v>
          </cell>
          <cell r="S886">
            <v>1155.72</v>
          </cell>
          <cell r="T886" t="str">
            <v>Paid</v>
          </cell>
          <cell r="U886" t="str">
            <v>Completed</v>
          </cell>
        </row>
        <row r="887">
          <cell r="A887" t="str">
            <v>ORD-2024-10886</v>
          </cell>
          <cell r="B887" t="str">
            <v>2024-01-05</v>
          </cell>
          <cell r="C887" t="str">
            <v>2024-01-05</v>
          </cell>
          <cell r="D887" t="str">
            <v>CUST-3446</v>
          </cell>
          <cell r="E887" t="str">
            <v>Diya Patel</v>
          </cell>
          <cell r="F887" t="str">
            <v>Consumer</v>
          </cell>
          <cell r="G887" t="str">
            <v>North</v>
          </cell>
          <cell r="H887" t="str">
            <v>Rajasthan</v>
          </cell>
          <cell r="I887" t="str">
            <v>Jaipur</v>
          </cell>
          <cell r="J887" t="str">
            <v>Furniture</v>
          </cell>
          <cell r="K887" t="str">
            <v>Tables</v>
          </cell>
          <cell r="L887" t="str">
            <v>Pro Tables 866</v>
          </cell>
          <cell r="M887" t="str">
            <v>Standard Class</v>
          </cell>
          <cell r="N887">
            <v>1</v>
          </cell>
          <cell r="O887">
            <v>2167.08</v>
          </cell>
          <cell r="P887">
            <v>0.25</v>
          </cell>
          <cell r="S887">
            <v>467.42</v>
          </cell>
          <cell r="T887" t="str">
            <v>Paid</v>
          </cell>
          <cell r="U887" t="str">
            <v>Completed</v>
          </cell>
        </row>
        <row r="888">
          <cell r="A888" t="str">
            <v>ORD-2025-10887</v>
          </cell>
          <cell r="B888" t="str">
            <v>26-04-2025</v>
          </cell>
          <cell r="C888" t="str">
            <v>03-05-2025</v>
          </cell>
          <cell r="D888" t="str">
            <v>CUST-3549</v>
          </cell>
          <cell r="E888" t="str">
            <v>Arjun Bose</v>
          </cell>
          <cell r="F888" t="str">
            <v>Home Office</v>
          </cell>
          <cell r="G888" t="str">
            <v>South</v>
          </cell>
          <cell r="H888" t="str">
            <v>Tamil Nadu</v>
          </cell>
          <cell r="I888" t="str">
            <v>Chennai</v>
          </cell>
          <cell r="J888" t="str">
            <v>Technology</v>
          </cell>
          <cell r="K888" t="str">
            <v>Accessories</v>
          </cell>
          <cell r="L888" t="str">
            <v>Max Accessories 541</v>
          </cell>
          <cell r="M888" t="str">
            <v>First Class</v>
          </cell>
          <cell r="N888">
            <v>7</v>
          </cell>
          <cell r="O888">
            <v>3989.9</v>
          </cell>
          <cell r="P888">
            <v>0.15</v>
          </cell>
          <cell r="S888">
            <v>6023.38</v>
          </cell>
          <cell r="T888" t="str">
            <v>Paid</v>
          </cell>
          <cell r="U888" t="str">
            <v>Cancelled</v>
          </cell>
        </row>
        <row r="889">
          <cell r="A889" t="str">
            <v>ORD-2024-10888</v>
          </cell>
          <cell r="B889" t="str">
            <v>2024-06-12</v>
          </cell>
          <cell r="C889" t="str">
            <v>2024-06-18</v>
          </cell>
          <cell r="D889" t="str">
            <v>CUST-2795</v>
          </cell>
          <cell r="E889" t="str">
            <v>Aarav Sharma</v>
          </cell>
          <cell r="F889" t="str">
            <v>Small Business</v>
          </cell>
          <cell r="G889" t="str">
            <v>South</v>
          </cell>
          <cell r="H889" t="str">
            <v>Andhra Pradesh</v>
          </cell>
          <cell r="I889" t="str">
            <v>Vijayawada</v>
          </cell>
          <cell r="J889" t="str">
            <v>Office Supplies</v>
          </cell>
          <cell r="K889" t="str">
            <v>Art</v>
          </cell>
          <cell r="L889" t="str">
            <v>Prime Art 596</v>
          </cell>
          <cell r="M889" t="str">
            <v>Standard Class</v>
          </cell>
          <cell r="N889">
            <v>4</v>
          </cell>
          <cell r="O889">
            <v>4176.13</v>
          </cell>
          <cell r="P889">
            <v>0</v>
          </cell>
          <cell r="S889">
            <v>6546.24</v>
          </cell>
          <cell r="T889" t="str">
            <v>Paid</v>
          </cell>
          <cell r="U889" t="str">
            <v>Completed</v>
          </cell>
        </row>
        <row r="890">
          <cell r="A890" t="str">
            <v>ORD-2025-10889</v>
          </cell>
          <cell r="B890" t="str">
            <v>06-08-2025</v>
          </cell>
          <cell r="C890" t="str">
            <v>07-08-2025</v>
          </cell>
          <cell r="D890" t="str">
            <v>CUST-1081</v>
          </cell>
          <cell r="E890" t="str">
            <v>Rahul Verma</v>
          </cell>
          <cell r="F890" t="str">
            <v>Small Business</v>
          </cell>
          <cell r="G890" t="str">
            <v>West</v>
          </cell>
          <cell r="H890" t="str">
            <v>Maharashtra</v>
          </cell>
          <cell r="I890" t="str">
            <v>Mumbai</v>
          </cell>
          <cell r="J890" t="str">
            <v>Office Supplies</v>
          </cell>
          <cell r="K890" t="str">
            <v>Art</v>
          </cell>
          <cell r="L890" t="str">
            <v>Pro Art 620</v>
          </cell>
          <cell r="M890" t="str">
            <v>Standard Class</v>
          </cell>
          <cell r="N890">
            <v>4</v>
          </cell>
          <cell r="O890">
            <v>3523.64</v>
          </cell>
          <cell r="P890">
            <v>0.1</v>
          </cell>
          <cell r="S890">
            <v>1905.54</v>
          </cell>
          <cell r="T890" t="str">
            <v>Refunded</v>
          </cell>
          <cell r="U890" t="str">
            <v>Cancelled</v>
          </cell>
        </row>
        <row r="891">
          <cell r="A891" t="str">
            <v>ORD-2025-10890</v>
          </cell>
          <cell r="B891" t="str">
            <v>10 Mar 2025</v>
          </cell>
          <cell r="C891" t="str">
            <v>03/11/2025</v>
          </cell>
          <cell r="D891" t="str">
            <v>CUST-8467</v>
          </cell>
          <cell r="E891" t="str">
            <v>Aditi Sen</v>
          </cell>
          <cell r="F891" t="str">
            <v>Home Office</v>
          </cell>
          <cell r="G891" t="str">
            <v>West</v>
          </cell>
          <cell r="H891" t="str">
            <v>Madhya Pradesh</v>
          </cell>
          <cell r="I891" t="str">
            <v>Indore</v>
          </cell>
          <cell r="J891" t="str">
            <v>Office Supplies</v>
          </cell>
          <cell r="K891" t="str">
            <v>Storage</v>
          </cell>
          <cell r="L891" t="str">
            <v>Prime Storage 806</v>
          </cell>
          <cell r="M891" t="str">
            <v>First Class</v>
          </cell>
          <cell r="N891">
            <v>2</v>
          </cell>
          <cell r="O891">
            <v>3922.08</v>
          </cell>
          <cell r="P891">
            <v>0.25</v>
          </cell>
          <cell r="S891">
            <v>1235.21</v>
          </cell>
          <cell r="T891" t="str">
            <v>Paid</v>
          </cell>
          <cell r="U891" t="str">
            <v>Returned</v>
          </cell>
        </row>
        <row r="892">
          <cell r="A892" t="str">
            <v>ORD-2024-10891</v>
          </cell>
          <cell r="B892" t="str">
            <v>15-05-2024</v>
          </cell>
          <cell r="C892" t="str">
            <v>21-05-2024</v>
          </cell>
          <cell r="D892" t="str">
            <v>CUST-3992</v>
          </cell>
          <cell r="E892" t="str">
            <v>Karan Malhotra</v>
          </cell>
          <cell r="F892" t="str">
            <v>Consumer</v>
          </cell>
          <cell r="G892" t="str">
            <v>West</v>
          </cell>
          <cell r="H892" t="str">
            <v>Goa</v>
          </cell>
          <cell r="I892" t="str">
            <v>Panaji</v>
          </cell>
          <cell r="J892" t="str">
            <v>Office Supplies</v>
          </cell>
          <cell r="K892" t="str">
            <v>Storage</v>
          </cell>
          <cell r="L892" t="str">
            <v>Smart Storage 288</v>
          </cell>
          <cell r="M892" t="str">
            <v>Standard Class</v>
          </cell>
          <cell r="N892">
            <v>6</v>
          </cell>
          <cell r="O892">
            <v>2909.56</v>
          </cell>
          <cell r="P892">
            <v>0.2</v>
          </cell>
          <cell r="S892">
            <v>2319.77</v>
          </cell>
          <cell r="T892" t="str">
            <v>Paid</v>
          </cell>
          <cell r="U892" t="str">
            <v>Completed</v>
          </cell>
        </row>
        <row r="893">
          <cell r="A893" t="str">
            <v>ORD-2024-10892</v>
          </cell>
          <cell r="B893" t="str">
            <v>08 Oct 2024</v>
          </cell>
          <cell r="C893" t="str">
            <v>09-10-2024</v>
          </cell>
          <cell r="D893" t="str">
            <v>CUST-6647</v>
          </cell>
          <cell r="E893" t="str">
            <v>Kabir Singh</v>
          </cell>
          <cell r="F893" t="str">
            <v>Corporate</v>
          </cell>
          <cell r="G893" t="str">
            <v>South</v>
          </cell>
          <cell r="H893" t="str">
            <v>Tamil Nadu</v>
          </cell>
          <cell r="I893" t="str">
            <v>Chennai</v>
          </cell>
          <cell r="J893" t="str">
            <v>Technology</v>
          </cell>
          <cell r="K893" t="str">
            <v>Machines</v>
          </cell>
          <cell r="L893" t="str">
            <v>Elite Machines 281</v>
          </cell>
          <cell r="M893" t="str">
            <v>Same Day</v>
          </cell>
          <cell r="N893">
            <v>5</v>
          </cell>
          <cell r="O893">
            <v>2407.9699999999998</v>
          </cell>
          <cell r="P893">
            <v>0.1</v>
          </cell>
          <cell r="S893">
            <v>4415.9399999999996</v>
          </cell>
          <cell r="T893" t="str">
            <v>Failed</v>
          </cell>
          <cell r="U893" t="str">
            <v>Cancelled</v>
          </cell>
        </row>
        <row r="894">
          <cell r="A894" t="str">
            <v>ORD-2025-10893</v>
          </cell>
          <cell r="B894" t="str">
            <v>04/12/2025</v>
          </cell>
          <cell r="C894" t="str">
            <v>04/18/2025</v>
          </cell>
          <cell r="D894" t="str">
            <v>CUST-5087</v>
          </cell>
          <cell r="E894" t="str">
            <v>Isha Nair</v>
          </cell>
          <cell r="F894" t="str">
            <v>Small Business</v>
          </cell>
          <cell r="G894" t="str">
            <v>East</v>
          </cell>
          <cell r="H894" t="str">
            <v>Jharkhand</v>
          </cell>
          <cell r="I894" t="str">
            <v>Ranchi</v>
          </cell>
          <cell r="J894" t="str">
            <v>Technology</v>
          </cell>
          <cell r="K894" t="str">
            <v>Copiers</v>
          </cell>
          <cell r="L894" t="str">
            <v>Elite Copiers 221</v>
          </cell>
          <cell r="M894" t="str">
            <v>Same Day</v>
          </cell>
          <cell r="N894">
            <v>1</v>
          </cell>
          <cell r="O894">
            <v>726.89</v>
          </cell>
          <cell r="P894">
            <v>0.2</v>
          </cell>
          <cell r="S894">
            <v>157.65</v>
          </cell>
          <cell r="T894" t="str">
            <v>Paid</v>
          </cell>
          <cell r="U894" t="str">
            <v>Completed</v>
          </cell>
        </row>
        <row r="895">
          <cell r="A895" t="str">
            <v>ORD-2024-10894</v>
          </cell>
          <cell r="B895" t="str">
            <v>06 Jun 2024</v>
          </cell>
          <cell r="C895" t="str">
            <v>08 Jun 2024</v>
          </cell>
          <cell r="D895" t="str">
            <v>CUST-9297</v>
          </cell>
          <cell r="E895" t="str">
            <v>Aarav Sharma</v>
          </cell>
          <cell r="F895" t="str">
            <v>Corporate</v>
          </cell>
          <cell r="G895" t="str">
            <v>South</v>
          </cell>
          <cell r="H895" t="str">
            <v>Karnataka</v>
          </cell>
          <cell r="I895" t="str">
            <v>Bengaluru</v>
          </cell>
          <cell r="J895" t="str">
            <v>Furniture</v>
          </cell>
          <cell r="K895" t="str">
            <v>Tables</v>
          </cell>
          <cell r="L895" t="str">
            <v>Max Tables 291</v>
          </cell>
          <cell r="M895" t="str">
            <v>Second Class</v>
          </cell>
          <cell r="N895">
            <v>3</v>
          </cell>
          <cell r="O895">
            <v>395.49</v>
          </cell>
          <cell r="P895">
            <v>0.05</v>
          </cell>
          <cell r="S895">
            <v>281.52999999999997</v>
          </cell>
          <cell r="T895" t="str">
            <v>Paid</v>
          </cell>
          <cell r="U895" t="str">
            <v>Returned</v>
          </cell>
        </row>
        <row r="896">
          <cell r="A896" t="str">
            <v>ORD-2024-10895</v>
          </cell>
          <cell r="B896" t="str">
            <v>22 Feb 2024</v>
          </cell>
          <cell r="C896" t="str">
            <v>02/29/2024</v>
          </cell>
          <cell r="D896" t="str">
            <v>CUST-7996</v>
          </cell>
          <cell r="E896" t="str">
            <v>Isha Nair</v>
          </cell>
          <cell r="F896" t="str">
            <v>Home Office</v>
          </cell>
          <cell r="G896" t="str">
            <v>South</v>
          </cell>
          <cell r="H896" t="str">
            <v>Telangana</v>
          </cell>
          <cell r="I896" t="str">
            <v>Hyderabad</v>
          </cell>
          <cell r="J896" t="str">
            <v>Furniture</v>
          </cell>
          <cell r="K896" t="str">
            <v>Tables</v>
          </cell>
          <cell r="L896" t="str">
            <v>Classic Tables 638</v>
          </cell>
          <cell r="M896" t="str">
            <v>First Class</v>
          </cell>
          <cell r="N896">
            <v>6</v>
          </cell>
          <cell r="O896">
            <v>4254.05</v>
          </cell>
          <cell r="P896">
            <v>0</v>
          </cell>
          <cell r="S896">
            <v>8812.3700000000008</v>
          </cell>
          <cell r="T896" t="str">
            <v>Paid</v>
          </cell>
          <cell r="U896" t="str">
            <v>Completed</v>
          </cell>
        </row>
        <row r="897">
          <cell r="A897" t="str">
            <v>ORD-2024-10896</v>
          </cell>
          <cell r="B897" t="str">
            <v>05 Nov 2024</v>
          </cell>
          <cell r="C897" t="str">
            <v>11/10/2024</v>
          </cell>
          <cell r="D897" t="str">
            <v>CUST-4117</v>
          </cell>
          <cell r="E897" t="str">
            <v>Arjun Bose</v>
          </cell>
          <cell r="F897" t="str">
            <v>Consumer</v>
          </cell>
          <cell r="G897" t="str">
            <v>South</v>
          </cell>
          <cell r="H897" t="str">
            <v>Kerala</v>
          </cell>
          <cell r="I897" t="str">
            <v>Kochi</v>
          </cell>
          <cell r="J897" t="str">
            <v>Furniture</v>
          </cell>
          <cell r="K897" t="str">
            <v>Chairs</v>
          </cell>
          <cell r="L897" t="str">
            <v>Basic Chairs 212</v>
          </cell>
          <cell r="M897" t="str">
            <v>Same Day</v>
          </cell>
          <cell r="N897">
            <v>4</v>
          </cell>
          <cell r="O897">
            <v>711.18</v>
          </cell>
          <cell r="P897">
            <v>0.15</v>
          </cell>
          <cell r="S897">
            <v>976.12</v>
          </cell>
          <cell r="T897" t="str">
            <v>Pending</v>
          </cell>
          <cell r="U897" t="str">
            <v>Returned</v>
          </cell>
        </row>
        <row r="898">
          <cell r="A898" t="str">
            <v>ORD-2024-10897</v>
          </cell>
          <cell r="B898" t="str">
            <v>12/24/2024</v>
          </cell>
          <cell r="C898" t="str">
            <v>25-12-2024</v>
          </cell>
          <cell r="D898" t="str">
            <v>CUST-4848</v>
          </cell>
          <cell r="E898" t="str">
            <v>Ananya Rao</v>
          </cell>
          <cell r="F898" t="str">
            <v>Small Business</v>
          </cell>
          <cell r="G898" t="str">
            <v>South</v>
          </cell>
          <cell r="H898" t="str">
            <v>Tamil Nadu</v>
          </cell>
          <cell r="I898" t="str">
            <v>Chennai</v>
          </cell>
          <cell r="J898" t="str">
            <v>Technology</v>
          </cell>
          <cell r="K898" t="str">
            <v>Copiers</v>
          </cell>
          <cell r="L898" t="str">
            <v>Max Copiers 121</v>
          </cell>
          <cell r="M898" t="str">
            <v>Second Class</v>
          </cell>
          <cell r="N898">
            <v>1</v>
          </cell>
          <cell r="O898">
            <v>3693.03</v>
          </cell>
          <cell r="P898">
            <v>0.05</v>
          </cell>
          <cell r="S898">
            <v>680.32</v>
          </cell>
          <cell r="T898" t="str">
            <v>Failed</v>
          </cell>
          <cell r="U898" t="str">
            <v>Returned</v>
          </cell>
        </row>
        <row r="899">
          <cell r="A899" t="str">
            <v>ORD-2025-10898</v>
          </cell>
          <cell r="B899" t="str">
            <v>04/29/2025</v>
          </cell>
          <cell r="C899" t="str">
            <v>03 May 2025</v>
          </cell>
          <cell r="D899" t="str">
            <v>CUST-2897</v>
          </cell>
          <cell r="E899" t="str">
            <v>Rohan Mehta</v>
          </cell>
          <cell r="F899" t="str">
            <v>Corporate</v>
          </cell>
          <cell r="G899" t="str">
            <v>North</v>
          </cell>
          <cell r="H899" t="str">
            <v>Haryana</v>
          </cell>
          <cell r="I899" t="str">
            <v>Gurugram</v>
          </cell>
          <cell r="J899" t="str">
            <v>Office Supplies</v>
          </cell>
          <cell r="K899" t="str">
            <v>Paper</v>
          </cell>
          <cell r="L899" t="str">
            <v>Eco Paper 747</v>
          </cell>
          <cell r="M899" t="str">
            <v>First Class</v>
          </cell>
          <cell r="N899">
            <v>4</v>
          </cell>
          <cell r="O899">
            <v>1786.65</v>
          </cell>
          <cell r="P899">
            <v>0.05</v>
          </cell>
          <cell r="S899">
            <v>1162.8399999999999</v>
          </cell>
          <cell r="T899" t="str">
            <v>Paid</v>
          </cell>
          <cell r="U899" t="str">
            <v>Completed</v>
          </cell>
        </row>
        <row r="900">
          <cell r="A900" t="str">
            <v>ORD-2024-10899</v>
          </cell>
          <cell r="B900" t="str">
            <v>2024-06-02</v>
          </cell>
          <cell r="C900" t="str">
            <v>06/08/2024</v>
          </cell>
          <cell r="D900" t="str">
            <v>CUST-6046</v>
          </cell>
          <cell r="E900" t="str">
            <v>Vikram Iyer</v>
          </cell>
          <cell r="F900" t="str">
            <v>Consumer</v>
          </cell>
          <cell r="G900" t="str">
            <v>North</v>
          </cell>
          <cell r="H900" t="str">
            <v>Delhi</v>
          </cell>
          <cell r="I900" t="str">
            <v>New Delhi</v>
          </cell>
          <cell r="J900" t="str">
            <v>Furniture</v>
          </cell>
          <cell r="K900" t="str">
            <v>Tables</v>
          </cell>
          <cell r="L900" t="str">
            <v>Classic Tables 535</v>
          </cell>
          <cell r="M900" t="str">
            <v>First Class</v>
          </cell>
          <cell r="N900">
            <v>4</v>
          </cell>
          <cell r="O900">
            <v>1536.7</v>
          </cell>
          <cell r="P900">
            <v>0.2</v>
          </cell>
          <cell r="S900">
            <v>1070.67</v>
          </cell>
          <cell r="T900" t="str">
            <v>Paid</v>
          </cell>
          <cell r="U900" t="str">
            <v>Completed</v>
          </cell>
        </row>
        <row r="901">
          <cell r="A901" t="str">
            <v>ORD-2025-10900</v>
          </cell>
          <cell r="B901" t="str">
            <v>27 May 2025</v>
          </cell>
          <cell r="C901" t="str">
            <v>06/03/2025</v>
          </cell>
          <cell r="D901" t="str">
            <v>CUST-3789</v>
          </cell>
          <cell r="E901" t="str">
            <v>Karan Malhotra</v>
          </cell>
          <cell r="F901" t="str">
            <v>Consumer</v>
          </cell>
          <cell r="G901" t="str">
            <v>North</v>
          </cell>
          <cell r="H901" t="str">
            <v>Punjab</v>
          </cell>
          <cell r="I901" t="str">
            <v>Ludhiana</v>
          </cell>
          <cell r="J901" t="str">
            <v>Furniture</v>
          </cell>
          <cell r="K901" t="str">
            <v>Chairs</v>
          </cell>
          <cell r="L901" t="str">
            <v>Elite Chairs 971</v>
          </cell>
          <cell r="M901" t="str">
            <v>First Class</v>
          </cell>
          <cell r="N901">
            <v>5</v>
          </cell>
          <cell r="O901">
            <v>881.08</v>
          </cell>
          <cell r="P901">
            <v>0.25</v>
          </cell>
          <cell r="S901">
            <v>1024.6400000000001</v>
          </cell>
          <cell r="T901" t="str">
            <v>Failed</v>
          </cell>
          <cell r="U901" t="str">
            <v>Cancelled</v>
          </cell>
        </row>
        <row r="902">
          <cell r="A902" t="str">
            <v>ORD-2024-10503</v>
          </cell>
          <cell r="B902" t="str">
            <v>04/01/2024</v>
          </cell>
          <cell r="C902" t="str">
            <v>2024-04-09</v>
          </cell>
          <cell r="D902" t="str">
            <v>CUST-1534</v>
          </cell>
          <cell r="E902" t="str">
            <v>Priya Menon</v>
          </cell>
          <cell r="F902" t="str">
            <v>Small Business</v>
          </cell>
          <cell r="G902" t="str">
            <v>East</v>
          </cell>
          <cell r="H902" t="str">
            <v>Odisha</v>
          </cell>
          <cell r="I902" t="str">
            <v>Bhubaneswar</v>
          </cell>
          <cell r="J902" t="str">
            <v>Technology</v>
          </cell>
          <cell r="K902" t="str">
            <v>Copiers</v>
          </cell>
          <cell r="L902" t="str">
            <v>Prime Copiers 557</v>
          </cell>
          <cell r="M902" t="str">
            <v>Second Class</v>
          </cell>
          <cell r="N902">
            <v>6</v>
          </cell>
          <cell r="O902">
            <v>826.93</v>
          </cell>
          <cell r="P902">
            <v>0.1</v>
          </cell>
          <cell r="S902">
            <v>1088.32</v>
          </cell>
          <cell r="T902" t="str">
            <v>Paid</v>
          </cell>
          <cell r="U902" t="str">
            <v>Completed</v>
          </cell>
        </row>
        <row r="903">
          <cell r="A903" t="str">
            <v>ORD-2024-10599</v>
          </cell>
          <cell r="B903" t="str">
            <v>08/17/2024</v>
          </cell>
          <cell r="C903" t="str">
            <v>08/24/2024</v>
          </cell>
          <cell r="D903" t="str">
            <v>CUST-8498</v>
          </cell>
          <cell r="E903" t="str">
            <v>Ananya Rao</v>
          </cell>
          <cell r="F903" t="str">
            <v>Corporate</v>
          </cell>
          <cell r="G903" t="str">
            <v>East</v>
          </cell>
          <cell r="H903" t="str">
            <v>West Bengal</v>
          </cell>
          <cell r="I903" t="str">
            <v>Kolkata</v>
          </cell>
          <cell r="J903" t="str">
            <v>Technology</v>
          </cell>
          <cell r="K903" t="str">
            <v>Copiers</v>
          </cell>
          <cell r="L903" t="str">
            <v>Eco Copiers 268</v>
          </cell>
          <cell r="M903" t="str">
            <v>Same Day</v>
          </cell>
          <cell r="N903">
            <v>3</v>
          </cell>
          <cell r="O903">
            <v>1490.69</v>
          </cell>
          <cell r="P903">
            <v>0.25</v>
          </cell>
          <cell r="S903">
            <v>681.38</v>
          </cell>
          <cell r="T903" t="str">
            <v>Paid</v>
          </cell>
          <cell r="U903" t="str">
            <v>Completed</v>
          </cell>
        </row>
        <row r="904">
          <cell r="A904" t="str">
            <v>ORD-2025-10695</v>
          </cell>
          <cell r="B904" t="str">
            <v>01-08-2025</v>
          </cell>
          <cell r="C904" t="str">
            <v>09-08-2025</v>
          </cell>
          <cell r="D904" t="str">
            <v>CUST-8025</v>
          </cell>
          <cell r="E904" t="str">
            <v>Isha Nair</v>
          </cell>
          <cell r="F904" t="str">
            <v>Consumer</v>
          </cell>
          <cell r="G904" t="str">
            <v>South</v>
          </cell>
          <cell r="H904" t="str">
            <v>Andhra Pradesh</v>
          </cell>
          <cell r="I904" t="str">
            <v>Vijayawada</v>
          </cell>
          <cell r="J904" t="str">
            <v>Office Supplies</v>
          </cell>
          <cell r="K904" t="str">
            <v>Storage</v>
          </cell>
          <cell r="L904" t="str">
            <v>Classic Storage 291</v>
          </cell>
          <cell r="M904" t="str">
            <v>First Class</v>
          </cell>
          <cell r="N904">
            <v>5</v>
          </cell>
          <cell r="O904">
            <v>2736.24</v>
          </cell>
          <cell r="P904">
            <v>0.15</v>
          </cell>
          <cell r="S904">
            <v>2001.81</v>
          </cell>
          <cell r="T904" t="str">
            <v>Paid</v>
          </cell>
          <cell r="U904" t="str">
            <v>Completed</v>
          </cell>
        </row>
        <row r="905">
          <cell r="A905" t="str">
            <v>ORD-2024-10705</v>
          </cell>
          <cell r="B905" t="str">
            <v>2024-03-13</v>
          </cell>
          <cell r="C905" t="str">
            <v>03/20/2024</v>
          </cell>
          <cell r="D905" t="str">
            <v>CUST-4916</v>
          </cell>
          <cell r="E905" t="str">
            <v>Priya Menon</v>
          </cell>
          <cell r="F905" t="str">
            <v>Home Office</v>
          </cell>
          <cell r="G905" t="str">
            <v>South</v>
          </cell>
          <cell r="H905" t="str">
            <v>Tamil Nadu</v>
          </cell>
          <cell r="I905" t="str">
            <v>Chennai</v>
          </cell>
          <cell r="J905" t="str">
            <v>Furniture</v>
          </cell>
          <cell r="K905" t="str">
            <v>Bookcases</v>
          </cell>
          <cell r="L905" t="str">
            <v>Max Bookcases 738</v>
          </cell>
          <cell r="N905">
            <v>1</v>
          </cell>
          <cell r="O905">
            <v>2825.63</v>
          </cell>
          <cell r="P905">
            <v>0.15</v>
          </cell>
          <cell r="S905">
            <v>581.45000000000005</v>
          </cell>
          <cell r="T905" t="str">
            <v>Paid</v>
          </cell>
          <cell r="U905" t="str">
            <v>Completed</v>
          </cell>
        </row>
        <row r="906">
          <cell r="A906" t="str">
            <v>ORD-2024-10277</v>
          </cell>
          <cell r="B906" t="str">
            <v>22-01-2024</v>
          </cell>
          <cell r="C906" t="str">
            <v>23-01-2024</v>
          </cell>
          <cell r="D906" t="str">
            <v>CUST-7039</v>
          </cell>
          <cell r="E906" t="str">
            <v>Aarav Sharma</v>
          </cell>
          <cell r="F906" t="str">
            <v>Small Business</v>
          </cell>
          <cell r="H906" t="str">
            <v>Assam</v>
          </cell>
          <cell r="I906" t="str">
            <v>Guwahati</v>
          </cell>
          <cell r="J906" t="str">
            <v>Furniture</v>
          </cell>
          <cell r="K906" t="str">
            <v>Chairs</v>
          </cell>
          <cell r="L906" t="str">
            <v>Basic Chairs 141</v>
          </cell>
          <cell r="M906" t="str">
            <v>Second Class</v>
          </cell>
          <cell r="N906">
            <v>6</v>
          </cell>
          <cell r="O906">
            <v>3391.53</v>
          </cell>
          <cell r="P906">
            <v>-0.14000000000000001</v>
          </cell>
          <cell r="S906">
            <v>6848.36</v>
          </cell>
          <cell r="T906" t="str">
            <v>Paid</v>
          </cell>
          <cell r="U906" t="str">
            <v>Completed</v>
          </cell>
        </row>
        <row r="907">
          <cell r="A907" t="str">
            <v>ORD-2025-10633</v>
          </cell>
          <cell r="B907" t="str">
            <v>15-04-2025</v>
          </cell>
          <cell r="C907" t="str">
            <v>16-04-2025</v>
          </cell>
          <cell r="D907" t="str">
            <v>CUST-4593</v>
          </cell>
          <cell r="E907" t="str">
            <v>Sneha Kapoor</v>
          </cell>
          <cell r="F907" t="str">
            <v>Small Business</v>
          </cell>
          <cell r="G907" t="str">
            <v>South</v>
          </cell>
          <cell r="H907" t="str">
            <v>Karnataka</v>
          </cell>
          <cell r="I907" t="str">
            <v>Bengaluru</v>
          </cell>
          <cell r="J907" t="str">
            <v>Furniture</v>
          </cell>
          <cell r="K907" t="str">
            <v>Furnishings</v>
          </cell>
          <cell r="L907" t="str">
            <v>Smart Furnishings 721</v>
          </cell>
          <cell r="M907" t="str">
            <v>First Class</v>
          </cell>
          <cell r="N907">
            <v>5</v>
          </cell>
          <cell r="O907">
            <v>2850.53</v>
          </cell>
          <cell r="P907">
            <v>0</v>
          </cell>
          <cell r="S907">
            <v>2694.34</v>
          </cell>
          <cell r="T907" t="str">
            <v>Paid</v>
          </cell>
          <cell r="U907" t="str">
            <v>Completed</v>
          </cell>
        </row>
        <row r="908">
          <cell r="A908" t="str">
            <v>ORD-2025-10730</v>
          </cell>
          <cell r="B908" t="str">
            <v>17-05-2025</v>
          </cell>
          <cell r="C908" t="str">
            <v>25 May 2025</v>
          </cell>
          <cell r="D908" t="str">
            <v>CUST-8713</v>
          </cell>
          <cell r="E908" t="str">
            <v>Ananya Rao</v>
          </cell>
          <cell r="F908" t="str">
            <v>Corporate</v>
          </cell>
          <cell r="G908" t="str">
            <v>South</v>
          </cell>
          <cell r="H908" t="str">
            <v>Tamil Nadu</v>
          </cell>
          <cell r="I908" t="str">
            <v>Chennai</v>
          </cell>
          <cell r="J908" t="str">
            <v>Technology</v>
          </cell>
          <cell r="K908" t="str">
            <v>Machines</v>
          </cell>
          <cell r="L908" t="str">
            <v>Pro Machines 563</v>
          </cell>
          <cell r="M908" t="str">
            <v>Same Day</v>
          </cell>
          <cell r="N908">
            <v>6</v>
          </cell>
          <cell r="O908">
            <v>1810.63</v>
          </cell>
          <cell r="P908">
            <v>0.15</v>
          </cell>
          <cell r="S908">
            <v>3717.69</v>
          </cell>
          <cell r="T908" t="str">
            <v>Paid</v>
          </cell>
          <cell r="U908" t="str">
            <v>Completed</v>
          </cell>
        </row>
        <row r="909">
          <cell r="A909" t="str">
            <v>ORD-2024-10134</v>
          </cell>
          <cell r="B909" t="str">
            <v>2024-12-13</v>
          </cell>
          <cell r="C909" t="str">
            <v>12/18/2024</v>
          </cell>
          <cell r="D909" t="str">
            <v>CUST-9441</v>
          </cell>
          <cell r="E909" t="str">
            <v>Karan Malhotra</v>
          </cell>
          <cell r="F909" t="str">
            <v>Consumer</v>
          </cell>
          <cell r="G909" t="str">
            <v>West</v>
          </cell>
          <cell r="H909" t="str">
            <v>Goa</v>
          </cell>
          <cell r="I909" t="str">
            <v>Panaji</v>
          </cell>
          <cell r="J909" t="str">
            <v>Technology</v>
          </cell>
          <cell r="K909" t="str">
            <v>Phones</v>
          </cell>
          <cell r="L909" t="str">
            <v>Prime Phones 419</v>
          </cell>
          <cell r="M909" t="str">
            <v>Second Class</v>
          </cell>
          <cell r="N909">
            <v>8</v>
          </cell>
          <cell r="O909">
            <v>3372.15</v>
          </cell>
          <cell r="P909">
            <v>0.15</v>
          </cell>
          <cell r="S909">
            <v>6055.07</v>
          </cell>
          <cell r="T909" t="str">
            <v>Paid</v>
          </cell>
          <cell r="U909" t="str">
            <v>Completed</v>
          </cell>
        </row>
        <row r="910">
          <cell r="A910" t="str">
            <v>ORD-2025-10720</v>
          </cell>
          <cell r="B910" t="str">
            <v>08 Sep 2025</v>
          </cell>
          <cell r="C910" t="str">
            <v>2025-09-09</v>
          </cell>
          <cell r="D910" t="str">
            <v>CUST-3190</v>
          </cell>
          <cell r="E910" t="str">
            <v>Kabir Singh</v>
          </cell>
          <cell r="F910" t="str">
            <v>Corporate</v>
          </cell>
          <cell r="G910" t="str">
            <v>West</v>
          </cell>
          <cell r="H910" t="str">
            <v>Gujarat</v>
          </cell>
          <cell r="I910" t="str">
            <v>Ahmedabad</v>
          </cell>
          <cell r="J910" t="str">
            <v>Office Supplies</v>
          </cell>
          <cell r="K910" t="str">
            <v>Art</v>
          </cell>
          <cell r="L910" t="str">
            <v>Pro Art 447</v>
          </cell>
          <cell r="M910" t="str">
            <v>Same Day</v>
          </cell>
          <cell r="N910">
            <v>2</v>
          </cell>
          <cell r="O910">
            <v>2372.41</v>
          </cell>
          <cell r="P910">
            <v>0.2</v>
          </cell>
          <cell r="S910">
            <v>1530.94</v>
          </cell>
          <cell r="T910" t="str">
            <v>Paid</v>
          </cell>
          <cell r="U910" t="str">
            <v>Completed</v>
          </cell>
        </row>
        <row r="911">
          <cell r="A911" t="str">
            <v>ORD-2025-10400</v>
          </cell>
          <cell r="B911" t="str">
            <v>04/24/2025</v>
          </cell>
          <cell r="C911" t="str">
            <v>2025-04-29</v>
          </cell>
          <cell r="D911" t="str">
            <v>CUST-5647</v>
          </cell>
          <cell r="E911" t="str">
            <v>Diya Patel</v>
          </cell>
          <cell r="F911" t="str">
            <v>Small Business</v>
          </cell>
          <cell r="G911" t="str">
            <v>South</v>
          </cell>
          <cell r="H911" t="str">
            <v>Andhra Pradesh</v>
          </cell>
          <cell r="I911" t="str">
            <v>Vijayawada</v>
          </cell>
          <cell r="J911" t="str">
            <v>Office Supplies</v>
          </cell>
          <cell r="K911" t="str">
            <v>Paper</v>
          </cell>
          <cell r="L911" t="str">
            <v>Elite Paper 308</v>
          </cell>
          <cell r="M911" t="str">
            <v>Same Day</v>
          </cell>
          <cell r="N911">
            <v>1</v>
          </cell>
          <cell r="O911">
            <v>4358.5</v>
          </cell>
          <cell r="P911">
            <v>0.25</v>
          </cell>
          <cell r="S911">
            <v>1275.1400000000001</v>
          </cell>
          <cell r="T911" t="str">
            <v>Paid</v>
          </cell>
          <cell r="U911" t="str">
            <v>Completed</v>
          </cell>
        </row>
        <row r="912">
          <cell r="A912" t="str">
            <v>ORD-2024-10124</v>
          </cell>
          <cell r="B912" t="str">
            <v>05/24/2024</v>
          </cell>
          <cell r="C912" t="str">
            <v>25 May 2024</v>
          </cell>
          <cell r="D912" t="str">
            <v>CUST-1007</v>
          </cell>
          <cell r="E912" t="str">
            <v>Sneha Kapoor</v>
          </cell>
          <cell r="F912" t="str">
            <v>Small Business</v>
          </cell>
          <cell r="G912" t="str">
            <v>NORTH</v>
          </cell>
          <cell r="H912" t="str">
            <v>Punjab</v>
          </cell>
          <cell r="I912" t="str">
            <v>Ludhiana</v>
          </cell>
          <cell r="J912" t="str">
            <v>Technology</v>
          </cell>
          <cell r="K912" t="str">
            <v>Copiers</v>
          </cell>
          <cell r="L912" t="str">
            <v>Max Copiers 970</v>
          </cell>
          <cell r="M912" t="str">
            <v>Same Day</v>
          </cell>
          <cell r="N912">
            <v>1</v>
          </cell>
          <cell r="O912">
            <v>634.13</v>
          </cell>
          <cell r="P912">
            <v>0</v>
          </cell>
          <cell r="S912">
            <v>180.78</v>
          </cell>
          <cell r="T912" t="str">
            <v>Refunded</v>
          </cell>
          <cell r="U912" t="str">
            <v>Cancelled</v>
          </cell>
        </row>
        <row r="913">
          <cell r="A913" t="str">
            <v>ORD-2024-10251</v>
          </cell>
          <cell r="B913" t="str">
            <v>02/21/2024</v>
          </cell>
          <cell r="C913" t="str">
            <v>02/27/2024</v>
          </cell>
          <cell r="D913" t="str">
            <v>CUST-5351</v>
          </cell>
          <cell r="E913" t="str">
            <v>Arjun Bose</v>
          </cell>
          <cell r="F913" t="str">
            <v>Small Business</v>
          </cell>
          <cell r="G913" t="str">
            <v>East</v>
          </cell>
          <cell r="H913" t="str">
            <v>West Bengal</v>
          </cell>
          <cell r="I913" t="str">
            <v>Kolkata</v>
          </cell>
          <cell r="J913" t="str">
            <v>Furniture</v>
          </cell>
          <cell r="K913" t="str">
            <v>Furnishings</v>
          </cell>
          <cell r="L913" t="str">
            <v>Prime Furnishings 781</v>
          </cell>
          <cell r="M913" t="str">
            <v>Standard Class</v>
          </cell>
          <cell r="N913">
            <v>5</v>
          </cell>
          <cell r="O913">
            <v>3373.86</v>
          </cell>
          <cell r="P913">
            <v>0.15</v>
          </cell>
          <cell r="S913">
            <v>2441.25</v>
          </cell>
          <cell r="T913" t="str">
            <v>Pending</v>
          </cell>
          <cell r="U913" t="str">
            <v>Returned</v>
          </cell>
        </row>
        <row r="914">
          <cell r="A914" t="str">
            <v>ORD-2025-10378</v>
          </cell>
          <cell r="B914" t="str">
            <v>24 May 2025</v>
          </cell>
          <cell r="C914" t="str">
            <v>30-05-2025</v>
          </cell>
          <cell r="D914" t="str">
            <v>CUST-4875</v>
          </cell>
          <cell r="E914" t="str">
            <v>Kabir Singh</v>
          </cell>
          <cell r="F914" t="str">
            <v>Small Business</v>
          </cell>
          <cell r="G914" t="str">
            <v>East</v>
          </cell>
          <cell r="H914" t="str">
            <v>Odisha</v>
          </cell>
          <cell r="I914" t="str">
            <v>Bhubaneswar</v>
          </cell>
          <cell r="J914" t="str">
            <v>Office Supplies</v>
          </cell>
          <cell r="K914" t="str">
            <v>storage</v>
          </cell>
          <cell r="L914" t="str">
            <v>Basic Storage 360</v>
          </cell>
          <cell r="M914" t="str">
            <v>Same Day</v>
          </cell>
          <cell r="N914">
            <v>1</v>
          </cell>
          <cell r="O914">
            <v>2564.7399999999998</v>
          </cell>
          <cell r="P914">
            <v>0</v>
          </cell>
          <cell r="S914">
            <v>810.16</v>
          </cell>
          <cell r="T914" t="str">
            <v>Paid</v>
          </cell>
          <cell r="U914" t="str">
            <v>Completed</v>
          </cell>
        </row>
        <row r="915">
          <cell r="A915" t="str">
            <v>ORD-2024-10281</v>
          </cell>
          <cell r="B915" t="str">
            <v>12/23/2024</v>
          </cell>
          <cell r="C915" t="str">
            <v>26-12-2024</v>
          </cell>
          <cell r="D915" t="str">
            <v>CUST-4098</v>
          </cell>
          <cell r="E915" t="str">
            <v>Aditi Sen</v>
          </cell>
          <cell r="F915" t="str">
            <v>Consumer</v>
          </cell>
          <cell r="G915" t="str">
            <v>South</v>
          </cell>
          <cell r="H915" t="str">
            <v>Karnataka</v>
          </cell>
          <cell r="I915" t="str">
            <v>Bengaluru</v>
          </cell>
          <cell r="J915" t="str">
            <v>Technology</v>
          </cell>
          <cell r="K915" t="str">
            <v>Copiers</v>
          </cell>
          <cell r="L915" t="str">
            <v>Prime Copiers 961</v>
          </cell>
          <cell r="M915" t="str">
            <v>Standard Class</v>
          </cell>
          <cell r="N915">
            <v>9</v>
          </cell>
          <cell r="O915">
            <v>993.67</v>
          </cell>
          <cell r="P915">
            <v>0</v>
          </cell>
          <cell r="S915">
            <v>3777.65</v>
          </cell>
          <cell r="T915" t="str">
            <v>Paid</v>
          </cell>
          <cell r="U915" t="str">
            <v>Completed</v>
          </cell>
        </row>
        <row r="916">
          <cell r="A916" t="str">
            <v>ORD-2024-10713</v>
          </cell>
          <cell r="B916" t="str">
            <v>10 Feb 2024</v>
          </cell>
          <cell r="C916" t="str">
            <v>18 Feb 2024</v>
          </cell>
          <cell r="D916" t="str">
            <v>CUST-5127</v>
          </cell>
          <cell r="E916" t="str">
            <v>Isha Nair</v>
          </cell>
          <cell r="F916" t="str">
            <v>Home Office</v>
          </cell>
          <cell r="G916" t="str">
            <v>West</v>
          </cell>
          <cell r="H916" t="str">
            <v>Madhya Pradesh</v>
          </cell>
          <cell r="I916" t="str">
            <v>Indore</v>
          </cell>
          <cell r="J916" t="str">
            <v>Furniture</v>
          </cell>
          <cell r="K916" t="str">
            <v>Chairs</v>
          </cell>
          <cell r="L916" t="str">
            <v>Smart Chairs 259</v>
          </cell>
          <cell r="M916" t="str">
            <v>First Class</v>
          </cell>
          <cell r="N916">
            <v>7</v>
          </cell>
          <cell r="O916">
            <v>1382.86</v>
          </cell>
          <cell r="P916">
            <v>0</v>
          </cell>
          <cell r="S916">
            <v>2803.36</v>
          </cell>
          <cell r="T916" t="str">
            <v>Paid</v>
          </cell>
          <cell r="U916" t="str">
            <v>Completed</v>
          </cell>
        </row>
        <row r="917">
          <cell r="A917" t="str">
            <v>ORD-2025-10550</v>
          </cell>
          <cell r="B917" t="str">
            <v>10/11/2025</v>
          </cell>
          <cell r="C917" t="str">
            <v>13 Oct 2025</v>
          </cell>
          <cell r="D917" t="str">
            <v>CUST-6028</v>
          </cell>
          <cell r="E917" t="str">
            <v>Mira Das</v>
          </cell>
          <cell r="F917" t="str">
            <v>Corporate</v>
          </cell>
          <cell r="G917" t="str">
            <v>South</v>
          </cell>
          <cell r="H917" t="str">
            <v>Telangana</v>
          </cell>
          <cell r="I917" t="str">
            <v>Hyderabad</v>
          </cell>
          <cell r="J917" t="str">
            <v>Office Supplies</v>
          </cell>
          <cell r="K917" t="str">
            <v>Art</v>
          </cell>
          <cell r="L917" t="str">
            <v>Pro Art 287</v>
          </cell>
          <cell r="M917" t="str">
            <v>Second Class</v>
          </cell>
          <cell r="N917">
            <v>3</v>
          </cell>
          <cell r="O917">
            <v>3804.27</v>
          </cell>
          <cell r="P917">
            <v>0.1</v>
          </cell>
          <cell r="S917">
            <v>1999.29</v>
          </cell>
          <cell r="T917" t="str">
            <v>Paid</v>
          </cell>
          <cell r="U917" t="str">
            <v>Completed</v>
          </cell>
        </row>
        <row r="918">
          <cell r="A918" t="str">
            <v>ORD-2024-10850</v>
          </cell>
          <cell r="B918" t="str">
            <v>2024-03-06</v>
          </cell>
          <cell r="C918" t="str">
            <v>12-03-2024</v>
          </cell>
          <cell r="D918" t="str">
            <v>CUST-3360</v>
          </cell>
          <cell r="E918" t="str">
            <v>Isha Nair</v>
          </cell>
          <cell r="F918" t="str">
            <v>Home Office</v>
          </cell>
          <cell r="G918" t="str">
            <v>West</v>
          </cell>
          <cell r="H918" t="str">
            <v>Gujarat</v>
          </cell>
          <cell r="I918" t="str">
            <v>Ahmedabad</v>
          </cell>
          <cell r="J918" t="str">
            <v>Furniture</v>
          </cell>
          <cell r="K918" t="str">
            <v>Bookcases</v>
          </cell>
          <cell r="L918" t="str">
            <v>Prime Bookcases 755</v>
          </cell>
          <cell r="M918" t="str">
            <v>Standard Class</v>
          </cell>
          <cell r="N918">
            <v>3</v>
          </cell>
          <cell r="O918">
            <v>679.63</v>
          </cell>
          <cell r="P918">
            <v>0.2</v>
          </cell>
          <cell r="S918">
            <v>396.58</v>
          </cell>
          <cell r="T918" t="str">
            <v>Paid</v>
          </cell>
          <cell r="U918" t="str">
            <v>Completed</v>
          </cell>
        </row>
        <row r="919">
          <cell r="A919" t="str">
            <v>ORD-2025-10128</v>
          </cell>
          <cell r="B919" t="str">
            <v>01/30/2025</v>
          </cell>
          <cell r="C919" t="str">
            <v>26-01-2025</v>
          </cell>
          <cell r="D919" t="str">
            <v>CUST-6802</v>
          </cell>
          <cell r="E919" t="str">
            <v>Priya Menon</v>
          </cell>
          <cell r="F919" t="str">
            <v>Corporate</v>
          </cell>
          <cell r="G919" t="str">
            <v>West</v>
          </cell>
          <cell r="H919" t="str">
            <v>Madhya Pradesh</v>
          </cell>
          <cell r="I919" t="str">
            <v>Indore</v>
          </cell>
          <cell r="J919" t="str">
            <v>Office Supplies</v>
          </cell>
          <cell r="K919" t="str">
            <v>Storage</v>
          </cell>
          <cell r="L919" t="str">
            <v>Basic Storage 321</v>
          </cell>
          <cell r="M919" t="str">
            <v>Second Class</v>
          </cell>
          <cell r="N919">
            <v>2</v>
          </cell>
          <cell r="O919">
            <v>3039.3</v>
          </cell>
          <cell r="P919">
            <v>0.05</v>
          </cell>
          <cell r="S919">
            <v>2256.31</v>
          </cell>
          <cell r="T919" t="str">
            <v>Paid</v>
          </cell>
          <cell r="U919" t="str">
            <v>Completed</v>
          </cell>
        </row>
        <row r="920">
          <cell r="A920" t="str">
            <v>ORD-2025-10677</v>
          </cell>
          <cell r="B920" t="str">
            <v>09/11/2025</v>
          </cell>
          <cell r="C920" t="str">
            <v>09/18/2025</v>
          </cell>
          <cell r="D920" t="str">
            <v>CUST-9212</v>
          </cell>
          <cell r="E920" t="str">
            <v>Rahul Verma</v>
          </cell>
          <cell r="F920" t="str">
            <v>Small Business</v>
          </cell>
          <cell r="G920" t="str">
            <v>North</v>
          </cell>
          <cell r="H920" t="str">
            <v>Delhi</v>
          </cell>
          <cell r="I920" t="str">
            <v>New Delhi</v>
          </cell>
          <cell r="J920" t="str">
            <v>Technology</v>
          </cell>
          <cell r="K920" t="str">
            <v>Phones</v>
          </cell>
          <cell r="L920" t="str">
            <v>Smart Phones 967</v>
          </cell>
          <cell r="M920" t="str">
            <v>Same Day</v>
          </cell>
          <cell r="N920">
            <v>7</v>
          </cell>
          <cell r="O920">
            <v>3411.21</v>
          </cell>
          <cell r="P920">
            <v>0.15</v>
          </cell>
          <cell r="S920">
            <v>5375.83</v>
          </cell>
          <cell r="T920" t="str">
            <v>Paid</v>
          </cell>
          <cell r="U920" t="str">
            <v>Completed</v>
          </cell>
        </row>
        <row r="921">
          <cell r="A921" t="str">
            <v>ORD-2025-10007</v>
          </cell>
          <cell r="B921" t="str">
            <v>04/10/2025</v>
          </cell>
          <cell r="C921" t="str">
            <v>04/16/2025</v>
          </cell>
          <cell r="D921" t="str">
            <v>CUST-3656</v>
          </cell>
          <cell r="E921" t="str">
            <v>Neha Gupta</v>
          </cell>
          <cell r="F921" t="str">
            <v>Consumer</v>
          </cell>
          <cell r="G921" t="str">
            <v>East</v>
          </cell>
          <cell r="H921" t="str">
            <v>Odisha</v>
          </cell>
          <cell r="I921" t="str">
            <v>Bhubaneswar</v>
          </cell>
          <cell r="J921" t="str">
            <v>Technology</v>
          </cell>
          <cell r="K921" t="str">
            <v>Copiers</v>
          </cell>
          <cell r="L921" t="str">
            <v>Eco Copiers 790</v>
          </cell>
          <cell r="M921" t="str">
            <v>Standard Class</v>
          </cell>
          <cell r="N921">
            <v>4</v>
          </cell>
          <cell r="O921">
            <v>1719.87</v>
          </cell>
          <cell r="P921">
            <v>0.15</v>
          </cell>
          <cell r="S921">
            <v>1120.31</v>
          </cell>
          <cell r="T921" t="str">
            <v>Paid</v>
          </cell>
          <cell r="U921" t="str">
            <v>Completed</v>
          </cell>
        </row>
        <row r="922">
          <cell r="A922" t="str">
            <v>ORD-2024-10332</v>
          </cell>
          <cell r="B922" t="str">
            <v>04-12-2024</v>
          </cell>
          <cell r="C922" t="str">
            <v>2024-12-06</v>
          </cell>
          <cell r="D922" t="str">
            <v>CUST-9346</v>
          </cell>
          <cell r="E922" t="str">
            <v>Sneha Kapoor</v>
          </cell>
          <cell r="F922" t="str">
            <v>Home Office</v>
          </cell>
          <cell r="G922" t="str">
            <v>East</v>
          </cell>
          <cell r="H922" t="str">
            <v>Odisha</v>
          </cell>
          <cell r="I922" t="str">
            <v>Bhubaneswar</v>
          </cell>
          <cell r="J922" t="str">
            <v>Office Supplies</v>
          </cell>
          <cell r="K922" t="str">
            <v>Binders</v>
          </cell>
          <cell r="L922" t="str">
            <v>Smart Binders 939</v>
          </cell>
          <cell r="M922" t="str">
            <v>Second Class</v>
          </cell>
          <cell r="N922">
            <v>4</v>
          </cell>
          <cell r="O922">
            <v>2685.66</v>
          </cell>
          <cell r="P922">
            <v>0</v>
          </cell>
          <cell r="S922">
            <v>4265.2700000000004</v>
          </cell>
          <cell r="T922" t="str">
            <v>Paid</v>
          </cell>
          <cell r="U922" t="str">
            <v>Completed</v>
          </cell>
        </row>
        <row r="923">
          <cell r="A923" t="str">
            <v>ORD-2025-10091</v>
          </cell>
          <cell r="B923" t="str">
            <v>08/24/2025</v>
          </cell>
          <cell r="C923" t="str">
            <v>29 Aug 2025</v>
          </cell>
          <cell r="D923" t="str">
            <v>CUST-5909</v>
          </cell>
          <cell r="E923" t="str">
            <v>Aarav Sharma</v>
          </cell>
          <cell r="F923" t="str">
            <v>Small Business</v>
          </cell>
          <cell r="G923" t="str">
            <v>East</v>
          </cell>
          <cell r="H923" t="str">
            <v>Bihar</v>
          </cell>
          <cell r="I923" t="str">
            <v>Patna</v>
          </cell>
          <cell r="J923" t="str">
            <v>Technology</v>
          </cell>
          <cell r="K923" t="str">
            <v>Copiers</v>
          </cell>
          <cell r="L923" t="str">
            <v>Smart Copiers 556</v>
          </cell>
          <cell r="M923" t="str">
            <v>First Class</v>
          </cell>
          <cell r="N923">
            <v>3</v>
          </cell>
          <cell r="O923">
            <v>3703.96</v>
          </cell>
          <cell r="P923">
            <v>0.15</v>
          </cell>
          <cell r="S923">
            <v>3858.82</v>
          </cell>
          <cell r="T923" t="str">
            <v>Paid</v>
          </cell>
          <cell r="U923" t="str">
            <v>Returned</v>
          </cell>
        </row>
        <row r="924">
          <cell r="A924" t="str">
            <v>ORD-2025-10374</v>
          </cell>
          <cell r="B924" t="str">
            <v>2025-04-13</v>
          </cell>
          <cell r="C924" t="str">
            <v>2025-04-13</v>
          </cell>
          <cell r="D924" t="str">
            <v>CUST-8566</v>
          </cell>
          <cell r="E924" t="str">
            <v>Sneha Kapoor</v>
          </cell>
          <cell r="F924" t="str">
            <v>Small Business</v>
          </cell>
          <cell r="G924" t="str">
            <v>North</v>
          </cell>
          <cell r="H924" t="str">
            <v>Uttar Pradesh</v>
          </cell>
          <cell r="I924" t="str">
            <v>Noida</v>
          </cell>
          <cell r="J924" t="str">
            <v>Office Supplies</v>
          </cell>
          <cell r="K924" t="str">
            <v>Storage</v>
          </cell>
          <cell r="L924" t="str">
            <v>Prime Storage 951</v>
          </cell>
          <cell r="M924" t="str">
            <v>Second Class</v>
          </cell>
          <cell r="N924">
            <v>9</v>
          </cell>
          <cell r="O924">
            <v>1118.68</v>
          </cell>
          <cell r="P924">
            <v>0</v>
          </cell>
          <cell r="S924">
            <v>1472.75</v>
          </cell>
          <cell r="T924" t="str">
            <v>Paid</v>
          </cell>
          <cell r="U924" t="str">
            <v>Returned</v>
          </cell>
        </row>
        <row r="925">
          <cell r="A925" t="str">
            <v>ORD-2025-10225</v>
          </cell>
          <cell r="B925" t="str">
            <v>10/02/2025</v>
          </cell>
          <cell r="C925" t="str">
            <v>08 Oct 2025</v>
          </cell>
          <cell r="D925" t="str">
            <v>CUST-9871</v>
          </cell>
          <cell r="E925" t="str">
            <v>Isha Nair</v>
          </cell>
          <cell r="F925" t="str">
            <v>Small Business</v>
          </cell>
          <cell r="G925" t="str">
            <v>North</v>
          </cell>
          <cell r="H925" t="str">
            <v>Punjab</v>
          </cell>
          <cell r="I925" t="str">
            <v>Ludhiana</v>
          </cell>
          <cell r="J925" t="str">
            <v>Furniture</v>
          </cell>
          <cell r="K925" t="str">
            <v>Furnishings</v>
          </cell>
          <cell r="L925" t="str">
            <v>Classic Furnishings 109</v>
          </cell>
          <cell r="M925" t="str">
            <v>Standard Class</v>
          </cell>
          <cell r="N925">
            <v>4</v>
          </cell>
          <cell r="O925">
            <v>3944.64</v>
          </cell>
          <cell r="P925">
            <v>0.25</v>
          </cell>
          <cell r="S925">
            <v>5151</v>
          </cell>
          <cell r="T925" t="str">
            <v>Paid</v>
          </cell>
          <cell r="U925" t="str">
            <v>Returned</v>
          </cell>
        </row>
        <row r="926">
          <cell r="A926" t="str">
            <v>ORD-2025-10315</v>
          </cell>
          <cell r="B926" t="str">
            <v>05/18/2025</v>
          </cell>
          <cell r="C926" t="str">
            <v>20 May 2025</v>
          </cell>
          <cell r="D926" t="str">
            <v>CUST-1945</v>
          </cell>
          <cell r="E926" t="str">
            <v>Isha Nair</v>
          </cell>
          <cell r="F926" t="str">
            <v>Corporate</v>
          </cell>
          <cell r="G926" t="str">
            <v>West</v>
          </cell>
          <cell r="H926" t="str">
            <v>Madhya Pradesh</v>
          </cell>
          <cell r="I926" t="str">
            <v>Indore</v>
          </cell>
          <cell r="J926" t="str">
            <v>Office Supplies</v>
          </cell>
          <cell r="K926" t="str">
            <v>Labels</v>
          </cell>
          <cell r="L926" t="str">
            <v>Elite Labels 544</v>
          </cell>
          <cell r="M926" t="str">
            <v>Standard Class</v>
          </cell>
          <cell r="N926">
            <v>9</v>
          </cell>
          <cell r="O926">
            <v>847.76</v>
          </cell>
          <cell r="P926">
            <v>0.15</v>
          </cell>
          <cell r="S926">
            <v>1109.19</v>
          </cell>
          <cell r="T926" t="str">
            <v>Failed</v>
          </cell>
          <cell r="U926" t="str">
            <v>Completed</v>
          </cell>
        </row>
        <row r="927">
          <cell r="A927" t="str">
            <v>ORD-2025-10171</v>
          </cell>
          <cell r="B927" t="str">
            <v>07-09-2025</v>
          </cell>
          <cell r="C927" t="str">
            <v>09/15/2025</v>
          </cell>
          <cell r="D927" t="str">
            <v>CUST-3734</v>
          </cell>
          <cell r="E927" t="str">
            <v>Rohan Mehta</v>
          </cell>
          <cell r="F927" t="str">
            <v>Corporate</v>
          </cell>
          <cell r="G927" t="str">
            <v>East</v>
          </cell>
          <cell r="H927" t="str">
            <v>Bihar</v>
          </cell>
          <cell r="I927" t="str">
            <v>Patna</v>
          </cell>
          <cell r="J927" t="str">
            <v>Technology</v>
          </cell>
          <cell r="K927" t="str">
            <v>Copiers</v>
          </cell>
          <cell r="L927" t="str">
            <v>Eco Copiers 102</v>
          </cell>
          <cell r="M927" t="str">
            <v>Standard Class</v>
          </cell>
          <cell r="N927">
            <v>3</v>
          </cell>
          <cell r="O927">
            <v>1711.32</v>
          </cell>
          <cell r="P927">
            <v>0</v>
          </cell>
          <cell r="S927">
            <v>1203.96</v>
          </cell>
          <cell r="T927" t="str">
            <v>Paid</v>
          </cell>
          <cell r="U927" t="str">
            <v>Returned</v>
          </cell>
        </row>
        <row r="928">
          <cell r="A928" t="str">
            <v>ORD-2024-10424</v>
          </cell>
          <cell r="B928" t="str">
            <v>2024-02-20</v>
          </cell>
          <cell r="C928" t="str">
            <v>27-02-2024</v>
          </cell>
          <cell r="D928" t="str">
            <v>CUST-6169</v>
          </cell>
          <cell r="E928" t="str">
            <v>Diya Patel</v>
          </cell>
          <cell r="F928" t="str">
            <v>Consumer</v>
          </cell>
          <cell r="G928" t="str">
            <v>South</v>
          </cell>
          <cell r="H928" t="str">
            <v>Kerala</v>
          </cell>
          <cell r="I928" t="str">
            <v>Kochi</v>
          </cell>
          <cell r="J928" t="str">
            <v>Technology</v>
          </cell>
          <cell r="K928" t="str">
            <v>Accessories</v>
          </cell>
          <cell r="L928" t="str">
            <v>Prime Accessories 236</v>
          </cell>
          <cell r="M928" t="str">
            <v>FIRST CLASS</v>
          </cell>
          <cell r="N928">
            <v>9</v>
          </cell>
          <cell r="O928">
            <v>3779.31</v>
          </cell>
          <cell r="P928">
            <v>0.2</v>
          </cell>
          <cell r="S928">
            <v>9270.6</v>
          </cell>
          <cell r="T928" t="str">
            <v>Paid</v>
          </cell>
          <cell r="U928" t="str">
            <v>Returned</v>
          </cell>
        </row>
        <row r="929">
          <cell r="A929" t="str">
            <v>ORD-2025-10572</v>
          </cell>
          <cell r="B929" t="str">
            <v>10 Feb 2025</v>
          </cell>
          <cell r="C929" t="str">
            <v>2025-02-14</v>
          </cell>
          <cell r="D929" t="str">
            <v>CUST-3425</v>
          </cell>
          <cell r="E929" t="str">
            <v>Priya Menon</v>
          </cell>
          <cell r="F929" t="str">
            <v>Small Business</v>
          </cell>
          <cell r="G929" t="str">
            <v>North</v>
          </cell>
          <cell r="H929" t="str">
            <v>Uttar Pradesh</v>
          </cell>
          <cell r="I929" t="str">
            <v>Noida</v>
          </cell>
          <cell r="J929" t="str">
            <v>Technology</v>
          </cell>
          <cell r="K929" t="str">
            <v>Phones</v>
          </cell>
          <cell r="L929" t="str">
            <v>Prime Phones 895</v>
          </cell>
          <cell r="N929">
            <v>5</v>
          </cell>
          <cell r="O929">
            <v>4276.29</v>
          </cell>
          <cell r="P929">
            <v>0</v>
          </cell>
          <cell r="S929">
            <v>8141.24</v>
          </cell>
          <cell r="T929" t="str">
            <v>Failed</v>
          </cell>
          <cell r="U929" t="str">
            <v>Completed</v>
          </cell>
        </row>
        <row r="930">
          <cell r="A930" t="str">
            <v>ORD-2024-10143</v>
          </cell>
          <cell r="B930" t="str">
            <v>30 Mar 2024</v>
          </cell>
          <cell r="C930" t="str">
            <v>26 Mar 2024</v>
          </cell>
          <cell r="D930" t="str">
            <v>CUST-8944</v>
          </cell>
          <cell r="E930" t="str">
            <v>Aditi Sen</v>
          </cell>
          <cell r="F930" t="str">
            <v>Home Office</v>
          </cell>
          <cell r="G930" t="str">
            <v>North</v>
          </cell>
          <cell r="H930" t="str">
            <v>Rajasthan</v>
          </cell>
          <cell r="I930" t="str">
            <v>Jaipur</v>
          </cell>
          <cell r="J930" t="str">
            <v>Technology</v>
          </cell>
          <cell r="K930" t="str">
            <v>Phones</v>
          </cell>
          <cell r="L930" t="str">
            <v>Classic Phones 142</v>
          </cell>
          <cell r="M930" t="str">
            <v>Second Class</v>
          </cell>
          <cell r="N930">
            <v>5</v>
          </cell>
          <cell r="O930">
            <v>907.54</v>
          </cell>
          <cell r="P930">
            <v>0.15</v>
          </cell>
          <cell r="S930">
            <v>1087.78</v>
          </cell>
          <cell r="T930" t="str">
            <v>Paid</v>
          </cell>
          <cell r="U930" t="str">
            <v>Returned</v>
          </cell>
        </row>
        <row r="931">
          <cell r="A931" t="str">
            <v>ORD-2024-10273</v>
          </cell>
          <cell r="B931" t="str">
            <v>08/18/2024</v>
          </cell>
          <cell r="C931" t="str">
            <v>24 Aug 2024</v>
          </cell>
          <cell r="D931" t="str">
            <v>CUST-7389</v>
          </cell>
          <cell r="E931" t="str">
            <v>Arjun Bose</v>
          </cell>
          <cell r="F931" t="str">
            <v>Consumer</v>
          </cell>
          <cell r="G931" t="str">
            <v>South</v>
          </cell>
          <cell r="H931" t="str">
            <v>Andhra Pradesh</v>
          </cell>
          <cell r="I931" t="str">
            <v>Vijayawada</v>
          </cell>
          <cell r="J931" t="str">
            <v>Furniture</v>
          </cell>
          <cell r="K931" t="str">
            <v>Chairs</v>
          </cell>
          <cell r="L931" t="str">
            <v>Eco Chairs 314</v>
          </cell>
          <cell r="M931" t="str">
            <v>First Class</v>
          </cell>
          <cell r="N931">
            <v>7</v>
          </cell>
          <cell r="O931">
            <v>557.21</v>
          </cell>
          <cell r="P931">
            <v>0.1</v>
          </cell>
          <cell r="S931">
            <v>1213.48</v>
          </cell>
          <cell r="T931" t="str">
            <v>Paid</v>
          </cell>
          <cell r="U931" t="str">
            <v>Returned</v>
          </cell>
        </row>
        <row r="932">
          <cell r="A932" t="str">
            <v>ORD-2024-10124</v>
          </cell>
          <cell r="B932" t="str">
            <v>05/24/2024</v>
          </cell>
          <cell r="C932" t="str">
            <v>25 May 2024</v>
          </cell>
          <cell r="D932" t="str">
            <v>CUST-1007</v>
          </cell>
          <cell r="E932" t="str">
            <v>Sneha Kapoor</v>
          </cell>
          <cell r="F932" t="str">
            <v>Small Business</v>
          </cell>
          <cell r="G932" t="str">
            <v>NORTH</v>
          </cell>
          <cell r="H932" t="str">
            <v>Punjab</v>
          </cell>
          <cell r="I932" t="str">
            <v>Ludhiana</v>
          </cell>
          <cell r="J932" t="str">
            <v>Technology</v>
          </cell>
          <cell r="K932" t="str">
            <v>Copiers</v>
          </cell>
          <cell r="L932" t="str">
            <v>Max Copiers 970</v>
          </cell>
          <cell r="M932" t="str">
            <v>Same Day</v>
          </cell>
          <cell r="N932">
            <v>1</v>
          </cell>
          <cell r="O932">
            <v>634.13</v>
          </cell>
          <cell r="P932">
            <v>0</v>
          </cell>
          <cell r="S932">
            <v>180.78</v>
          </cell>
          <cell r="T932" t="str">
            <v>Refunded</v>
          </cell>
          <cell r="U932" t="str">
            <v>Returned</v>
          </cell>
        </row>
        <row r="933">
          <cell r="A933" t="str">
            <v>ORD-2025-10336</v>
          </cell>
          <cell r="B933" t="str">
            <v>06/16/2025</v>
          </cell>
          <cell r="C933" t="str">
            <v>18 Jun 2025</v>
          </cell>
          <cell r="D933" t="str">
            <v>CUST-3621</v>
          </cell>
          <cell r="E933" t="str">
            <v>Rahul Verma</v>
          </cell>
          <cell r="F933" t="str">
            <v>Home Office</v>
          </cell>
          <cell r="G933" t="str">
            <v>West</v>
          </cell>
          <cell r="H933" t="str">
            <v>Madhya Pradesh</v>
          </cell>
          <cell r="I933" t="str">
            <v>Indore</v>
          </cell>
          <cell r="J933" t="str">
            <v>Office Supplies</v>
          </cell>
          <cell r="K933" t="str">
            <v>Paper</v>
          </cell>
          <cell r="L933" t="str">
            <v>Prime Paper 559</v>
          </cell>
          <cell r="M933" t="str">
            <v>First Class</v>
          </cell>
          <cell r="N933">
            <v>3</v>
          </cell>
          <cell r="O933">
            <v>4289.37</v>
          </cell>
          <cell r="P933">
            <v>0.1</v>
          </cell>
          <cell r="S933">
            <v>4751.87</v>
          </cell>
          <cell r="T933" t="str">
            <v>Paid</v>
          </cell>
          <cell r="U933" t="str">
            <v>Returned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F40874-023E-4387-8585-C722818BA363}" autoFormatId="16" applyNumberFormats="0" applyBorderFormats="0" applyFontFormats="0" applyPatternFormats="0" applyAlignmentFormats="0" applyWidthHeightFormats="0">
  <queryTableRefresh nextId="22">
    <queryTableFields count="21">
      <queryTableField id="1" name="order_id" tableColumnId="1"/>
      <queryTableField id="2" name="order_date" tableColumnId="2"/>
      <queryTableField id="3" name="ship_date" tableColumnId="3"/>
      <queryTableField id="4" name="customer_id" tableColumnId="4"/>
      <queryTableField id="5" name="customer_name" tableColumnId="5"/>
      <queryTableField id="6" name="segment" tableColumnId="6"/>
      <queryTableField id="7" name="region" tableColumnId="7"/>
      <queryTableField id="8" name="state" tableColumnId="8"/>
      <queryTableField id="9" name="city" tableColumnId="9"/>
      <queryTableField id="10" name="category" tableColumnId="10"/>
      <queryTableField id="11" name="sub_category" tableColumnId="11"/>
      <queryTableField id="12" name="product_name" tableColumnId="12"/>
      <queryTableField id="13" name="ship_mode" tableColumnId="13"/>
      <queryTableField id="14" name="quantity" tableColumnId="14"/>
      <queryTableField id="15" name="unit_price" tableColumnId="15"/>
      <queryTableField id="16" name="discount" tableColumnId="16"/>
      <queryTableField id="17" name="sales" tableColumnId="17"/>
      <queryTableField id="18" name="cost" tableColumnId="18"/>
      <queryTableField id="19" name="profit" tableColumnId="19"/>
      <queryTableField id="20" name="payment_status" tableColumnId="20"/>
      <queryTableField id="21" name="order_statu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93CC9-8E3B-4111-89E8-09DC05D39DA7}" name="raw_orders" displayName="raw_orders" ref="A1:U933" tableType="queryTable" totalsRowShown="0">
  <autoFilter ref="A1:U933" xr:uid="{61093CC9-8E3B-4111-89E8-09DC05D39DA7}"/>
  <tableColumns count="21">
    <tableColumn id="1" xr3:uid="{AEA3B718-1325-43D6-B03C-C14BFF2BC2A3}" uniqueName="1" name="order_id" queryTableFieldId="1" dataDxfId="14"/>
    <tableColumn id="2" xr3:uid="{7E4B02EC-A6D9-43B5-B4CA-94D696203E05}" uniqueName="2" name="order_date" queryTableFieldId="2" dataDxfId="13"/>
    <tableColumn id="3" xr3:uid="{69F7C507-E5B5-479E-ACB1-197339FFB796}" uniqueName="3" name="ship_date" queryTableFieldId="3" dataDxfId="12"/>
    <tableColumn id="4" xr3:uid="{5D63B309-C75D-43CA-989D-68301A7B24B2}" uniqueName="4" name="customer_id" queryTableFieldId="4" dataDxfId="11"/>
    <tableColumn id="5" xr3:uid="{7AC28631-4710-4C69-8E93-7B965F7A7B19}" uniqueName="5" name="customer_name" queryTableFieldId="5" dataDxfId="10"/>
    <tableColumn id="6" xr3:uid="{DA2D902F-C422-44F3-A16C-4CE099068CCD}" uniqueName="6" name="segment" queryTableFieldId="6" dataDxfId="9"/>
    <tableColumn id="7" xr3:uid="{9B1E1456-BFE1-462A-BF0C-639E3CD1867C}" uniqueName="7" name="region" queryTableFieldId="7" dataDxfId="8"/>
    <tableColumn id="8" xr3:uid="{29FFAEDF-AAC4-4689-819A-DA95DC8F8752}" uniqueName="8" name="state" queryTableFieldId="8" dataDxfId="7"/>
    <tableColumn id="9" xr3:uid="{E9D34601-F998-4CE7-A856-6DAEE8A492E9}" uniqueName="9" name="city" queryTableFieldId="9" dataDxfId="6"/>
    <tableColumn id="10" xr3:uid="{980ADF80-4010-47C0-AE96-261A2FCF014B}" uniqueName="10" name="category" queryTableFieldId="10" dataDxfId="5"/>
    <tableColumn id="11" xr3:uid="{9A554370-8DE6-47FB-946C-7AF82F767EF8}" uniqueName="11" name="sub_category" queryTableFieldId="11" dataDxfId="4"/>
    <tableColumn id="12" xr3:uid="{962FF055-3109-4AE7-A1A9-BDFFD0716B38}" uniqueName="12" name="product_name" queryTableFieldId="12" dataDxfId="3"/>
    <tableColumn id="13" xr3:uid="{94D57A9C-D637-4A6C-B68F-B771E01D24E3}" uniqueName="13" name="ship_mode" queryTableFieldId="13" dataDxfId="2"/>
    <tableColumn id="14" xr3:uid="{A79D9A5E-0698-442D-9F6C-81A5D397B882}" uniqueName="14" name="quantity" queryTableFieldId="14"/>
    <tableColumn id="15" xr3:uid="{2D75C75F-EED7-4707-8F9B-D42E4E5FF1D4}" uniqueName="15" name="unit_price" queryTableFieldId="15"/>
    <tableColumn id="16" xr3:uid="{7F4A2736-3F2A-47CE-83B4-09023807A154}" uniqueName="16" name="discount" queryTableFieldId="16"/>
    <tableColumn id="17" xr3:uid="{63E41713-3619-4742-9B0F-CF267D437253}" uniqueName="17" name="sales" queryTableFieldId="17"/>
    <tableColumn id="18" xr3:uid="{90CF399C-C24A-4D05-A17E-55C22C262F12}" uniqueName="18" name="cost" queryTableFieldId="18"/>
    <tableColumn id="19" xr3:uid="{F172EEB9-0104-4949-898D-3E9D2D595FF8}" uniqueName="19" name="profit" queryTableFieldId="19"/>
    <tableColumn id="20" xr3:uid="{5207AEB9-789D-4BAF-823D-E95F4374B33E}" uniqueName="20" name="payment_status" queryTableFieldId="20" dataDxfId="1"/>
    <tableColumn id="21" xr3:uid="{F58DB3FC-64FE-4DCB-A975-CB48E3C83C5E}" uniqueName="21" name="order_statu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A6E7-30F7-4363-91BC-A9BF598FD652}">
  <dimension ref="A1:U933"/>
  <sheetViews>
    <sheetView workbookViewId="0">
      <selection activeCell="B1" sqref="B1"/>
    </sheetView>
  </sheetViews>
  <sheetFormatPr defaultRowHeight="14.4" x14ac:dyDescent="0.3"/>
  <cols>
    <col min="1" max="1" width="15.109375" bestFit="1" customWidth="1"/>
    <col min="2" max="2" width="12.5546875" bestFit="1" customWidth="1"/>
    <col min="3" max="3" width="11.44140625" bestFit="1" customWidth="1"/>
    <col min="4" max="4" width="13.6640625" bestFit="1" customWidth="1"/>
    <col min="5" max="5" width="17" bestFit="1" customWidth="1"/>
    <col min="6" max="6" width="15" bestFit="1" customWidth="1"/>
    <col min="7" max="7" width="8.5546875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4.5546875" bestFit="1" customWidth="1"/>
    <col min="12" max="12" width="20" bestFit="1" customWidth="1"/>
    <col min="13" max="13" width="15.44140625" bestFit="1" customWidth="1"/>
    <col min="14" max="14" width="10.33203125" bestFit="1" customWidth="1"/>
    <col min="15" max="15" width="11.6640625" bestFit="1" customWidth="1"/>
    <col min="16" max="16" width="10.44140625" bestFit="1" customWidth="1"/>
    <col min="17" max="19" width="9" bestFit="1" customWidth="1"/>
    <col min="20" max="20" width="16.88671875" bestFit="1" customWidth="1"/>
    <col min="21" max="21" width="13.77734375" bestFit="1" customWidth="1"/>
  </cols>
  <sheetData>
    <row r="1" spans="1:21" x14ac:dyDescent="0.3">
      <c r="A1" t="s">
        <v>18</v>
      </c>
      <c r="B1" t="s">
        <v>22</v>
      </c>
      <c r="C1" t="s">
        <v>23</v>
      </c>
      <c r="D1" t="s">
        <v>19</v>
      </c>
      <c r="E1" t="s">
        <v>24</v>
      </c>
      <c r="F1" t="s">
        <v>25</v>
      </c>
      <c r="G1" t="s">
        <v>2</v>
      </c>
      <c r="H1" t="s">
        <v>26</v>
      </c>
      <c r="I1" t="s">
        <v>27</v>
      </c>
      <c r="J1" t="s">
        <v>28</v>
      </c>
      <c r="K1" t="s">
        <v>29</v>
      </c>
      <c r="L1" t="s">
        <v>20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</row>
    <row r="2" spans="1:21" x14ac:dyDescent="0.3">
      <c r="A2" t="s">
        <v>39</v>
      </c>
      <c r="B2" s="3">
        <v>45494</v>
      </c>
      <c r="C2" s="3"/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50</v>
      </c>
      <c r="U2" t="s">
        <v>51</v>
      </c>
    </row>
    <row r="3" spans="1:21" x14ac:dyDescent="0.3">
      <c r="A3" t="s">
        <v>52</v>
      </c>
      <c r="B3" s="3"/>
      <c r="C3" s="3">
        <v>45540</v>
      </c>
      <c r="D3" t="s">
        <v>53</v>
      </c>
      <c r="E3" t="s">
        <v>54</v>
      </c>
      <c r="F3" t="s">
        <v>55</v>
      </c>
      <c r="G3" t="s">
        <v>4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50</v>
      </c>
      <c r="U3" t="s">
        <v>51</v>
      </c>
    </row>
    <row r="4" spans="1:21" x14ac:dyDescent="0.3">
      <c r="A4" t="s">
        <v>62</v>
      </c>
      <c r="B4" s="3">
        <v>45510</v>
      </c>
      <c r="C4" s="3">
        <v>45458</v>
      </c>
      <c r="D4" t="s">
        <v>63</v>
      </c>
      <c r="E4" t="s">
        <v>64</v>
      </c>
      <c r="F4" t="s">
        <v>42</v>
      </c>
      <c r="G4" t="s">
        <v>4</v>
      </c>
      <c r="H4" t="s">
        <v>56</v>
      </c>
      <c r="I4" t="s">
        <v>57</v>
      </c>
      <c r="J4" t="s">
        <v>46</v>
      </c>
      <c r="K4" t="s">
        <v>65</v>
      </c>
      <c r="L4" t="s">
        <v>66</v>
      </c>
      <c r="M4" t="s">
        <v>67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50</v>
      </c>
      <c r="U4" t="s">
        <v>51</v>
      </c>
    </row>
    <row r="5" spans="1:21" x14ac:dyDescent="0.3">
      <c r="A5" t="s">
        <v>68</v>
      </c>
      <c r="B5" s="3">
        <v>45624</v>
      </c>
      <c r="C5" s="3"/>
      <c r="D5" t="s">
        <v>69</v>
      </c>
      <c r="E5" t="s">
        <v>70</v>
      </c>
      <c r="F5" t="s">
        <v>55</v>
      </c>
      <c r="G5" t="s">
        <v>5</v>
      </c>
      <c r="H5" t="s">
        <v>71</v>
      </c>
      <c r="I5" t="s">
        <v>72</v>
      </c>
      <c r="J5" t="s">
        <v>58</v>
      </c>
      <c r="K5" t="s">
        <v>73</v>
      </c>
      <c r="L5" t="s">
        <v>74</v>
      </c>
      <c r="M5" t="s">
        <v>75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50</v>
      </c>
      <c r="U5" t="s">
        <v>51</v>
      </c>
    </row>
    <row r="6" spans="1:21" x14ac:dyDescent="0.3">
      <c r="A6" t="s">
        <v>76</v>
      </c>
      <c r="B6" s="3">
        <v>45898</v>
      </c>
      <c r="C6" s="3">
        <v>45901</v>
      </c>
      <c r="D6" t="s">
        <v>77</v>
      </c>
      <c r="E6" t="s">
        <v>78</v>
      </c>
      <c r="F6" t="s">
        <v>55</v>
      </c>
      <c r="G6" t="s">
        <v>6</v>
      </c>
      <c r="H6" t="s">
        <v>79</v>
      </c>
      <c r="I6" t="s">
        <v>80</v>
      </c>
      <c r="J6" t="s">
        <v>58</v>
      </c>
      <c r="K6" t="s">
        <v>81</v>
      </c>
      <c r="L6" t="s">
        <v>82</v>
      </c>
      <c r="M6" t="s">
        <v>67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50</v>
      </c>
      <c r="U6" t="s">
        <v>83</v>
      </c>
    </row>
    <row r="7" spans="1:21" x14ac:dyDescent="0.3">
      <c r="A7" t="s">
        <v>84</v>
      </c>
      <c r="B7" s="3">
        <v>45436</v>
      </c>
      <c r="C7" s="3">
        <v>45440</v>
      </c>
      <c r="D7" t="s">
        <v>85</v>
      </c>
      <c r="E7" t="s">
        <v>86</v>
      </c>
      <c r="F7" t="s">
        <v>55</v>
      </c>
      <c r="G7" t="s">
        <v>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61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50</v>
      </c>
      <c r="U7" t="s">
        <v>51</v>
      </c>
    </row>
    <row r="8" spans="1:21" x14ac:dyDescent="0.3">
      <c r="A8" t="s">
        <v>92</v>
      </c>
      <c r="B8" s="3">
        <v>45934</v>
      </c>
      <c r="C8" s="3"/>
      <c r="D8" t="s">
        <v>93</v>
      </c>
      <c r="E8" t="s">
        <v>94</v>
      </c>
      <c r="F8" t="s">
        <v>42</v>
      </c>
      <c r="G8" t="s">
        <v>4</v>
      </c>
      <c r="H8" t="s">
        <v>56</v>
      </c>
      <c r="I8" t="s">
        <v>57</v>
      </c>
      <c r="J8" t="s">
        <v>89</v>
      </c>
      <c r="K8" t="s">
        <v>95</v>
      </c>
      <c r="L8" t="s">
        <v>96</v>
      </c>
      <c r="M8" t="s">
        <v>75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50</v>
      </c>
      <c r="U8" t="s">
        <v>51</v>
      </c>
    </row>
    <row r="9" spans="1:21" x14ac:dyDescent="0.3">
      <c r="A9" t="s">
        <v>97</v>
      </c>
      <c r="B9" s="3">
        <v>45711</v>
      </c>
      <c r="C9" s="3">
        <v>45714</v>
      </c>
      <c r="D9" t="s">
        <v>98</v>
      </c>
      <c r="E9" t="s">
        <v>64</v>
      </c>
      <c r="F9" t="s">
        <v>55</v>
      </c>
      <c r="G9" t="s">
        <v>5</v>
      </c>
      <c r="H9" t="s">
        <v>99</v>
      </c>
      <c r="I9" t="s">
        <v>100</v>
      </c>
      <c r="J9" t="s">
        <v>46</v>
      </c>
      <c r="K9" t="s">
        <v>65</v>
      </c>
      <c r="L9" t="s">
        <v>101</v>
      </c>
      <c r="M9" t="s">
        <v>67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50</v>
      </c>
      <c r="U9" t="s">
        <v>51</v>
      </c>
    </row>
    <row r="10" spans="1:21" x14ac:dyDescent="0.3">
      <c r="A10" t="s">
        <v>102</v>
      </c>
      <c r="B10" s="3">
        <v>45423</v>
      </c>
      <c r="C10" s="3">
        <v>45576</v>
      </c>
      <c r="D10" t="s">
        <v>103</v>
      </c>
      <c r="E10" t="s">
        <v>104</v>
      </c>
      <c r="F10" t="s">
        <v>105</v>
      </c>
      <c r="G10" t="s">
        <v>5</v>
      </c>
      <c r="H10" t="s">
        <v>71</v>
      </c>
      <c r="I10" t="s">
        <v>72</v>
      </c>
      <c r="J10" t="s">
        <v>46</v>
      </c>
      <c r="K10" t="s">
        <v>106</v>
      </c>
      <c r="L10" t="s">
        <v>107</v>
      </c>
      <c r="M10" t="s">
        <v>67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50</v>
      </c>
      <c r="U10" t="s">
        <v>51</v>
      </c>
    </row>
    <row r="11" spans="1:21" x14ac:dyDescent="0.3">
      <c r="A11" t="s">
        <v>108</v>
      </c>
      <c r="B11" s="3">
        <v>45907</v>
      </c>
      <c r="C11" s="3">
        <v>46000</v>
      </c>
      <c r="D11" t="s">
        <v>109</v>
      </c>
      <c r="E11" t="s">
        <v>54</v>
      </c>
      <c r="F11" t="s">
        <v>110</v>
      </c>
      <c r="G11" t="s">
        <v>5</v>
      </c>
      <c r="H11" t="s">
        <v>71</v>
      </c>
      <c r="I11" t="s">
        <v>72</v>
      </c>
      <c r="J11" t="s">
        <v>46</v>
      </c>
      <c r="K11" t="s">
        <v>47</v>
      </c>
      <c r="L11" t="s">
        <v>111</v>
      </c>
      <c r="M11" t="s">
        <v>49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50</v>
      </c>
      <c r="U11" t="s">
        <v>51</v>
      </c>
    </row>
    <row r="12" spans="1:21" x14ac:dyDescent="0.3">
      <c r="A12" t="s">
        <v>112</v>
      </c>
      <c r="B12" s="3">
        <v>45797</v>
      </c>
      <c r="C12" s="3"/>
      <c r="D12" t="s">
        <v>113</v>
      </c>
      <c r="E12" t="s">
        <v>78</v>
      </c>
      <c r="F12" t="s">
        <v>105</v>
      </c>
      <c r="G12" t="s">
        <v>4</v>
      </c>
      <c r="H12" t="s">
        <v>114</v>
      </c>
      <c r="I12" t="s">
        <v>115</v>
      </c>
      <c r="J12" t="s">
        <v>46</v>
      </c>
      <c r="K12" t="s">
        <v>106</v>
      </c>
      <c r="L12" t="s">
        <v>116</v>
      </c>
      <c r="M12" t="s">
        <v>49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117</v>
      </c>
      <c r="U12" t="s">
        <v>118</v>
      </c>
    </row>
    <row r="13" spans="1:21" x14ac:dyDescent="0.3">
      <c r="A13" t="s">
        <v>119</v>
      </c>
      <c r="B13" s="3">
        <v>45495</v>
      </c>
      <c r="C13" s="3">
        <v>45496</v>
      </c>
      <c r="D13" t="s">
        <v>120</v>
      </c>
      <c r="E13" t="s">
        <v>86</v>
      </c>
      <c r="F13" t="s">
        <v>55</v>
      </c>
      <c r="G13" t="s">
        <v>4</v>
      </c>
      <c r="H13" t="s">
        <v>56</v>
      </c>
      <c r="I13" t="s">
        <v>57</v>
      </c>
      <c r="J13" t="s">
        <v>89</v>
      </c>
      <c r="K13" t="s">
        <v>90</v>
      </c>
      <c r="L13" t="s">
        <v>121</v>
      </c>
      <c r="M13" t="s">
        <v>61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50</v>
      </c>
      <c r="U13" t="s">
        <v>51</v>
      </c>
    </row>
    <row r="14" spans="1:21" x14ac:dyDescent="0.3">
      <c r="A14" t="s">
        <v>122</v>
      </c>
      <c r="B14" s="3">
        <v>45646</v>
      </c>
      <c r="C14" s="3"/>
      <c r="D14" t="s">
        <v>123</v>
      </c>
      <c r="E14" t="s">
        <v>78</v>
      </c>
      <c r="F14" t="s">
        <v>124</v>
      </c>
      <c r="G14" t="s">
        <v>6</v>
      </c>
      <c r="H14" t="s">
        <v>44</v>
      </c>
      <c r="I14" t="s">
        <v>125</v>
      </c>
      <c r="J14" t="s">
        <v>46</v>
      </c>
      <c r="K14" t="s">
        <v>47</v>
      </c>
      <c r="L14" t="s">
        <v>126</v>
      </c>
      <c r="M14" t="s">
        <v>67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127</v>
      </c>
      <c r="U14" t="s">
        <v>118</v>
      </c>
    </row>
    <row r="15" spans="1:21" x14ac:dyDescent="0.3">
      <c r="A15" t="s">
        <v>128</v>
      </c>
      <c r="B15" s="3">
        <v>45942</v>
      </c>
      <c r="C15" s="3">
        <v>45946</v>
      </c>
      <c r="D15" t="s">
        <v>129</v>
      </c>
      <c r="E15" t="s">
        <v>130</v>
      </c>
      <c r="F15" t="s">
        <v>55</v>
      </c>
      <c r="G15" t="s">
        <v>6</v>
      </c>
      <c r="H15" t="s">
        <v>79</v>
      </c>
      <c r="I15" t="s">
        <v>80</v>
      </c>
      <c r="J15" t="s">
        <v>46</v>
      </c>
      <c r="K15" t="s">
        <v>65</v>
      </c>
      <c r="L15" t="s">
        <v>131</v>
      </c>
      <c r="M15" t="s">
        <v>49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50</v>
      </c>
      <c r="U15" t="s">
        <v>51</v>
      </c>
    </row>
    <row r="16" spans="1:21" x14ac:dyDescent="0.3">
      <c r="A16" t="s">
        <v>132</v>
      </c>
      <c r="B16" s="3">
        <v>45653</v>
      </c>
      <c r="C16" s="3"/>
      <c r="D16" t="s">
        <v>133</v>
      </c>
      <c r="E16" t="s">
        <v>134</v>
      </c>
      <c r="F16" t="s">
        <v>42</v>
      </c>
      <c r="G16" t="s">
        <v>6</v>
      </c>
      <c r="H16" t="s">
        <v>44</v>
      </c>
      <c r="I16" t="s">
        <v>125</v>
      </c>
      <c r="J16" t="s">
        <v>89</v>
      </c>
      <c r="K16" t="s">
        <v>95</v>
      </c>
      <c r="L16" t="s">
        <v>135</v>
      </c>
      <c r="M16" t="s">
        <v>75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50</v>
      </c>
      <c r="U16" t="s">
        <v>51</v>
      </c>
    </row>
    <row r="17" spans="1:21" x14ac:dyDescent="0.3">
      <c r="A17" t="s">
        <v>136</v>
      </c>
      <c r="B17" s="3">
        <v>45542</v>
      </c>
      <c r="C17" s="3">
        <v>45482</v>
      </c>
      <c r="D17" t="s">
        <v>137</v>
      </c>
      <c r="E17" t="s">
        <v>41</v>
      </c>
      <c r="F17" t="s">
        <v>55</v>
      </c>
      <c r="G17" t="s">
        <v>3</v>
      </c>
      <c r="H17" t="s">
        <v>138</v>
      </c>
      <c r="I17" t="s">
        <v>139</v>
      </c>
      <c r="J17" t="s">
        <v>46</v>
      </c>
      <c r="K17" t="s">
        <v>140</v>
      </c>
      <c r="L17" t="s">
        <v>141</v>
      </c>
      <c r="M17" t="s">
        <v>49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50</v>
      </c>
      <c r="U17" t="s">
        <v>51</v>
      </c>
    </row>
    <row r="18" spans="1:21" x14ac:dyDescent="0.3">
      <c r="A18" t="s">
        <v>142</v>
      </c>
      <c r="B18" s="3">
        <v>45509</v>
      </c>
      <c r="C18" s="3">
        <v>45427</v>
      </c>
      <c r="D18" t="s">
        <v>143</v>
      </c>
      <c r="E18" t="s">
        <v>144</v>
      </c>
      <c r="F18" t="s">
        <v>42</v>
      </c>
      <c r="G18" t="s">
        <v>5</v>
      </c>
      <c r="H18" t="s">
        <v>71</v>
      </c>
      <c r="I18" t="s">
        <v>72</v>
      </c>
      <c r="J18" t="s">
        <v>46</v>
      </c>
      <c r="K18" t="s">
        <v>65</v>
      </c>
      <c r="L18" t="s">
        <v>145</v>
      </c>
      <c r="M18" t="s">
        <v>67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50</v>
      </c>
      <c r="U18" t="s">
        <v>51</v>
      </c>
    </row>
    <row r="19" spans="1:21" x14ac:dyDescent="0.3">
      <c r="A19" t="s">
        <v>146</v>
      </c>
      <c r="B19" s="3">
        <v>45474</v>
      </c>
      <c r="C19" s="3">
        <v>45299</v>
      </c>
      <c r="D19" t="s">
        <v>147</v>
      </c>
      <c r="E19" t="s">
        <v>148</v>
      </c>
      <c r="F19" t="s">
        <v>55</v>
      </c>
      <c r="G19" t="s">
        <v>3</v>
      </c>
      <c r="H19" t="s">
        <v>44</v>
      </c>
      <c r="I19" t="s">
        <v>45</v>
      </c>
      <c r="J19" t="s">
        <v>58</v>
      </c>
      <c r="K19" t="s">
        <v>73</v>
      </c>
      <c r="L19" t="s">
        <v>149</v>
      </c>
      <c r="M19" t="s">
        <v>61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50</v>
      </c>
      <c r="U19" t="s">
        <v>51</v>
      </c>
    </row>
    <row r="20" spans="1:21" x14ac:dyDescent="0.3">
      <c r="A20" t="s">
        <v>150</v>
      </c>
      <c r="B20" s="3"/>
      <c r="C20" s="3">
        <v>45855</v>
      </c>
      <c r="D20" t="s">
        <v>151</v>
      </c>
      <c r="E20" t="s">
        <v>144</v>
      </c>
      <c r="F20" t="s">
        <v>110</v>
      </c>
      <c r="G20" t="s">
        <v>3</v>
      </c>
      <c r="H20" t="s">
        <v>152</v>
      </c>
      <c r="I20" t="s">
        <v>153</v>
      </c>
      <c r="J20" t="s">
        <v>89</v>
      </c>
      <c r="K20" t="s">
        <v>95</v>
      </c>
      <c r="L20" t="s">
        <v>154</v>
      </c>
      <c r="M20" t="s">
        <v>67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117</v>
      </c>
      <c r="U20" t="s">
        <v>83</v>
      </c>
    </row>
    <row r="21" spans="1:21" x14ac:dyDescent="0.3">
      <c r="A21" t="s">
        <v>155</v>
      </c>
      <c r="B21" s="3"/>
      <c r="C21" s="3">
        <v>45504</v>
      </c>
      <c r="D21" t="s">
        <v>156</v>
      </c>
      <c r="E21" t="s">
        <v>157</v>
      </c>
      <c r="F21" t="s">
        <v>110</v>
      </c>
      <c r="G21" t="s">
        <v>6</v>
      </c>
      <c r="H21" t="s">
        <v>87</v>
      </c>
      <c r="I21" t="s">
        <v>88</v>
      </c>
      <c r="J21" t="s">
        <v>46</v>
      </c>
      <c r="K21" t="s">
        <v>140</v>
      </c>
      <c r="L21" t="s">
        <v>158</v>
      </c>
      <c r="M21" t="s">
        <v>49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50</v>
      </c>
      <c r="U21" t="s">
        <v>51</v>
      </c>
    </row>
    <row r="22" spans="1:21" x14ac:dyDescent="0.3">
      <c r="A22" t="s">
        <v>159</v>
      </c>
      <c r="B22" s="3">
        <v>45678</v>
      </c>
      <c r="C22" s="3">
        <v>45680</v>
      </c>
      <c r="D22" t="s">
        <v>160</v>
      </c>
      <c r="E22" t="s">
        <v>104</v>
      </c>
      <c r="F22" t="s">
        <v>110</v>
      </c>
      <c r="G22" t="s">
        <v>4</v>
      </c>
      <c r="H22" t="s">
        <v>161</v>
      </c>
      <c r="I22" t="s">
        <v>162</v>
      </c>
      <c r="J22" t="s">
        <v>89</v>
      </c>
      <c r="K22" t="s">
        <v>95</v>
      </c>
      <c r="L22" t="s">
        <v>163</v>
      </c>
      <c r="M22" t="s">
        <v>67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50</v>
      </c>
      <c r="U22" t="s">
        <v>51</v>
      </c>
    </row>
    <row r="23" spans="1:21" x14ac:dyDescent="0.3">
      <c r="A23" t="s">
        <v>164</v>
      </c>
      <c r="B23" s="3">
        <v>45681</v>
      </c>
      <c r="C23" s="3"/>
      <c r="D23" t="s">
        <v>165</v>
      </c>
      <c r="E23" t="s">
        <v>148</v>
      </c>
      <c r="F23" t="s">
        <v>42</v>
      </c>
      <c r="G23" t="s">
        <v>6</v>
      </c>
      <c r="H23" t="s">
        <v>87</v>
      </c>
      <c r="I23" t="s">
        <v>88</v>
      </c>
      <c r="J23" t="s">
        <v>58</v>
      </c>
      <c r="K23" t="s">
        <v>73</v>
      </c>
      <c r="L23" t="s">
        <v>166</v>
      </c>
      <c r="M23" t="s">
        <v>49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50</v>
      </c>
      <c r="U23" t="s">
        <v>51</v>
      </c>
    </row>
    <row r="24" spans="1:21" x14ac:dyDescent="0.3">
      <c r="A24" t="s">
        <v>167</v>
      </c>
      <c r="B24" s="3">
        <v>45676</v>
      </c>
      <c r="C24" s="3">
        <v>45678</v>
      </c>
      <c r="D24" t="s">
        <v>168</v>
      </c>
      <c r="E24" t="s">
        <v>54</v>
      </c>
      <c r="F24" t="s">
        <v>42</v>
      </c>
      <c r="G24" t="s">
        <v>5</v>
      </c>
      <c r="H24" t="s">
        <v>71</v>
      </c>
      <c r="I24" t="s">
        <v>72</v>
      </c>
      <c r="J24" t="s">
        <v>46</v>
      </c>
      <c r="K24" t="s">
        <v>169</v>
      </c>
      <c r="L24" t="s">
        <v>170</v>
      </c>
      <c r="M24" t="s">
        <v>75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171</v>
      </c>
      <c r="U24" t="s">
        <v>118</v>
      </c>
    </row>
    <row r="25" spans="1:21" x14ac:dyDescent="0.3">
      <c r="A25" t="s">
        <v>172</v>
      </c>
      <c r="B25" s="3">
        <v>45898</v>
      </c>
      <c r="C25" s="3">
        <v>45900</v>
      </c>
      <c r="D25" t="s">
        <v>173</v>
      </c>
      <c r="E25" t="s">
        <v>134</v>
      </c>
      <c r="F25" t="s">
        <v>110</v>
      </c>
      <c r="G25" t="s">
        <v>4</v>
      </c>
      <c r="H25" t="s">
        <v>161</v>
      </c>
      <c r="I25" t="s">
        <v>162</v>
      </c>
      <c r="J25" t="s">
        <v>58</v>
      </c>
      <c r="K25" t="s">
        <v>174</v>
      </c>
      <c r="L25" t="s">
        <v>175</v>
      </c>
      <c r="M25" t="s">
        <v>67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50</v>
      </c>
      <c r="U25" t="s">
        <v>51</v>
      </c>
    </row>
    <row r="26" spans="1:21" x14ac:dyDescent="0.3">
      <c r="A26" t="s">
        <v>176</v>
      </c>
      <c r="B26" s="3">
        <v>45355</v>
      </c>
      <c r="C26" s="3">
        <v>45294</v>
      </c>
      <c r="D26" t="s">
        <v>177</v>
      </c>
      <c r="E26" t="s">
        <v>178</v>
      </c>
      <c r="F26" t="s">
        <v>42</v>
      </c>
      <c r="G26" t="s">
        <v>3</v>
      </c>
      <c r="H26" t="s">
        <v>138</v>
      </c>
      <c r="I26" t="s">
        <v>139</v>
      </c>
      <c r="J26" t="s">
        <v>46</v>
      </c>
      <c r="K26" t="s">
        <v>65</v>
      </c>
      <c r="L26" t="s">
        <v>179</v>
      </c>
      <c r="M26" t="s">
        <v>75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127</v>
      </c>
      <c r="U26" t="s">
        <v>83</v>
      </c>
    </row>
    <row r="27" spans="1:21" x14ac:dyDescent="0.3">
      <c r="A27" t="s">
        <v>180</v>
      </c>
      <c r="B27" s="3">
        <v>45576</v>
      </c>
      <c r="C27" s="3">
        <v>45584</v>
      </c>
      <c r="D27" t="s">
        <v>181</v>
      </c>
      <c r="E27" t="s">
        <v>70</v>
      </c>
      <c r="F27" t="s">
        <v>105</v>
      </c>
      <c r="G27" t="s">
        <v>4</v>
      </c>
      <c r="H27" t="s">
        <v>182</v>
      </c>
      <c r="I27" t="s">
        <v>183</v>
      </c>
      <c r="J27" t="s">
        <v>89</v>
      </c>
      <c r="K27" t="s">
        <v>90</v>
      </c>
      <c r="L27" t="s">
        <v>184</v>
      </c>
      <c r="M27" t="s">
        <v>67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50</v>
      </c>
      <c r="U27" t="s">
        <v>51</v>
      </c>
    </row>
    <row r="28" spans="1:21" x14ac:dyDescent="0.3">
      <c r="A28" t="s">
        <v>185</v>
      </c>
      <c r="B28" s="3">
        <v>45619</v>
      </c>
      <c r="C28" s="3">
        <v>45619</v>
      </c>
      <c r="D28" t="s">
        <v>186</v>
      </c>
      <c r="E28" t="s">
        <v>178</v>
      </c>
      <c r="F28" t="s">
        <v>105</v>
      </c>
      <c r="G28" t="s">
        <v>3</v>
      </c>
      <c r="H28" t="s">
        <v>152</v>
      </c>
      <c r="I28" t="s">
        <v>153</v>
      </c>
      <c r="J28" t="s">
        <v>89</v>
      </c>
      <c r="K28" t="s">
        <v>187</v>
      </c>
      <c r="L28" t="s">
        <v>188</v>
      </c>
      <c r="M28" t="s">
        <v>75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189</v>
      </c>
      <c r="U28" t="s">
        <v>118</v>
      </c>
    </row>
    <row r="29" spans="1:21" x14ac:dyDescent="0.3">
      <c r="A29" t="s">
        <v>190</v>
      </c>
      <c r="B29" s="3">
        <v>45929</v>
      </c>
      <c r="C29" s="3">
        <v>45935</v>
      </c>
      <c r="D29" t="s">
        <v>191</v>
      </c>
      <c r="E29" t="s">
        <v>70</v>
      </c>
      <c r="F29" t="s">
        <v>55</v>
      </c>
      <c r="G29" t="s">
        <v>5</v>
      </c>
      <c r="H29" t="s">
        <v>192</v>
      </c>
      <c r="I29" t="s">
        <v>193</v>
      </c>
      <c r="J29" t="s">
        <v>46</v>
      </c>
      <c r="K29" t="s">
        <v>47</v>
      </c>
      <c r="L29" t="s">
        <v>194</v>
      </c>
      <c r="M29" t="s">
        <v>49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171</v>
      </c>
      <c r="U29" t="s">
        <v>118</v>
      </c>
    </row>
    <row r="30" spans="1:21" x14ac:dyDescent="0.3">
      <c r="A30" t="s">
        <v>195</v>
      </c>
      <c r="B30" s="3">
        <v>45576</v>
      </c>
      <c r="C30" s="3">
        <v>45583</v>
      </c>
      <c r="D30" t="s">
        <v>196</v>
      </c>
      <c r="E30" t="s">
        <v>78</v>
      </c>
      <c r="F30" t="s">
        <v>110</v>
      </c>
      <c r="G30" t="s">
        <v>6</v>
      </c>
      <c r="H30" t="s">
        <v>197</v>
      </c>
      <c r="I30" t="s">
        <v>198</v>
      </c>
      <c r="J30" t="s">
        <v>89</v>
      </c>
      <c r="K30" t="s">
        <v>187</v>
      </c>
      <c r="L30" t="s">
        <v>199</v>
      </c>
      <c r="M30" t="s">
        <v>49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117</v>
      </c>
      <c r="U30" t="s">
        <v>83</v>
      </c>
    </row>
    <row r="31" spans="1:21" x14ac:dyDescent="0.3">
      <c r="A31" t="s">
        <v>200</v>
      </c>
      <c r="B31" s="3">
        <v>45882</v>
      </c>
      <c r="C31" s="3">
        <v>45882</v>
      </c>
      <c r="D31" t="s">
        <v>201</v>
      </c>
      <c r="E31" t="s">
        <v>157</v>
      </c>
      <c r="F31" t="s">
        <v>110</v>
      </c>
      <c r="G31" t="s">
        <v>5</v>
      </c>
      <c r="H31" t="s">
        <v>202</v>
      </c>
      <c r="I31" t="s">
        <v>203</v>
      </c>
      <c r="J31" t="s">
        <v>89</v>
      </c>
      <c r="K31" t="s">
        <v>187</v>
      </c>
      <c r="L31" t="s">
        <v>204</v>
      </c>
      <c r="M31" t="s">
        <v>75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50</v>
      </c>
      <c r="U31" t="s">
        <v>51</v>
      </c>
    </row>
    <row r="32" spans="1:21" x14ac:dyDescent="0.3">
      <c r="A32" t="s">
        <v>205</v>
      </c>
      <c r="B32" s="3">
        <v>45331</v>
      </c>
      <c r="C32" s="3">
        <v>45628</v>
      </c>
      <c r="D32" t="s">
        <v>206</v>
      </c>
      <c r="E32" t="s">
        <v>78</v>
      </c>
      <c r="F32" t="s">
        <v>105</v>
      </c>
      <c r="G32" t="s">
        <v>6</v>
      </c>
      <c r="H32" t="s">
        <v>207</v>
      </c>
      <c r="I32" t="s">
        <v>208</v>
      </c>
      <c r="J32" t="s">
        <v>46</v>
      </c>
      <c r="K32" t="s">
        <v>106</v>
      </c>
      <c r="L32" t="s">
        <v>209</v>
      </c>
      <c r="M32" t="s">
        <v>67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50</v>
      </c>
      <c r="U32" t="s">
        <v>51</v>
      </c>
    </row>
    <row r="33" spans="1:21" x14ac:dyDescent="0.3">
      <c r="A33" t="s">
        <v>210</v>
      </c>
      <c r="B33" s="3">
        <v>45823</v>
      </c>
      <c r="C33" s="3">
        <v>45827</v>
      </c>
      <c r="D33" t="s">
        <v>211</v>
      </c>
      <c r="E33" t="s">
        <v>41</v>
      </c>
      <c r="F33" t="s">
        <v>55</v>
      </c>
      <c r="G33" t="s">
        <v>6</v>
      </c>
      <c r="H33" t="s">
        <v>87</v>
      </c>
      <c r="I33" t="s">
        <v>88</v>
      </c>
      <c r="J33" t="s">
        <v>46</v>
      </c>
      <c r="K33" t="s">
        <v>47</v>
      </c>
      <c r="L33" t="s">
        <v>212</v>
      </c>
      <c r="M33" t="s">
        <v>49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171</v>
      </c>
      <c r="U33" t="s">
        <v>118</v>
      </c>
    </row>
    <row r="34" spans="1:21" x14ac:dyDescent="0.3">
      <c r="A34" t="s">
        <v>213</v>
      </c>
      <c r="B34" s="3">
        <v>45618</v>
      </c>
      <c r="C34" s="3">
        <v>45622</v>
      </c>
      <c r="D34" t="s">
        <v>214</v>
      </c>
      <c r="E34" t="s">
        <v>144</v>
      </c>
      <c r="F34" t="s">
        <v>105</v>
      </c>
      <c r="G34" t="s">
        <v>5</v>
      </c>
      <c r="H34" t="s">
        <v>99</v>
      </c>
      <c r="I34" t="s">
        <v>100</v>
      </c>
      <c r="J34" t="s">
        <v>89</v>
      </c>
      <c r="K34" t="s">
        <v>187</v>
      </c>
      <c r="L34" t="s">
        <v>215</v>
      </c>
      <c r="M34" t="s">
        <v>49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50</v>
      </c>
      <c r="U34" t="s">
        <v>51</v>
      </c>
    </row>
    <row r="35" spans="1:21" x14ac:dyDescent="0.3">
      <c r="A35" t="s">
        <v>216</v>
      </c>
      <c r="B35" s="3"/>
      <c r="C35" s="3">
        <v>45500</v>
      </c>
      <c r="D35" t="s">
        <v>217</v>
      </c>
      <c r="E35" t="s">
        <v>130</v>
      </c>
      <c r="F35" t="s">
        <v>110</v>
      </c>
      <c r="G35" t="s">
        <v>6</v>
      </c>
      <c r="H35" t="s">
        <v>207</v>
      </c>
      <c r="I35" t="s">
        <v>208</v>
      </c>
      <c r="J35" t="s">
        <v>58</v>
      </c>
      <c r="K35" t="s">
        <v>59</v>
      </c>
      <c r="L35" t="s">
        <v>218</v>
      </c>
      <c r="M35" t="s">
        <v>61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50</v>
      </c>
      <c r="U35" t="s">
        <v>51</v>
      </c>
    </row>
    <row r="36" spans="1:21" x14ac:dyDescent="0.3">
      <c r="A36" t="s">
        <v>219</v>
      </c>
      <c r="B36" s="3">
        <v>45688</v>
      </c>
      <c r="C36" s="3">
        <v>45693</v>
      </c>
      <c r="D36" t="s">
        <v>220</v>
      </c>
      <c r="E36" t="s">
        <v>130</v>
      </c>
      <c r="F36" t="s">
        <v>110</v>
      </c>
      <c r="G36" t="s">
        <v>4</v>
      </c>
      <c r="H36" t="s">
        <v>114</v>
      </c>
      <c r="I36" t="s">
        <v>115</v>
      </c>
      <c r="J36" t="s">
        <v>58</v>
      </c>
      <c r="K36" t="s">
        <v>81</v>
      </c>
      <c r="L36" t="s">
        <v>221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50</v>
      </c>
      <c r="U36" t="s">
        <v>51</v>
      </c>
    </row>
    <row r="37" spans="1:21" x14ac:dyDescent="0.3">
      <c r="A37" t="s">
        <v>222</v>
      </c>
      <c r="B37" s="3">
        <v>45441</v>
      </c>
      <c r="C37" s="3">
        <v>45441</v>
      </c>
      <c r="D37" t="s">
        <v>223</v>
      </c>
      <c r="E37" t="s">
        <v>148</v>
      </c>
      <c r="F37" t="s">
        <v>55</v>
      </c>
      <c r="G37" t="s">
        <v>6</v>
      </c>
      <c r="H37" t="s">
        <v>197</v>
      </c>
      <c r="I37" t="s">
        <v>198</v>
      </c>
      <c r="J37" t="s">
        <v>58</v>
      </c>
      <c r="K37" t="s">
        <v>174</v>
      </c>
      <c r="L37" t="s">
        <v>224</v>
      </c>
      <c r="M37" t="s">
        <v>49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127</v>
      </c>
      <c r="U37" t="s">
        <v>118</v>
      </c>
    </row>
    <row r="38" spans="1:21" x14ac:dyDescent="0.3">
      <c r="A38" t="s">
        <v>225</v>
      </c>
      <c r="B38" s="3">
        <v>45590</v>
      </c>
      <c r="C38" s="3">
        <v>45593</v>
      </c>
      <c r="D38" t="s">
        <v>226</v>
      </c>
      <c r="E38" t="s">
        <v>157</v>
      </c>
      <c r="F38" t="s">
        <v>105</v>
      </c>
      <c r="G38" t="s">
        <v>6</v>
      </c>
      <c r="H38" t="s">
        <v>79</v>
      </c>
      <c r="I38" t="s">
        <v>80</v>
      </c>
      <c r="J38" t="s">
        <v>58</v>
      </c>
      <c r="K38" t="s">
        <v>174</v>
      </c>
      <c r="L38" t="s">
        <v>227</v>
      </c>
      <c r="M38" t="s">
        <v>49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50</v>
      </c>
      <c r="U38" t="s">
        <v>118</v>
      </c>
    </row>
    <row r="39" spans="1:21" x14ac:dyDescent="0.3">
      <c r="A39" t="s">
        <v>228</v>
      </c>
      <c r="B39" s="3">
        <v>45867</v>
      </c>
      <c r="C39" s="3">
        <v>45867</v>
      </c>
      <c r="D39" t="s">
        <v>229</v>
      </c>
      <c r="E39" t="s">
        <v>178</v>
      </c>
      <c r="F39" t="s">
        <v>42</v>
      </c>
      <c r="G39" t="s">
        <v>6</v>
      </c>
      <c r="H39" t="s">
        <v>79</v>
      </c>
      <c r="I39" t="s">
        <v>80</v>
      </c>
      <c r="J39" t="s">
        <v>89</v>
      </c>
      <c r="K39" t="s">
        <v>95</v>
      </c>
      <c r="L39" t="s">
        <v>230</v>
      </c>
      <c r="M39" t="s">
        <v>231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50</v>
      </c>
      <c r="U39" t="s">
        <v>51</v>
      </c>
    </row>
    <row r="40" spans="1:21" x14ac:dyDescent="0.3">
      <c r="A40" t="s">
        <v>232</v>
      </c>
      <c r="B40" s="3">
        <v>45460</v>
      </c>
      <c r="C40" s="3">
        <v>45465</v>
      </c>
      <c r="D40" t="s">
        <v>233</v>
      </c>
      <c r="E40" t="s">
        <v>144</v>
      </c>
      <c r="F40" t="s">
        <v>105</v>
      </c>
      <c r="G40" t="s">
        <v>6</v>
      </c>
      <c r="H40" t="s">
        <v>197</v>
      </c>
      <c r="I40" t="s">
        <v>198</v>
      </c>
      <c r="J40" t="s">
        <v>89</v>
      </c>
      <c r="K40" t="s">
        <v>187</v>
      </c>
      <c r="L40" t="s">
        <v>234</v>
      </c>
      <c r="M40" t="s">
        <v>67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50</v>
      </c>
      <c r="U40" t="s">
        <v>51</v>
      </c>
    </row>
    <row r="41" spans="1:21" x14ac:dyDescent="0.3">
      <c r="A41" t="s">
        <v>235</v>
      </c>
      <c r="B41" s="3">
        <v>45608</v>
      </c>
      <c r="C41" s="3">
        <v>45637</v>
      </c>
      <c r="D41" t="s">
        <v>236</v>
      </c>
      <c r="E41" t="s">
        <v>54</v>
      </c>
      <c r="F41" t="s">
        <v>55</v>
      </c>
      <c r="G41" t="s">
        <v>6</v>
      </c>
      <c r="H41" t="s">
        <v>87</v>
      </c>
      <c r="I41" t="s">
        <v>88</v>
      </c>
      <c r="J41" t="s">
        <v>89</v>
      </c>
      <c r="K41" t="s">
        <v>95</v>
      </c>
      <c r="L41" t="s">
        <v>237</v>
      </c>
      <c r="M41" t="s">
        <v>67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127</v>
      </c>
      <c r="U41" t="s">
        <v>118</v>
      </c>
    </row>
    <row r="42" spans="1:21" x14ac:dyDescent="0.3">
      <c r="A42" t="s">
        <v>238</v>
      </c>
      <c r="B42" s="3">
        <v>45575</v>
      </c>
      <c r="C42" s="3">
        <v>45581</v>
      </c>
      <c r="D42" t="s">
        <v>239</v>
      </c>
      <c r="E42" t="s">
        <v>64</v>
      </c>
      <c r="F42" t="s">
        <v>110</v>
      </c>
      <c r="G42" t="s">
        <v>6</v>
      </c>
      <c r="H42" t="s">
        <v>44</v>
      </c>
      <c r="I42" t="s">
        <v>125</v>
      </c>
      <c r="J42" t="s">
        <v>89</v>
      </c>
      <c r="K42" t="s">
        <v>95</v>
      </c>
      <c r="L42" t="s">
        <v>240</v>
      </c>
      <c r="M42" t="s">
        <v>75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50</v>
      </c>
      <c r="U42" t="s">
        <v>51</v>
      </c>
    </row>
    <row r="43" spans="1:21" x14ac:dyDescent="0.3">
      <c r="A43" t="s">
        <v>241</v>
      </c>
      <c r="B43" s="3">
        <v>45629</v>
      </c>
      <c r="C43" s="3">
        <v>45368</v>
      </c>
      <c r="D43" t="s">
        <v>242</v>
      </c>
      <c r="E43" t="s">
        <v>144</v>
      </c>
      <c r="F43" t="s">
        <v>55</v>
      </c>
      <c r="G43" t="s">
        <v>4</v>
      </c>
      <c r="H43" t="s">
        <v>56</v>
      </c>
      <c r="I43" t="s">
        <v>57</v>
      </c>
      <c r="J43" t="s">
        <v>58</v>
      </c>
      <c r="K43" t="s">
        <v>174</v>
      </c>
      <c r="L43" t="s">
        <v>243</v>
      </c>
      <c r="M43" t="s">
        <v>61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127</v>
      </c>
      <c r="U43" t="s">
        <v>83</v>
      </c>
    </row>
    <row r="44" spans="1:21" x14ac:dyDescent="0.3">
      <c r="A44" t="s">
        <v>244</v>
      </c>
      <c r="B44" s="3">
        <v>45940</v>
      </c>
      <c r="C44" s="3">
        <v>45945</v>
      </c>
      <c r="D44" t="s">
        <v>245</v>
      </c>
      <c r="E44" t="s">
        <v>70</v>
      </c>
      <c r="F44" t="s">
        <v>105</v>
      </c>
      <c r="G44" t="s">
        <v>4</v>
      </c>
      <c r="H44" t="s">
        <v>246</v>
      </c>
      <c r="I44" t="s">
        <v>247</v>
      </c>
      <c r="J44" t="s">
        <v>89</v>
      </c>
      <c r="K44" t="s">
        <v>187</v>
      </c>
      <c r="L44" t="s">
        <v>248</v>
      </c>
      <c r="M44" t="s">
        <v>75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50</v>
      </c>
      <c r="U44" t="s">
        <v>51</v>
      </c>
    </row>
    <row r="45" spans="1:21" x14ac:dyDescent="0.3">
      <c r="A45" t="s">
        <v>249</v>
      </c>
      <c r="B45" s="3">
        <v>45511</v>
      </c>
      <c r="C45" s="3"/>
      <c r="D45" t="s">
        <v>250</v>
      </c>
      <c r="E45" t="s">
        <v>130</v>
      </c>
      <c r="F45" t="s">
        <v>55</v>
      </c>
      <c r="G45" t="s">
        <v>4</v>
      </c>
      <c r="H45" t="s">
        <v>56</v>
      </c>
      <c r="I45" t="s">
        <v>57</v>
      </c>
      <c r="J45" t="s">
        <v>58</v>
      </c>
      <c r="K45" t="s">
        <v>73</v>
      </c>
      <c r="L45" t="s">
        <v>251</v>
      </c>
      <c r="M45" t="s">
        <v>61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50</v>
      </c>
      <c r="U45" t="s">
        <v>51</v>
      </c>
    </row>
    <row r="46" spans="1:21" x14ac:dyDescent="0.3">
      <c r="A46" t="s">
        <v>252</v>
      </c>
      <c r="B46" s="3"/>
      <c r="C46" s="3">
        <v>45468</v>
      </c>
      <c r="D46" t="s">
        <v>253</v>
      </c>
      <c r="E46" t="s">
        <v>157</v>
      </c>
      <c r="F46" t="s">
        <v>55</v>
      </c>
      <c r="G46" t="s">
        <v>3</v>
      </c>
      <c r="H46" t="s">
        <v>254</v>
      </c>
      <c r="I46" t="s">
        <v>255</v>
      </c>
      <c r="J46" t="s">
        <v>58</v>
      </c>
      <c r="K46" t="s">
        <v>81</v>
      </c>
      <c r="L46" t="s">
        <v>256</v>
      </c>
      <c r="M46" t="s">
        <v>75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50</v>
      </c>
      <c r="U46" t="s">
        <v>51</v>
      </c>
    </row>
    <row r="47" spans="1:21" x14ac:dyDescent="0.3">
      <c r="A47" t="s">
        <v>257</v>
      </c>
      <c r="B47" s="3">
        <v>45309</v>
      </c>
      <c r="C47" s="3">
        <v>45315</v>
      </c>
      <c r="D47" t="s">
        <v>258</v>
      </c>
      <c r="E47" t="s">
        <v>64</v>
      </c>
      <c r="F47" t="s">
        <v>110</v>
      </c>
      <c r="G47" t="s">
        <v>4</v>
      </c>
      <c r="H47" t="s">
        <v>161</v>
      </c>
      <c r="I47" t="s">
        <v>162</v>
      </c>
      <c r="J47" t="s">
        <v>46</v>
      </c>
      <c r="K47" t="s">
        <v>65</v>
      </c>
      <c r="L47" t="s">
        <v>259</v>
      </c>
      <c r="M47" t="s">
        <v>49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127</v>
      </c>
      <c r="U47" t="s">
        <v>118</v>
      </c>
    </row>
    <row r="48" spans="1:21" x14ac:dyDescent="0.3">
      <c r="A48" t="s">
        <v>260</v>
      </c>
      <c r="B48" s="3">
        <v>45492</v>
      </c>
      <c r="C48" s="3">
        <v>45492</v>
      </c>
      <c r="D48" t="s">
        <v>261</v>
      </c>
      <c r="E48" t="s">
        <v>78</v>
      </c>
      <c r="F48" t="s">
        <v>55</v>
      </c>
      <c r="G48" t="s">
        <v>5</v>
      </c>
      <c r="H48" t="s">
        <v>202</v>
      </c>
      <c r="I48" t="s">
        <v>203</v>
      </c>
      <c r="J48" t="s">
        <v>58</v>
      </c>
      <c r="K48" t="s">
        <v>174</v>
      </c>
      <c r="L48" t="s">
        <v>262</v>
      </c>
      <c r="M48" t="s">
        <v>75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117</v>
      </c>
      <c r="U48" t="s">
        <v>118</v>
      </c>
    </row>
    <row r="49" spans="1:21" x14ac:dyDescent="0.3">
      <c r="A49" t="s">
        <v>263</v>
      </c>
      <c r="B49" s="3">
        <v>45516</v>
      </c>
      <c r="C49" s="3">
        <v>45516</v>
      </c>
      <c r="D49" t="s">
        <v>264</v>
      </c>
      <c r="E49" t="s">
        <v>134</v>
      </c>
      <c r="F49" t="s">
        <v>105</v>
      </c>
      <c r="G49" t="s">
        <v>5</v>
      </c>
      <c r="H49" t="s">
        <v>265</v>
      </c>
      <c r="I49" t="s">
        <v>266</v>
      </c>
      <c r="J49" t="s">
        <v>46</v>
      </c>
      <c r="K49" t="s">
        <v>140</v>
      </c>
      <c r="L49" t="s">
        <v>267</v>
      </c>
      <c r="M49" t="s">
        <v>75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50</v>
      </c>
      <c r="U49" t="s">
        <v>51</v>
      </c>
    </row>
    <row r="50" spans="1:21" x14ac:dyDescent="0.3">
      <c r="A50" t="s">
        <v>268</v>
      </c>
      <c r="B50" s="3">
        <v>45687</v>
      </c>
      <c r="C50" s="3">
        <v>45693</v>
      </c>
      <c r="D50" t="s">
        <v>269</v>
      </c>
      <c r="E50" t="s">
        <v>94</v>
      </c>
      <c r="F50" t="s">
        <v>105</v>
      </c>
      <c r="G50" t="s">
        <v>6</v>
      </c>
      <c r="H50" t="s">
        <v>79</v>
      </c>
      <c r="I50" t="s">
        <v>80</v>
      </c>
      <c r="J50" t="s">
        <v>58</v>
      </c>
      <c r="K50" t="s">
        <v>81</v>
      </c>
      <c r="L50" t="s">
        <v>270</v>
      </c>
      <c r="M50" t="s">
        <v>271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50</v>
      </c>
      <c r="U50" t="s">
        <v>51</v>
      </c>
    </row>
    <row r="51" spans="1:21" x14ac:dyDescent="0.3">
      <c r="A51" t="s">
        <v>272</v>
      </c>
      <c r="B51" s="3">
        <v>45388</v>
      </c>
      <c r="C51" s="3">
        <v>45395</v>
      </c>
      <c r="D51" t="s">
        <v>273</v>
      </c>
      <c r="E51" t="s">
        <v>144</v>
      </c>
      <c r="F51" t="s">
        <v>110</v>
      </c>
      <c r="G51" t="s">
        <v>3</v>
      </c>
      <c r="H51" t="s">
        <v>152</v>
      </c>
      <c r="I51" t="s">
        <v>153</v>
      </c>
      <c r="J51" t="s">
        <v>89</v>
      </c>
      <c r="K51" t="s">
        <v>95</v>
      </c>
      <c r="L51" t="s">
        <v>274</v>
      </c>
      <c r="M51" t="s">
        <v>49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50</v>
      </c>
      <c r="U51" t="s">
        <v>51</v>
      </c>
    </row>
    <row r="52" spans="1:21" x14ac:dyDescent="0.3">
      <c r="A52" t="s">
        <v>275</v>
      </c>
      <c r="B52" s="3">
        <v>45966</v>
      </c>
      <c r="C52" s="3">
        <v>45796</v>
      </c>
      <c r="D52" t="s">
        <v>276</v>
      </c>
      <c r="E52" t="s">
        <v>148</v>
      </c>
      <c r="F52" t="s">
        <v>42</v>
      </c>
      <c r="G52" t="s">
        <v>4</v>
      </c>
      <c r="H52" t="s">
        <v>114</v>
      </c>
      <c r="I52" t="s">
        <v>115</v>
      </c>
      <c r="J52" t="s">
        <v>89</v>
      </c>
      <c r="K52" t="s">
        <v>95</v>
      </c>
      <c r="L52" t="s">
        <v>277</v>
      </c>
      <c r="M52" t="s">
        <v>75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50</v>
      </c>
      <c r="U52" t="s">
        <v>51</v>
      </c>
    </row>
    <row r="53" spans="1:21" x14ac:dyDescent="0.3">
      <c r="A53" t="s">
        <v>278</v>
      </c>
      <c r="B53" s="3">
        <v>45406</v>
      </c>
      <c r="C53" s="3">
        <v>45411</v>
      </c>
      <c r="D53" t="s">
        <v>279</v>
      </c>
      <c r="E53" t="s">
        <v>280</v>
      </c>
      <c r="F53" t="s">
        <v>105</v>
      </c>
      <c r="G53" t="s">
        <v>5</v>
      </c>
      <c r="H53" t="s">
        <v>71</v>
      </c>
      <c r="I53" t="s">
        <v>72</v>
      </c>
      <c r="J53" t="s">
        <v>46</v>
      </c>
      <c r="K53" t="s">
        <v>65</v>
      </c>
      <c r="L53" t="s">
        <v>281</v>
      </c>
      <c r="M53" t="s">
        <v>75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50</v>
      </c>
      <c r="U53" t="s">
        <v>51</v>
      </c>
    </row>
    <row r="54" spans="1:21" x14ac:dyDescent="0.3">
      <c r="A54" t="s">
        <v>282</v>
      </c>
      <c r="B54" s="3">
        <v>45591</v>
      </c>
      <c r="C54" s="3">
        <v>45593</v>
      </c>
      <c r="D54" t="s">
        <v>283</v>
      </c>
      <c r="E54" t="s">
        <v>284</v>
      </c>
      <c r="F54" t="s">
        <v>55</v>
      </c>
      <c r="G54" t="s">
        <v>3</v>
      </c>
      <c r="H54" t="s">
        <v>44</v>
      </c>
      <c r="I54" t="s">
        <v>45</v>
      </c>
      <c r="J54" t="s">
        <v>58</v>
      </c>
      <c r="K54" t="s">
        <v>81</v>
      </c>
      <c r="L54" t="s">
        <v>285</v>
      </c>
      <c r="M54" t="s">
        <v>67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171</v>
      </c>
      <c r="U54" t="s">
        <v>83</v>
      </c>
    </row>
    <row r="55" spans="1:21" x14ac:dyDescent="0.3">
      <c r="A55" t="s">
        <v>286</v>
      </c>
      <c r="B55" s="3">
        <v>45747</v>
      </c>
      <c r="C55" s="3">
        <v>45747</v>
      </c>
      <c r="D55" t="s">
        <v>287</v>
      </c>
      <c r="E55" t="s">
        <v>284</v>
      </c>
      <c r="F55" t="s">
        <v>110</v>
      </c>
      <c r="G55" t="s">
        <v>6</v>
      </c>
      <c r="H55" t="s">
        <v>197</v>
      </c>
      <c r="I55" t="s">
        <v>198</v>
      </c>
      <c r="J55" t="s">
        <v>46</v>
      </c>
      <c r="K55" t="s">
        <v>140</v>
      </c>
      <c r="L55" t="s">
        <v>288</v>
      </c>
      <c r="M55" t="s">
        <v>67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50</v>
      </c>
      <c r="U55" t="s">
        <v>51</v>
      </c>
    </row>
    <row r="56" spans="1:21" x14ac:dyDescent="0.3">
      <c r="A56" t="s">
        <v>289</v>
      </c>
      <c r="B56" s="3">
        <v>45807</v>
      </c>
      <c r="C56" s="3">
        <v>45810</v>
      </c>
      <c r="D56" t="s">
        <v>290</v>
      </c>
      <c r="E56" t="s">
        <v>70</v>
      </c>
      <c r="F56" t="s">
        <v>105</v>
      </c>
      <c r="G56" t="s">
        <v>5</v>
      </c>
      <c r="H56" t="s">
        <v>265</v>
      </c>
      <c r="I56" t="s">
        <v>266</v>
      </c>
      <c r="J56" t="s">
        <v>46</v>
      </c>
      <c r="K56" t="s">
        <v>106</v>
      </c>
      <c r="L56" t="s">
        <v>291</v>
      </c>
      <c r="M56" t="s">
        <v>61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171</v>
      </c>
      <c r="U56" t="s">
        <v>83</v>
      </c>
    </row>
    <row r="57" spans="1:21" x14ac:dyDescent="0.3">
      <c r="A57" t="s">
        <v>292</v>
      </c>
      <c r="B57" s="3">
        <v>45839</v>
      </c>
      <c r="C57" s="3">
        <v>45841</v>
      </c>
      <c r="D57" t="s">
        <v>293</v>
      </c>
      <c r="E57" t="s">
        <v>54</v>
      </c>
      <c r="F57" t="s">
        <v>55</v>
      </c>
      <c r="G57" t="s">
        <v>5</v>
      </c>
      <c r="H57" t="s">
        <v>99</v>
      </c>
      <c r="I57" t="s">
        <v>100</v>
      </c>
      <c r="J57" t="s">
        <v>89</v>
      </c>
      <c r="K57" t="s">
        <v>294</v>
      </c>
      <c r="L57" t="s">
        <v>295</v>
      </c>
      <c r="M57" t="s">
        <v>61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50</v>
      </c>
      <c r="U57" t="s">
        <v>51</v>
      </c>
    </row>
    <row r="58" spans="1:21" x14ac:dyDescent="0.3">
      <c r="A58" t="s">
        <v>296</v>
      </c>
      <c r="B58" s="3">
        <v>45662</v>
      </c>
      <c r="C58" s="3">
        <v>45663</v>
      </c>
      <c r="D58" t="s">
        <v>297</v>
      </c>
      <c r="E58" t="s">
        <v>41</v>
      </c>
      <c r="F58" t="s">
        <v>42</v>
      </c>
      <c r="G58" t="s">
        <v>5</v>
      </c>
      <c r="H58" t="s">
        <v>192</v>
      </c>
      <c r="I58" t="s">
        <v>193</v>
      </c>
      <c r="J58" t="s">
        <v>46</v>
      </c>
      <c r="K58" t="s">
        <v>169</v>
      </c>
      <c r="L58" t="s">
        <v>298</v>
      </c>
      <c r="M58" t="s">
        <v>49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117</v>
      </c>
      <c r="U58" t="s">
        <v>83</v>
      </c>
    </row>
    <row r="59" spans="1:21" x14ac:dyDescent="0.3">
      <c r="A59" t="s">
        <v>299</v>
      </c>
      <c r="B59" s="3">
        <v>45329</v>
      </c>
      <c r="C59" s="3">
        <v>45337</v>
      </c>
      <c r="D59" t="s">
        <v>300</v>
      </c>
      <c r="E59" t="s">
        <v>130</v>
      </c>
      <c r="F59" t="s">
        <v>42</v>
      </c>
      <c r="G59" t="s">
        <v>6</v>
      </c>
      <c r="H59" t="s">
        <v>207</v>
      </c>
      <c r="I59" t="s">
        <v>208</v>
      </c>
      <c r="J59" t="s">
        <v>58</v>
      </c>
      <c r="K59" t="s">
        <v>81</v>
      </c>
      <c r="L59" t="s">
        <v>301</v>
      </c>
      <c r="M59" t="s">
        <v>61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50</v>
      </c>
      <c r="U59" t="s">
        <v>51</v>
      </c>
    </row>
    <row r="60" spans="1:21" x14ac:dyDescent="0.3">
      <c r="A60" t="s">
        <v>302</v>
      </c>
      <c r="B60" s="3">
        <v>45536</v>
      </c>
      <c r="C60" s="3">
        <v>45542</v>
      </c>
      <c r="D60" t="s">
        <v>303</v>
      </c>
      <c r="E60" t="s">
        <v>64</v>
      </c>
      <c r="F60" t="s">
        <v>110</v>
      </c>
      <c r="G60" t="s">
        <v>3</v>
      </c>
      <c r="H60" t="s">
        <v>44</v>
      </c>
      <c r="I60" t="s">
        <v>45</v>
      </c>
      <c r="J60" t="s">
        <v>46</v>
      </c>
      <c r="K60" t="s">
        <v>140</v>
      </c>
      <c r="L60" t="s">
        <v>304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127</v>
      </c>
      <c r="U60" t="s">
        <v>118</v>
      </c>
    </row>
    <row r="61" spans="1:21" x14ac:dyDescent="0.3">
      <c r="A61" t="s">
        <v>305</v>
      </c>
      <c r="B61" s="3">
        <v>45493</v>
      </c>
      <c r="C61" s="3">
        <v>45498</v>
      </c>
      <c r="D61" t="s">
        <v>306</v>
      </c>
      <c r="E61" t="s">
        <v>130</v>
      </c>
      <c r="F61" t="s">
        <v>105</v>
      </c>
      <c r="G61" t="s">
        <v>4</v>
      </c>
      <c r="H61" t="s">
        <v>182</v>
      </c>
      <c r="I61" t="s">
        <v>183</v>
      </c>
      <c r="J61" t="s">
        <v>46</v>
      </c>
      <c r="K61" t="s">
        <v>106</v>
      </c>
      <c r="L61" t="s">
        <v>307</v>
      </c>
      <c r="M61" t="s">
        <v>61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50</v>
      </c>
      <c r="U61" t="s">
        <v>83</v>
      </c>
    </row>
    <row r="62" spans="1:21" x14ac:dyDescent="0.3">
      <c r="A62" t="s">
        <v>308</v>
      </c>
      <c r="B62" s="3"/>
      <c r="C62" s="3">
        <v>45492</v>
      </c>
      <c r="D62" t="s">
        <v>309</v>
      </c>
      <c r="E62" t="s">
        <v>78</v>
      </c>
      <c r="F62" t="s">
        <v>105</v>
      </c>
      <c r="G62" t="s">
        <v>4</v>
      </c>
      <c r="H62" t="s">
        <v>182</v>
      </c>
      <c r="I62" t="s">
        <v>183</v>
      </c>
      <c r="J62" t="s">
        <v>46</v>
      </c>
      <c r="K62" t="s">
        <v>106</v>
      </c>
      <c r="L62" t="s">
        <v>310</v>
      </c>
      <c r="M62" t="s">
        <v>61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117</v>
      </c>
      <c r="U62" t="s">
        <v>83</v>
      </c>
    </row>
    <row r="63" spans="1:21" x14ac:dyDescent="0.3">
      <c r="A63" t="s">
        <v>311</v>
      </c>
      <c r="B63" s="3">
        <v>45398</v>
      </c>
      <c r="C63" s="3"/>
      <c r="D63" t="s">
        <v>312</v>
      </c>
      <c r="E63" t="s">
        <v>86</v>
      </c>
      <c r="F63" t="s">
        <v>110</v>
      </c>
      <c r="G63" t="s">
        <v>4</v>
      </c>
      <c r="H63" t="s">
        <v>161</v>
      </c>
      <c r="I63" t="s">
        <v>162</v>
      </c>
      <c r="J63" t="s">
        <v>58</v>
      </c>
      <c r="K63" t="s">
        <v>174</v>
      </c>
      <c r="L63" t="s">
        <v>313</v>
      </c>
      <c r="M63" t="s">
        <v>75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50</v>
      </c>
      <c r="U63" t="s">
        <v>51</v>
      </c>
    </row>
    <row r="64" spans="1:21" x14ac:dyDescent="0.3">
      <c r="A64" t="s">
        <v>314</v>
      </c>
      <c r="B64" s="3">
        <v>45595</v>
      </c>
      <c r="C64" s="3">
        <v>45598</v>
      </c>
      <c r="D64" t="s">
        <v>315</v>
      </c>
      <c r="E64" t="s">
        <v>148</v>
      </c>
      <c r="F64" t="s">
        <v>110</v>
      </c>
      <c r="G64" t="s">
        <v>3</v>
      </c>
      <c r="H64" t="s">
        <v>44</v>
      </c>
      <c r="I64" t="s">
        <v>45</v>
      </c>
      <c r="J64" t="s">
        <v>89</v>
      </c>
      <c r="K64" t="s">
        <v>187</v>
      </c>
      <c r="L64" t="s">
        <v>316</v>
      </c>
      <c r="M64" t="s">
        <v>75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50</v>
      </c>
      <c r="U64" t="s">
        <v>51</v>
      </c>
    </row>
    <row r="65" spans="1:21" x14ac:dyDescent="0.3">
      <c r="A65" t="s">
        <v>317</v>
      </c>
      <c r="B65" s="3">
        <v>45316</v>
      </c>
      <c r="C65" s="3">
        <v>45323</v>
      </c>
      <c r="D65" t="s">
        <v>318</v>
      </c>
      <c r="E65" t="s">
        <v>148</v>
      </c>
      <c r="F65" t="s">
        <v>110</v>
      </c>
      <c r="G65" t="s">
        <v>3</v>
      </c>
      <c r="H65" t="s">
        <v>254</v>
      </c>
      <c r="I65" t="s">
        <v>255</v>
      </c>
      <c r="J65" t="s">
        <v>46</v>
      </c>
      <c r="K65" t="s">
        <v>169</v>
      </c>
      <c r="L65" t="s">
        <v>319</v>
      </c>
      <c r="M65" t="s">
        <v>61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189</v>
      </c>
      <c r="U65" t="s">
        <v>51</v>
      </c>
    </row>
    <row r="66" spans="1:21" x14ac:dyDescent="0.3">
      <c r="A66" t="s">
        <v>320</v>
      </c>
      <c r="B66" s="3">
        <v>45649</v>
      </c>
      <c r="C66" s="3"/>
      <c r="D66" t="s">
        <v>321</v>
      </c>
      <c r="E66" t="s">
        <v>144</v>
      </c>
      <c r="F66" t="s">
        <v>105</v>
      </c>
      <c r="G66" t="s">
        <v>4</v>
      </c>
      <c r="H66" t="s">
        <v>246</v>
      </c>
      <c r="I66" t="s">
        <v>247</v>
      </c>
      <c r="J66" t="s">
        <v>46</v>
      </c>
      <c r="K66" t="s">
        <v>47</v>
      </c>
      <c r="L66" t="s">
        <v>322</v>
      </c>
      <c r="M66" t="s">
        <v>67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117</v>
      </c>
      <c r="U66" t="s">
        <v>118</v>
      </c>
    </row>
    <row r="67" spans="1:21" x14ac:dyDescent="0.3">
      <c r="A67" t="s">
        <v>323</v>
      </c>
      <c r="B67" s="3">
        <v>45404</v>
      </c>
      <c r="C67" s="3">
        <v>45409</v>
      </c>
      <c r="D67" t="s">
        <v>324</v>
      </c>
      <c r="E67" t="s">
        <v>54</v>
      </c>
      <c r="F67" t="s">
        <v>110</v>
      </c>
      <c r="G67" t="s">
        <v>6</v>
      </c>
      <c r="H67" t="s">
        <v>79</v>
      </c>
      <c r="I67" t="s">
        <v>80</v>
      </c>
      <c r="J67" t="s">
        <v>46</v>
      </c>
      <c r="K67" t="s">
        <v>47</v>
      </c>
      <c r="L67" t="s">
        <v>325</v>
      </c>
      <c r="M67" t="s">
        <v>49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50</v>
      </c>
      <c r="U67" t="s">
        <v>51</v>
      </c>
    </row>
    <row r="68" spans="1:21" x14ac:dyDescent="0.3">
      <c r="A68" t="s">
        <v>326</v>
      </c>
      <c r="B68" s="3"/>
      <c r="C68" s="3">
        <v>45901</v>
      </c>
      <c r="D68" t="s">
        <v>327</v>
      </c>
      <c r="E68" t="s">
        <v>41</v>
      </c>
      <c r="F68" t="s">
        <v>55</v>
      </c>
      <c r="G68" t="s">
        <v>5</v>
      </c>
      <c r="H68" t="s">
        <v>265</v>
      </c>
      <c r="I68" t="s">
        <v>266</v>
      </c>
      <c r="J68" t="s">
        <v>89</v>
      </c>
      <c r="K68" t="s">
        <v>90</v>
      </c>
      <c r="L68" t="s">
        <v>328</v>
      </c>
      <c r="M68" t="s">
        <v>61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50</v>
      </c>
      <c r="U68" t="s">
        <v>51</v>
      </c>
    </row>
    <row r="69" spans="1:21" x14ac:dyDescent="0.3">
      <c r="A69" t="s">
        <v>329</v>
      </c>
      <c r="B69" s="3">
        <v>45691</v>
      </c>
      <c r="C69" s="3">
        <v>45695</v>
      </c>
      <c r="D69" t="s">
        <v>330</v>
      </c>
      <c r="E69" t="s">
        <v>284</v>
      </c>
      <c r="F69" t="s">
        <v>42</v>
      </c>
      <c r="G69" t="s">
        <v>3</v>
      </c>
      <c r="H69" t="s">
        <v>254</v>
      </c>
      <c r="I69" t="s">
        <v>255</v>
      </c>
      <c r="J69" t="s">
        <v>46</v>
      </c>
      <c r="K69" t="s">
        <v>47</v>
      </c>
      <c r="L69" t="s">
        <v>331</v>
      </c>
      <c r="M69" t="s">
        <v>67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50</v>
      </c>
      <c r="U69" t="s">
        <v>51</v>
      </c>
    </row>
    <row r="70" spans="1:21" x14ac:dyDescent="0.3">
      <c r="A70" t="s">
        <v>332</v>
      </c>
      <c r="B70" s="3">
        <v>45576</v>
      </c>
      <c r="C70" s="3">
        <v>45609</v>
      </c>
      <c r="D70" t="s">
        <v>333</v>
      </c>
      <c r="E70" t="s">
        <v>64</v>
      </c>
      <c r="F70" t="s">
        <v>105</v>
      </c>
      <c r="G70" t="s">
        <v>4</v>
      </c>
      <c r="H70" t="s">
        <v>246</v>
      </c>
      <c r="I70" t="s">
        <v>247</v>
      </c>
      <c r="J70" t="s">
        <v>46</v>
      </c>
      <c r="K70" t="s">
        <v>140</v>
      </c>
      <c r="L70" t="s">
        <v>334</v>
      </c>
      <c r="M70" t="s">
        <v>49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171</v>
      </c>
      <c r="U70" t="s">
        <v>118</v>
      </c>
    </row>
    <row r="71" spans="1:21" x14ac:dyDescent="0.3">
      <c r="A71" t="s">
        <v>335</v>
      </c>
      <c r="B71" s="3">
        <v>45391</v>
      </c>
      <c r="C71" s="3"/>
      <c r="D71" t="s">
        <v>336</v>
      </c>
      <c r="E71" t="s">
        <v>94</v>
      </c>
      <c r="F71" t="s">
        <v>55</v>
      </c>
      <c r="G71" t="s">
        <v>6</v>
      </c>
      <c r="H71" t="s">
        <v>197</v>
      </c>
      <c r="I71" t="s">
        <v>198</v>
      </c>
      <c r="J71" t="s">
        <v>89</v>
      </c>
      <c r="K71" t="s">
        <v>294</v>
      </c>
      <c r="L71" t="s">
        <v>337</v>
      </c>
      <c r="M71" t="s">
        <v>61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117</v>
      </c>
      <c r="U71" t="s">
        <v>118</v>
      </c>
    </row>
    <row r="72" spans="1:21" x14ac:dyDescent="0.3">
      <c r="A72" t="s">
        <v>338</v>
      </c>
      <c r="B72" s="3">
        <v>45891</v>
      </c>
      <c r="C72" s="3">
        <v>45896</v>
      </c>
      <c r="D72" t="s">
        <v>339</v>
      </c>
      <c r="E72" t="s">
        <v>41</v>
      </c>
      <c r="F72" t="s">
        <v>105</v>
      </c>
      <c r="G72" t="s">
        <v>5</v>
      </c>
      <c r="H72" t="s">
        <v>99</v>
      </c>
      <c r="I72" t="s">
        <v>100</v>
      </c>
      <c r="J72" t="s">
        <v>89</v>
      </c>
      <c r="K72" t="s">
        <v>187</v>
      </c>
      <c r="L72" t="s">
        <v>340</v>
      </c>
      <c r="M72" t="s">
        <v>67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50</v>
      </c>
      <c r="U72" t="s">
        <v>51</v>
      </c>
    </row>
    <row r="73" spans="1:21" x14ac:dyDescent="0.3">
      <c r="A73" t="s">
        <v>341</v>
      </c>
      <c r="B73" s="3"/>
      <c r="C73" s="3">
        <v>45770</v>
      </c>
      <c r="D73" t="s">
        <v>342</v>
      </c>
      <c r="E73" t="s">
        <v>54</v>
      </c>
      <c r="F73" t="s">
        <v>343</v>
      </c>
      <c r="G73" t="s">
        <v>6</v>
      </c>
      <c r="H73" t="s">
        <v>207</v>
      </c>
      <c r="I73" t="s">
        <v>208</v>
      </c>
      <c r="J73" t="s">
        <v>89</v>
      </c>
      <c r="K73" t="s">
        <v>294</v>
      </c>
      <c r="L73" t="s">
        <v>344</v>
      </c>
      <c r="M73" t="s">
        <v>75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50</v>
      </c>
      <c r="U73" t="s">
        <v>51</v>
      </c>
    </row>
    <row r="74" spans="1:21" x14ac:dyDescent="0.3">
      <c r="A74" t="s">
        <v>345</v>
      </c>
      <c r="B74" s="3">
        <v>45333</v>
      </c>
      <c r="C74" s="3">
        <v>45329</v>
      </c>
      <c r="D74" t="s">
        <v>346</v>
      </c>
      <c r="E74" t="s">
        <v>41</v>
      </c>
      <c r="F74" t="s">
        <v>110</v>
      </c>
      <c r="G74" t="s">
        <v>5</v>
      </c>
      <c r="H74" t="s">
        <v>265</v>
      </c>
      <c r="I74" t="s">
        <v>266</v>
      </c>
      <c r="J74" t="s">
        <v>58</v>
      </c>
      <c r="K74" t="s">
        <v>59</v>
      </c>
      <c r="L74" t="s">
        <v>347</v>
      </c>
      <c r="M74" t="s">
        <v>67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50</v>
      </c>
      <c r="U74" t="s">
        <v>51</v>
      </c>
    </row>
    <row r="75" spans="1:21" x14ac:dyDescent="0.3">
      <c r="A75" t="s">
        <v>348</v>
      </c>
      <c r="B75" s="3">
        <v>45745</v>
      </c>
      <c r="C75" s="3">
        <v>45720</v>
      </c>
      <c r="D75" t="s">
        <v>349</v>
      </c>
      <c r="E75" t="s">
        <v>148</v>
      </c>
      <c r="F75" t="s">
        <v>105</v>
      </c>
      <c r="G75" t="s">
        <v>4</v>
      </c>
      <c r="H75" t="s">
        <v>114</v>
      </c>
      <c r="I75" t="s">
        <v>115</v>
      </c>
      <c r="J75" t="s">
        <v>58</v>
      </c>
      <c r="K75" t="s">
        <v>174</v>
      </c>
      <c r="L75" t="s">
        <v>350</v>
      </c>
      <c r="M75" t="s">
        <v>67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50</v>
      </c>
      <c r="U75" t="s">
        <v>51</v>
      </c>
    </row>
    <row r="76" spans="1:21" x14ac:dyDescent="0.3">
      <c r="A76" t="s">
        <v>351</v>
      </c>
      <c r="B76" s="3"/>
      <c r="C76" s="3">
        <v>45717</v>
      </c>
      <c r="D76" t="s">
        <v>352</v>
      </c>
      <c r="E76" t="s">
        <v>86</v>
      </c>
      <c r="F76" t="s">
        <v>55</v>
      </c>
      <c r="G76" t="s">
        <v>4</v>
      </c>
      <c r="H76" t="s">
        <v>114</v>
      </c>
      <c r="I76" t="s">
        <v>115</v>
      </c>
      <c r="J76" t="s">
        <v>58</v>
      </c>
      <c r="K76" t="s">
        <v>81</v>
      </c>
      <c r="L76" t="s">
        <v>353</v>
      </c>
      <c r="M76" t="s">
        <v>75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50</v>
      </c>
      <c r="U76" t="s">
        <v>51</v>
      </c>
    </row>
    <row r="77" spans="1:21" x14ac:dyDescent="0.3">
      <c r="A77" t="s">
        <v>354</v>
      </c>
      <c r="B77" s="3">
        <v>45891</v>
      </c>
      <c r="C77" s="3"/>
      <c r="D77" t="s">
        <v>355</v>
      </c>
      <c r="E77" t="s">
        <v>130</v>
      </c>
      <c r="F77" t="s">
        <v>55</v>
      </c>
      <c r="G77" t="s">
        <v>4</v>
      </c>
      <c r="H77" t="s">
        <v>56</v>
      </c>
      <c r="I77" t="s">
        <v>57</v>
      </c>
      <c r="J77" t="s">
        <v>46</v>
      </c>
      <c r="K77" t="s">
        <v>106</v>
      </c>
      <c r="L77" t="s">
        <v>356</v>
      </c>
      <c r="M77" t="s">
        <v>67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50</v>
      </c>
      <c r="U77" t="s">
        <v>51</v>
      </c>
    </row>
    <row r="78" spans="1:21" x14ac:dyDescent="0.3">
      <c r="A78" t="s">
        <v>357</v>
      </c>
      <c r="B78" s="3">
        <v>45599</v>
      </c>
      <c r="C78" s="3">
        <v>45607</v>
      </c>
      <c r="D78" t="s">
        <v>358</v>
      </c>
      <c r="E78" t="s">
        <v>78</v>
      </c>
      <c r="F78" t="s">
        <v>105</v>
      </c>
      <c r="G78" t="s">
        <v>4</v>
      </c>
      <c r="H78" t="s">
        <v>246</v>
      </c>
      <c r="I78" t="s">
        <v>247</v>
      </c>
      <c r="J78" t="s">
        <v>46</v>
      </c>
      <c r="K78" t="s">
        <v>106</v>
      </c>
      <c r="L78" t="s">
        <v>359</v>
      </c>
      <c r="M78" t="s">
        <v>49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50</v>
      </c>
      <c r="U78" t="s">
        <v>51</v>
      </c>
    </row>
    <row r="79" spans="1:21" x14ac:dyDescent="0.3">
      <c r="A79" t="s">
        <v>360</v>
      </c>
      <c r="B79" s="3">
        <v>45876</v>
      </c>
      <c r="C79" s="3">
        <v>45850</v>
      </c>
      <c r="D79" t="s">
        <v>361</v>
      </c>
      <c r="E79" t="s">
        <v>157</v>
      </c>
      <c r="F79" t="s">
        <v>110</v>
      </c>
      <c r="G79" t="s">
        <v>3</v>
      </c>
      <c r="H79" t="s">
        <v>152</v>
      </c>
      <c r="I79" t="s">
        <v>153</v>
      </c>
      <c r="J79" t="s">
        <v>58</v>
      </c>
      <c r="K79" t="s">
        <v>73</v>
      </c>
      <c r="L79" t="s">
        <v>362</v>
      </c>
      <c r="M79" t="s">
        <v>75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117</v>
      </c>
      <c r="U79" t="s">
        <v>83</v>
      </c>
    </row>
    <row r="80" spans="1:21" x14ac:dyDescent="0.3">
      <c r="A80" t="s">
        <v>363</v>
      </c>
      <c r="B80" s="3"/>
      <c r="C80" s="3">
        <v>45859</v>
      </c>
      <c r="D80" t="s">
        <v>364</v>
      </c>
      <c r="E80" t="s">
        <v>148</v>
      </c>
      <c r="F80" t="s">
        <v>105</v>
      </c>
      <c r="G80" t="s">
        <v>4</v>
      </c>
      <c r="H80" t="s">
        <v>114</v>
      </c>
      <c r="I80" t="s">
        <v>115</v>
      </c>
      <c r="J80" t="s">
        <v>58</v>
      </c>
      <c r="K80" t="s">
        <v>59</v>
      </c>
      <c r="L80" t="s">
        <v>365</v>
      </c>
      <c r="M80" t="s">
        <v>67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50</v>
      </c>
      <c r="U80" t="s">
        <v>51</v>
      </c>
    </row>
    <row r="81" spans="1:21" x14ac:dyDescent="0.3">
      <c r="A81" t="s">
        <v>366</v>
      </c>
      <c r="B81" s="3">
        <v>45927</v>
      </c>
      <c r="C81" s="3">
        <v>45933</v>
      </c>
      <c r="D81" t="s">
        <v>367</v>
      </c>
      <c r="E81" t="s">
        <v>178</v>
      </c>
      <c r="F81" t="s">
        <v>110</v>
      </c>
      <c r="G81" t="s">
        <v>5</v>
      </c>
      <c r="H81" t="s">
        <v>265</v>
      </c>
      <c r="I81" t="s">
        <v>266</v>
      </c>
      <c r="J81" t="s">
        <v>368</v>
      </c>
      <c r="K81" t="s">
        <v>81</v>
      </c>
      <c r="L81" t="s">
        <v>369</v>
      </c>
      <c r="M81" t="s">
        <v>61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50</v>
      </c>
      <c r="U81" t="s">
        <v>51</v>
      </c>
    </row>
    <row r="82" spans="1:21" x14ac:dyDescent="0.3">
      <c r="A82" t="s">
        <v>370</v>
      </c>
      <c r="B82" s="3">
        <v>45514</v>
      </c>
      <c r="C82" s="3">
        <v>45518</v>
      </c>
      <c r="D82" t="s">
        <v>371</v>
      </c>
      <c r="E82" t="s">
        <v>144</v>
      </c>
      <c r="F82" t="s">
        <v>55</v>
      </c>
      <c r="G82" t="s">
        <v>3</v>
      </c>
      <c r="H82" t="s">
        <v>372</v>
      </c>
      <c r="I82" t="s">
        <v>373</v>
      </c>
      <c r="J82" t="s">
        <v>46</v>
      </c>
      <c r="K82" t="s">
        <v>140</v>
      </c>
      <c r="L82" t="s">
        <v>374</v>
      </c>
      <c r="M82" t="s">
        <v>49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127</v>
      </c>
      <c r="U82" t="s">
        <v>118</v>
      </c>
    </row>
    <row r="83" spans="1:21" x14ac:dyDescent="0.3">
      <c r="A83" t="s">
        <v>375</v>
      </c>
      <c r="B83" s="3">
        <v>45732</v>
      </c>
      <c r="C83" s="3">
        <v>45733</v>
      </c>
      <c r="D83" t="s">
        <v>376</v>
      </c>
      <c r="E83" t="s">
        <v>41</v>
      </c>
      <c r="F83" t="s">
        <v>110</v>
      </c>
      <c r="G83" t="s">
        <v>6</v>
      </c>
      <c r="H83" t="s">
        <v>207</v>
      </c>
      <c r="I83" t="s">
        <v>208</v>
      </c>
      <c r="J83" t="s">
        <v>46</v>
      </c>
      <c r="K83" t="s">
        <v>106</v>
      </c>
      <c r="L83" t="s">
        <v>377</v>
      </c>
      <c r="M83" t="s">
        <v>61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50</v>
      </c>
      <c r="U83" t="s">
        <v>51</v>
      </c>
    </row>
    <row r="84" spans="1:21" x14ac:dyDescent="0.3">
      <c r="A84" t="s">
        <v>378</v>
      </c>
      <c r="B84" s="3">
        <v>45507</v>
      </c>
      <c r="C84" s="3">
        <v>45508</v>
      </c>
      <c r="D84" t="s">
        <v>379</v>
      </c>
      <c r="E84" t="s">
        <v>70</v>
      </c>
      <c r="F84" t="s">
        <v>42</v>
      </c>
      <c r="G84" t="s">
        <v>3</v>
      </c>
      <c r="H84" t="s">
        <v>152</v>
      </c>
      <c r="I84" t="s">
        <v>153</v>
      </c>
      <c r="J84" t="s">
        <v>89</v>
      </c>
      <c r="K84" t="s">
        <v>95</v>
      </c>
      <c r="L84" t="s">
        <v>380</v>
      </c>
      <c r="M84" t="s">
        <v>49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171</v>
      </c>
      <c r="U84" t="s">
        <v>118</v>
      </c>
    </row>
    <row r="85" spans="1:21" x14ac:dyDescent="0.3">
      <c r="A85" t="s">
        <v>381</v>
      </c>
      <c r="B85" s="3">
        <v>45591</v>
      </c>
      <c r="C85" s="3">
        <v>45594</v>
      </c>
      <c r="D85" t="s">
        <v>382</v>
      </c>
      <c r="E85" t="s">
        <v>104</v>
      </c>
      <c r="F85" t="s">
        <v>110</v>
      </c>
      <c r="G85" t="s">
        <v>6</v>
      </c>
      <c r="H85" t="s">
        <v>79</v>
      </c>
      <c r="I85" t="s">
        <v>80</v>
      </c>
      <c r="J85" t="s">
        <v>58</v>
      </c>
      <c r="K85" t="s">
        <v>59</v>
      </c>
      <c r="L85" t="s">
        <v>383</v>
      </c>
      <c r="M85" t="s">
        <v>49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50</v>
      </c>
      <c r="U85" t="s">
        <v>51</v>
      </c>
    </row>
    <row r="86" spans="1:21" x14ac:dyDescent="0.3">
      <c r="A86" t="s">
        <v>384</v>
      </c>
      <c r="B86" s="3">
        <v>45566</v>
      </c>
      <c r="C86" s="3">
        <v>45568</v>
      </c>
      <c r="D86" t="s">
        <v>385</v>
      </c>
      <c r="E86" t="s">
        <v>157</v>
      </c>
      <c r="F86" t="s">
        <v>105</v>
      </c>
      <c r="G86" t="s">
        <v>5</v>
      </c>
      <c r="H86" t="s">
        <v>265</v>
      </c>
      <c r="I86" t="s">
        <v>266</v>
      </c>
      <c r="J86" t="s">
        <v>386</v>
      </c>
      <c r="K86" t="s">
        <v>187</v>
      </c>
      <c r="L86" t="s">
        <v>387</v>
      </c>
      <c r="M86" t="s">
        <v>49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50</v>
      </c>
      <c r="U86" t="s">
        <v>51</v>
      </c>
    </row>
    <row r="87" spans="1:21" x14ac:dyDescent="0.3">
      <c r="A87" t="s">
        <v>388</v>
      </c>
      <c r="B87" s="3">
        <v>45503</v>
      </c>
      <c r="C87" s="3">
        <v>45420</v>
      </c>
      <c r="D87" t="s">
        <v>389</v>
      </c>
      <c r="E87" t="s">
        <v>284</v>
      </c>
      <c r="F87" t="s">
        <v>105</v>
      </c>
      <c r="G87" t="s">
        <v>3</v>
      </c>
      <c r="H87" t="s">
        <v>372</v>
      </c>
      <c r="I87" t="s">
        <v>373</v>
      </c>
      <c r="J87" t="s">
        <v>46</v>
      </c>
      <c r="K87" t="s">
        <v>169</v>
      </c>
      <c r="L87" t="s">
        <v>390</v>
      </c>
      <c r="M87" t="s">
        <v>75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50</v>
      </c>
      <c r="U87" t="s">
        <v>83</v>
      </c>
    </row>
    <row r="88" spans="1:21" x14ac:dyDescent="0.3">
      <c r="A88" t="s">
        <v>391</v>
      </c>
      <c r="B88" s="3">
        <v>45474</v>
      </c>
      <c r="C88" s="3">
        <v>45474</v>
      </c>
      <c r="D88" t="s">
        <v>392</v>
      </c>
      <c r="E88" t="s">
        <v>78</v>
      </c>
      <c r="F88" t="s">
        <v>55</v>
      </c>
      <c r="G88" t="s">
        <v>3</v>
      </c>
      <c r="H88" t="s">
        <v>372</v>
      </c>
      <c r="I88" t="s">
        <v>373</v>
      </c>
      <c r="J88" t="s">
        <v>89</v>
      </c>
      <c r="K88" t="s">
        <v>95</v>
      </c>
      <c r="L88" t="s">
        <v>393</v>
      </c>
      <c r="M88" t="s">
        <v>49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117</v>
      </c>
      <c r="U88" t="s">
        <v>83</v>
      </c>
    </row>
    <row r="89" spans="1:21" x14ac:dyDescent="0.3">
      <c r="A89" t="s">
        <v>394</v>
      </c>
      <c r="B89" s="3">
        <v>45506</v>
      </c>
      <c r="C89" s="3">
        <v>45507</v>
      </c>
      <c r="D89" t="s">
        <v>395</v>
      </c>
      <c r="E89" t="s">
        <v>86</v>
      </c>
      <c r="F89" t="s">
        <v>42</v>
      </c>
      <c r="G89" t="s">
        <v>4</v>
      </c>
      <c r="H89" t="s">
        <v>182</v>
      </c>
      <c r="I89" t="s">
        <v>183</v>
      </c>
      <c r="J89" t="s">
        <v>46</v>
      </c>
      <c r="K89" t="s">
        <v>169</v>
      </c>
      <c r="L89" t="s">
        <v>396</v>
      </c>
      <c r="M89" t="s">
        <v>75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50</v>
      </c>
      <c r="U89" t="s">
        <v>51</v>
      </c>
    </row>
    <row r="90" spans="1:21" x14ac:dyDescent="0.3">
      <c r="A90" t="s">
        <v>397</v>
      </c>
      <c r="B90" s="3"/>
      <c r="C90" s="3">
        <v>45378</v>
      </c>
      <c r="D90" t="s">
        <v>398</v>
      </c>
      <c r="E90" t="s">
        <v>157</v>
      </c>
      <c r="F90" t="s">
        <v>55</v>
      </c>
      <c r="G90" t="s">
        <v>6</v>
      </c>
      <c r="H90" t="s">
        <v>79</v>
      </c>
      <c r="I90" t="s">
        <v>80</v>
      </c>
      <c r="J90" t="s">
        <v>58</v>
      </c>
      <c r="K90" t="s">
        <v>174</v>
      </c>
      <c r="L90" t="s">
        <v>399</v>
      </c>
      <c r="M90" t="s">
        <v>75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50</v>
      </c>
      <c r="U90" t="s">
        <v>51</v>
      </c>
    </row>
    <row r="91" spans="1:21" x14ac:dyDescent="0.3">
      <c r="A91" t="s">
        <v>400</v>
      </c>
      <c r="B91" s="3">
        <v>45540</v>
      </c>
      <c r="C91" s="3">
        <v>45540</v>
      </c>
      <c r="D91" t="s">
        <v>401</v>
      </c>
      <c r="E91" t="s">
        <v>284</v>
      </c>
      <c r="F91" t="s">
        <v>42</v>
      </c>
      <c r="G91" t="s">
        <v>5</v>
      </c>
      <c r="H91" t="s">
        <v>99</v>
      </c>
      <c r="I91" t="s">
        <v>100</v>
      </c>
      <c r="J91" t="s">
        <v>58</v>
      </c>
      <c r="K91" t="s">
        <v>174</v>
      </c>
      <c r="L91" t="s">
        <v>402</v>
      </c>
      <c r="M91" t="s">
        <v>75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127</v>
      </c>
      <c r="U91" t="s">
        <v>83</v>
      </c>
    </row>
    <row r="92" spans="1:21" x14ac:dyDescent="0.3">
      <c r="A92" t="s">
        <v>403</v>
      </c>
      <c r="B92" s="3"/>
      <c r="C92" s="3">
        <v>45898</v>
      </c>
      <c r="D92" t="s">
        <v>404</v>
      </c>
      <c r="E92" t="s">
        <v>144</v>
      </c>
      <c r="F92" t="s">
        <v>55</v>
      </c>
      <c r="G92" t="s">
        <v>4</v>
      </c>
      <c r="H92" t="s">
        <v>161</v>
      </c>
      <c r="I92" t="s">
        <v>162</v>
      </c>
      <c r="J92" t="s">
        <v>89</v>
      </c>
      <c r="K92" t="s">
        <v>95</v>
      </c>
      <c r="L92" t="s">
        <v>405</v>
      </c>
      <c r="M92" t="s">
        <v>67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50</v>
      </c>
      <c r="U92" t="s">
        <v>51</v>
      </c>
    </row>
    <row r="93" spans="1:21" x14ac:dyDescent="0.3">
      <c r="A93" t="s">
        <v>406</v>
      </c>
      <c r="B93" s="3">
        <v>45718</v>
      </c>
      <c r="C93" s="3">
        <v>45872</v>
      </c>
      <c r="D93" t="s">
        <v>407</v>
      </c>
      <c r="E93" t="s">
        <v>148</v>
      </c>
      <c r="F93" t="s">
        <v>105</v>
      </c>
      <c r="G93" t="s">
        <v>6</v>
      </c>
      <c r="H93" t="s">
        <v>87</v>
      </c>
      <c r="I93" t="s">
        <v>88</v>
      </c>
      <c r="J93" t="s">
        <v>89</v>
      </c>
      <c r="K93" t="s">
        <v>95</v>
      </c>
      <c r="L93" t="s">
        <v>408</v>
      </c>
      <c r="M93" t="s">
        <v>49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50</v>
      </c>
      <c r="U93" t="s">
        <v>51</v>
      </c>
    </row>
    <row r="94" spans="1:21" x14ac:dyDescent="0.3">
      <c r="A94" t="s">
        <v>409</v>
      </c>
      <c r="B94" s="3">
        <v>45680</v>
      </c>
      <c r="C94" s="3"/>
      <c r="D94" t="s">
        <v>410</v>
      </c>
      <c r="E94" t="s">
        <v>144</v>
      </c>
      <c r="F94" t="s">
        <v>42</v>
      </c>
      <c r="G94" t="s">
        <v>6</v>
      </c>
      <c r="H94" t="s">
        <v>87</v>
      </c>
      <c r="I94" t="s">
        <v>88</v>
      </c>
      <c r="J94" t="s">
        <v>46</v>
      </c>
      <c r="K94" t="s">
        <v>47</v>
      </c>
      <c r="L94" t="s">
        <v>411</v>
      </c>
      <c r="M94" t="s">
        <v>75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50</v>
      </c>
      <c r="U94" t="s">
        <v>51</v>
      </c>
    </row>
    <row r="95" spans="1:21" x14ac:dyDescent="0.3">
      <c r="A95" t="s">
        <v>412</v>
      </c>
      <c r="B95" s="3">
        <v>45474</v>
      </c>
      <c r="C95" s="3">
        <v>45304</v>
      </c>
      <c r="D95" t="s">
        <v>413</v>
      </c>
      <c r="E95" t="s">
        <v>157</v>
      </c>
      <c r="F95" t="s">
        <v>105</v>
      </c>
      <c r="G95" t="s">
        <v>3</v>
      </c>
      <c r="H95" t="s">
        <v>152</v>
      </c>
      <c r="I95" t="s">
        <v>153</v>
      </c>
      <c r="J95" t="s">
        <v>46</v>
      </c>
      <c r="K95" t="s">
        <v>169</v>
      </c>
      <c r="L95" t="s">
        <v>414</v>
      </c>
      <c r="M95" t="s">
        <v>75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50</v>
      </c>
      <c r="U95" t="s">
        <v>51</v>
      </c>
    </row>
    <row r="96" spans="1:21" x14ac:dyDescent="0.3">
      <c r="A96" t="s">
        <v>415</v>
      </c>
      <c r="B96" s="3">
        <v>45452</v>
      </c>
      <c r="C96" s="3">
        <v>45544</v>
      </c>
      <c r="D96" t="s">
        <v>416</v>
      </c>
      <c r="E96" t="s">
        <v>178</v>
      </c>
      <c r="F96" t="s">
        <v>42</v>
      </c>
      <c r="G96" t="s">
        <v>3</v>
      </c>
      <c r="H96" t="s">
        <v>254</v>
      </c>
      <c r="I96" t="s">
        <v>255</v>
      </c>
      <c r="J96" t="s">
        <v>89</v>
      </c>
      <c r="K96" t="s">
        <v>187</v>
      </c>
      <c r="L96" t="s">
        <v>417</v>
      </c>
      <c r="M96" t="s">
        <v>49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127</v>
      </c>
      <c r="U96" t="s">
        <v>83</v>
      </c>
    </row>
    <row r="97" spans="1:21" x14ac:dyDescent="0.3">
      <c r="A97" t="s">
        <v>418</v>
      </c>
      <c r="B97" s="3">
        <v>45905</v>
      </c>
      <c r="C97" s="3">
        <v>45939</v>
      </c>
      <c r="D97" t="s">
        <v>419</v>
      </c>
      <c r="E97" t="s">
        <v>148</v>
      </c>
      <c r="F97" t="s">
        <v>105</v>
      </c>
      <c r="G97" t="s">
        <v>6</v>
      </c>
      <c r="H97" t="s">
        <v>207</v>
      </c>
      <c r="I97" t="s">
        <v>208</v>
      </c>
      <c r="J97" t="s">
        <v>58</v>
      </c>
      <c r="K97" t="s">
        <v>174</v>
      </c>
      <c r="L97" t="s">
        <v>420</v>
      </c>
      <c r="M97" t="s">
        <v>61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50</v>
      </c>
      <c r="U97" t="s">
        <v>51</v>
      </c>
    </row>
    <row r="98" spans="1:21" x14ac:dyDescent="0.3">
      <c r="A98" t="s">
        <v>421</v>
      </c>
      <c r="B98" s="3">
        <v>45448</v>
      </c>
      <c r="C98" s="3">
        <v>45450</v>
      </c>
      <c r="D98" t="s">
        <v>422</v>
      </c>
      <c r="E98" t="s">
        <v>134</v>
      </c>
      <c r="F98" t="s">
        <v>110</v>
      </c>
      <c r="G98" t="s">
        <v>4</v>
      </c>
      <c r="H98" t="s">
        <v>56</v>
      </c>
      <c r="I98" t="s">
        <v>57</v>
      </c>
      <c r="J98" t="s">
        <v>89</v>
      </c>
      <c r="K98" t="s">
        <v>95</v>
      </c>
      <c r="L98" t="s">
        <v>423</v>
      </c>
      <c r="M98" t="s">
        <v>49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50</v>
      </c>
      <c r="U98" t="s">
        <v>51</v>
      </c>
    </row>
    <row r="99" spans="1:21" x14ac:dyDescent="0.3">
      <c r="A99" t="s">
        <v>424</v>
      </c>
      <c r="B99" s="3">
        <v>45877</v>
      </c>
      <c r="C99" s="3">
        <v>45880</v>
      </c>
      <c r="D99" t="s">
        <v>425</v>
      </c>
      <c r="E99" t="s">
        <v>178</v>
      </c>
      <c r="F99" t="s">
        <v>55</v>
      </c>
      <c r="G99" t="s">
        <v>6</v>
      </c>
      <c r="H99" t="s">
        <v>197</v>
      </c>
      <c r="I99" t="s">
        <v>198</v>
      </c>
      <c r="J99" t="s">
        <v>46</v>
      </c>
      <c r="K99" t="s">
        <v>140</v>
      </c>
      <c r="L99" t="s">
        <v>426</v>
      </c>
      <c r="M99" t="s">
        <v>61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127</v>
      </c>
      <c r="U99" t="s">
        <v>118</v>
      </c>
    </row>
    <row r="100" spans="1:21" x14ac:dyDescent="0.3">
      <c r="A100" t="s">
        <v>427</v>
      </c>
      <c r="B100" s="3">
        <v>45317</v>
      </c>
      <c r="C100" s="3">
        <v>45293</v>
      </c>
      <c r="D100" t="s">
        <v>428</v>
      </c>
      <c r="E100" t="s">
        <v>157</v>
      </c>
      <c r="F100" t="s">
        <v>110</v>
      </c>
      <c r="G100" t="s">
        <v>5</v>
      </c>
      <c r="H100" t="s">
        <v>202</v>
      </c>
      <c r="I100" t="s">
        <v>203</v>
      </c>
      <c r="J100" t="s">
        <v>89</v>
      </c>
      <c r="K100" t="s">
        <v>95</v>
      </c>
      <c r="L100" t="s">
        <v>429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50</v>
      </c>
      <c r="U100" t="s">
        <v>51</v>
      </c>
    </row>
    <row r="101" spans="1:21" x14ac:dyDescent="0.3">
      <c r="A101" t="s">
        <v>430</v>
      </c>
      <c r="B101" s="3">
        <v>45668</v>
      </c>
      <c r="C101" s="3">
        <v>45668</v>
      </c>
      <c r="D101" t="s">
        <v>431</v>
      </c>
      <c r="E101" t="s">
        <v>104</v>
      </c>
      <c r="F101" t="s">
        <v>55</v>
      </c>
      <c r="G101" t="s">
        <v>6</v>
      </c>
      <c r="H101" t="s">
        <v>44</v>
      </c>
      <c r="I101" t="s">
        <v>125</v>
      </c>
      <c r="J101" t="s">
        <v>89</v>
      </c>
      <c r="K101" t="s">
        <v>90</v>
      </c>
      <c r="L101" t="s">
        <v>432</v>
      </c>
      <c r="M101" t="s">
        <v>61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50</v>
      </c>
      <c r="U101" t="s">
        <v>51</v>
      </c>
    </row>
    <row r="102" spans="1:21" x14ac:dyDescent="0.3">
      <c r="A102" t="s">
        <v>433</v>
      </c>
      <c r="B102" s="3">
        <v>45912</v>
      </c>
      <c r="C102" s="3">
        <v>45918</v>
      </c>
      <c r="D102" t="s">
        <v>434</v>
      </c>
      <c r="E102" t="s">
        <v>144</v>
      </c>
      <c r="F102" t="s">
        <v>110</v>
      </c>
      <c r="G102" t="s">
        <v>5</v>
      </c>
      <c r="H102" t="s">
        <v>202</v>
      </c>
      <c r="I102" t="s">
        <v>203</v>
      </c>
      <c r="J102" t="s">
        <v>46</v>
      </c>
      <c r="K102" t="s">
        <v>140</v>
      </c>
      <c r="L102" t="s">
        <v>435</v>
      </c>
      <c r="M102" t="s">
        <v>75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50</v>
      </c>
      <c r="U102" t="s">
        <v>51</v>
      </c>
    </row>
    <row r="103" spans="1:21" x14ac:dyDescent="0.3">
      <c r="A103" t="s">
        <v>436</v>
      </c>
      <c r="B103" s="3"/>
      <c r="C103" s="3">
        <v>45469</v>
      </c>
      <c r="D103" t="s">
        <v>437</v>
      </c>
      <c r="E103" t="s">
        <v>157</v>
      </c>
      <c r="F103" t="s">
        <v>438</v>
      </c>
      <c r="G103" t="s">
        <v>4</v>
      </c>
      <c r="H103" t="s">
        <v>161</v>
      </c>
      <c r="I103" t="s">
        <v>162</v>
      </c>
      <c r="J103" t="s">
        <v>58</v>
      </c>
      <c r="K103" t="s">
        <v>73</v>
      </c>
      <c r="L103" t="s">
        <v>439</v>
      </c>
      <c r="M103" t="s">
        <v>67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50</v>
      </c>
      <c r="U103" t="s">
        <v>51</v>
      </c>
    </row>
    <row r="104" spans="1:21" x14ac:dyDescent="0.3">
      <c r="A104" t="s">
        <v>440</v>
      </c>
      <c r="B104" s="3">
        <v>45850</v>
      </c>
      <c r="C104" s="3">
        <v>45854</v>
      </c>
      <c r="D104" t="s">
        <v>441</v>
      </c>
      <c r="E104" t="s">
        <v>86</v>
      </c>
      <c r="F104" t="s">
        <v>42</v>
      </c>
      <c r="G104" t="s">
        <v>5</v>
      </c>
      <c r="H104" t="s">
        <v>192</v>
      </c>
      <c r="I104" t="s">
        <v>193</v>
      </c>
      <c r="J104" t="s">
        <v>58</v>
      </c>
      <c r="K104" t="s">
        <v>81</v>
      </c>
      <c r="L104" t="s">
        <v>442</v>
      </c>
      <c r="M104" t="s">
        <v>67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117</v>
      </c>
      <c r="U104" t="s">
        <v>83</v>
      </c>
    </row>
    <row r="105" spans="1:21" x14ac:dyDescent="0.3">
      <c r="A105" t="s">
        <v>443</v>
      </c>
      <c r="B105" s="3">
        <v>45693</v>
      </c>
      <c r="C105" s="3">
        <v>45935</v>
      </c>
      <c r="D105" t="s">
        <v>444</v>
      </c>
      <c r="E105" t="s">
        <v>284</v>
      </c>
      <c r="F105" t="s">
        <v>105</v>
      </c>
      <c r="G105" t="s">
        <v>6</v>
      </c>
      <c r="H105" t="s">
        <v>79</v>
      </c>
      <c r="I105" t="s">
        <v>80</v>
      </c>
      <c r="J105" t="s">
        <v>58</v>
      </c>
      <c r="K105" t="s">
        <v>59</v>
      </c>
      <c r="L105" t="s">
        <v>445</v>
      </c>
      <c r="M105" t="s">
        <v>67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50</v>
      </c>
      <c r="U105" t="s">
        <v>51</v>
      </c>
    </row>
    <row r="106" spans="1:21" x14ac:dyDescent="0.3">
      <c r="A106" t="s">
        <v>446</v>
      </c>
      <c r="B106" s="3">
        <v>45689</v>
      </c>
      <c r="C106" s="3">
        <v>45871</v>
      </c>
      <c r="D106" t="s">
        <v>447</v>
      </c>
      <c r="E106" t="s">
        <v>78</v>
      </c>
      <c r="F106" t="s">
        <v>42</v>
      </c>
      <c r="G106" t="s">
        <v>5</v>
      </c>
      <c r="H106" t="s">
        <v>192</v>
      </c>
      <c r="I106" t="s">
        <v>193</v>
      </c>
      <c r="J106" t="s">
        <v>46</v>
      </c>
      <c r="K106" t="s">
        <v>106</v>
      </c>
      <c r="L106" t="s">
        <v>448</v>
      </c>
      <c r="M106" t="s">
        <v>61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50</v>
      </c>
      <c r="U106" t="s">
        <v>83</v>
      </c>
    </row>
    <row r="107" spans="1:21" x14ac:dyDescent="0.3">
      <c r="A107" t="s">
        <v>449</v>
      </c>
      <c r="B107" s="3"/>
      <c r="C107" s="3">
        <v>45472</v>
      </c>
      <c r="D107" t="s">
        <v>450</v>
      </c>
      <c r="E107" t="s">
        <v>54</v>
      </c>
      <c r="F107" t="s">
        <v>110</v>
      </c>
      <c r="G107" t="s">
        <v>4</v>
      </c>
      <c r="H107" t="s">
        <v>114</v>
      </c>
      <c r="I107" t="s">
        <v>115</v>
      </c>
      <c r="J107" t="s">
        <v>58</v>
      </c>
      <c r="K107" t="s">
        <v>59</v>
      </c>
      <c r="L107" t="s">
        <v>451</v>
      </c>
      <c r="M107" t="s">
        <v>49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50</v>
      </c>
      <c r="U107" t="s">
        <v>51</v>
      </c>
    </row>
    <row r="108" spans="1:21" x14ac:dyDescent="0.3">
      <c r="A108" t="s">
        <v>452</v>
      </c>
      <c r="B108" s="3">
        <v>45342</v>
      </c>
      <c r="C108" s="3">
        <v>45350</v>
      </c>
      <c r="D108" t="s">
        <v>453</v>
      </c>
      <c r="E108" t="s">
        <v>70</v>
      </c>
      <c r="F108" t="s">
        <v>110</v>
      </c>
      <c r="G108" t="s">
        <v>4</v>
      </c>
      <c r="H108" t="s">
        <v>114</v>
      </c>
      <c r="I108" t="s">
        <v>115</v>
      </c>
      <c r="J108" t="s">
        <v>46</v>
      </c>
      <c r="K108" t="s">
        <v>47</v>
      </c>
      <c r="L108" t="s">
        <v>454</v>
      </c>
      <c r="M108" t="s">
        <v>75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50</v>
      </c>
      <c r="U108" t="s">
        <v>83</v>
      </c>
    </row>
    <row r="109" spans="1:21" x14ac:dyDescent="0.3">
      <c r="A109" t="s">
        <v>455</v>
      </c>
      <c r="B109" s="3">
        <v>45594</v>
      </c>
      <c r="C109" s="3">
        <v>45600</v>
      </c>
      <c r="D109" t="s">
        <v>456</v>
      </c>
      <c r="E109" t="s">
        <v>157</v>
      </c>
      <c r="F109" t="s">
        <v>110</v>
      </c>
      <c r="G109" t="s">
        <v>4</v>
      </c>
      <c r="H109" t="s">
        <v>114</v>
      </c>
      <c r="I109" t="s">
        <v>115</v>
      </c>
      <c r="J109" t="s">
        <v>58</v>
      </c>
      <c r="K109" t="s">
        <v>73</v>
      </c>
      <c r="L109" t="s">
        <v>457</v>
      </c>
      <c r="M109" t="s">
        <v>67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50</v>
      </c>
      <c r="U109" t="s">
        <v>51</v>
      </c>
    </row>
    <row r="110" spans="1:21" x14ac:dyDescent="0.3">
      <c r="A110" t="s">
        <v>458</v>
      </c>
      <c r="B110" s="3">
        <v>45519</v>
      </c>
      <c r="C110" s="3"/>
      <c r="D110" t="s">
        <v>459</v>
      </c>
      <c r="E110" t="s">
        <v>104</v>
      </c>
      <c r="F110" t="s">
        <v>55</v>
      </c>
      <c r="G110" t="s">
        <v>4</v>
      </c>
      <c r="H110" t="s">
        <v>56</v>
      </c>
      <c r="I110" t="s">
        <v>57</v>
      </c>
      <c r="J110" t="s">
        <v>58</v>
      </c>
      <c r="K110" t="s">
        <v>174</v>
      </c>
      <c r="L110" t="s">
        <v>460</v>
      </c>
      <c r="M110" t="s">
        <v>61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50</v>
      </c>
      <c r="U110" t="s">
        <v>51</v>
      </c>
    </row>
    <row r="111" spans="1:21" x14ac:dyDescent="0.3">
      <c r="A111" t="s">
        <v>461</v>
      </c>
      <c r="B111" s="3">
        <v>45892</v>
      </c>
      <c r="C111" s="3"/>
      <c r="D111" t="s">
        <v>462</v>
      </c>
      <c r="E111" t="s">
        <v>148</v>
      </c>
      <c r="F111" t="s">
        <v>42</v>
      </c>
      <c r="G111" t="s">
        <v>3</v>
      </c>
      <c r="H111" t="s">
        <v>372</v>
      </c>
      <c r="I111" t="s">
        <v>373</v>
      </c>
      <c r="J111" t="s">
        <v>46</v>
      </c>
      <c r="K111" t="s">
        <v>169</v>
      </c>
      <c r="L111" t="s">
        <v>463</v>
      </c>
      <c r="M111" t="s">
        <v>49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50</v>
      </c>
      <c r="U111" t="s">
        <v>51</v>
      </c>
    </row>
    <row r="112" spans="1:21" x14ac:dyDescent="0.3">
      <c r="A112" t="s">
        <v>464</v>
      </c>
      <c r="B112" s="3"/>
      <c r="C112" s="3">
        <v>45589</v>
      </c>
      <c r="D112" t="s">
        <v>465</v>
      </c>
      <c r="E112" t="s">
        <v>86</v>
      </c>
      <c r="F112" t="s">
        <v>105</v>
      </c>
      <c r="G112" t="s">
        <v>5</v>
      </c>
      <c r="H112" t="s">
        <v>202</v>
      </c>
      <c r="I112" t="s">
        <v>203</v>
      </c>
      <c r="J112" t="s">
        <v>46</v>
      </c>
      <c r="K112" t="s">
        <v>106</v>
      </c>
      <c r="L112" t="s">
        <v>466</v>
      </c>
      <c r="M112" t="s">
        <v>67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117</v>
      </c>
      <c r="U112" t="s">
        <v>83</v>
      </c>
    </row>
    <row r="113" spans="1:21" x14ac:dyDescent="0.3">
      <c r="A113" t="s">
        <v>467</v>
      </c>
      <c r="B113" s="3"/>
      <c r="C113" s="3">
        <v>45838</v>
      </c>
      <c r="D113" t="s">
        <v>468</v>
      </c>
      <c r="E113" t="s">
        <v>94</v>
      </c>
      <c r="F113" t="s">
        <v>105</v>
      </c>
      <c r="G113" t="s">
        <v>4</v>
      </c>
      <c r="H113" t="s">
        <v>161</v>
      </c>
      <c r="I113" t="s">
        <v>162</v>
      </c>
      <c r="J113" t="s">
        <v>89</v>
      </c>
      <c r="K113" t="s">
        <v>90</v>
      </c>
      <c r="L113" t="s">
        <v>469</v>
      </c>
      <c r="M113" t="s">
        <v>67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127</v>
      </c>
      <c r="U113" t="s">
        <v>83</v>
      </c>
    </row>
    <row r="114" spans="1:21" x14ac:dyDescent="0.3">
      <c r="A114" t="s">
        <v>470</v>
      </c>
      <c r="B114" s="3">
        <v>45301</v>
      </c>
      <c r="C114" s="3">
        <v>45305</v>
      </c>
      <c r="D114" t="s">
        <v>471</v>
      </c>
      <c r="E114" t="s">
        <v>148</v>
      </c>
      <c r="F114" t="s">
        <v>472</v>
      </c>
      <c r="H114" t="s">
        <v>197</v>
      </c>
      <c r="I114" t="s">
        <v>198</v>
      </c>
      <c r="J114" t="s">
        <v>89</v>
      </c>
      <c r="K114" t="s">
        <v>90</v>
      </c>
      <c r="L114" t="s">
        <v>473</v>
      </c>
      <c r="M114" t="s">
        <v>75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50</v>
      </c>
      <c r="U114" t="s">
        <v>51</v>
      </c>
    </row>
    <row r="115" spans="1:21" x14ac:dyDescent="0.3">
      <c r="A115" t="s">
        <v>474</v>
      </c>
      <c r="B115" s="3">
        <v>45334</v>
      </c>
      <c r="C115" s="3">
        <v>45334</v>
      </c>
      <c r="D115" t="s">
        <v>382</v>
      </c>
      <c r="E115" t="s">
        <v>64</v>
      </c>
      <c r="F115" t="s">
        <v>110</v>
      </c>
      <c r="G115" t="s">
        <v>5</v>
      </c>
      <c r="H115" t="s">
        <v>265</v>
      </c>
      <c r="I115" t="s">
        <v>266</v>
      </c>
      <c r="J115" t="s">
        <v>58</v>
      </c>
      <c r="K115" t="s">
        <v>59</v>
      </c>
      <c r="L115" t="s">
        <v>475</v>
      </c>
      <c r="M115" t="s">
        <v>75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50</v>
      </c>
      <c r="U115" t="s">
        <v>51</v>
      </c>
    </row>
    <row r="116" spans="1:21" x14ac:dyDescent="0.3">
      <c r="A116" t="s">
        <v>476</v>
      </c>
      <c r="B116" s="3">
        <v>45560</v>
      </c>
      <c r="C116" s="3">
        <v>45565</v>
      </c>
      <c r="D116" t="s">
        <v>477</v>
      </c>
      <c r="E116" t="s">
        <v>94</v>
      </c>
      <c r="F116" t="s">
        <v>55</v>
      </c>
      <c r="G116" t="s">
        <v>3</v>
      </c>
      <c r="H116" t="s">
        <v>44</v>
      </c>
      <c r="I116" t="s">
        <v>45</v>
      </c>
      <c r="J116" t="s">
        <v>89</v>
      </c>
      <c r="K116" t="s">
        <v>90</v>
      </c>
      <c r="L116" t="s">
        <v>478</v>
      </c>
      <c r="M116" t="s">
        <v>49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127</v>
      </c>
      <c r="U116" t="s">
        <v>83</v>
      </c>
    </row>
    <row r="117" spans="1:21" x14ac:dyDescent="0.3">
      <c r="A117" t="s">
        <v>479</v>
      </c>
      <c r="B117" s="3">
        <v>45653</v>
      </c>
      <c r="C117" s="3">
        <v>45658</v>
      </c>
      <c r="D117" t="s">
        <v>480</v>
      </c>
      <c r="E117" t="s">
        <v>284</v>
      </c>
      <c r="F117" t="s">
        <v>105</v>
      </c>
      <c r="G117" t="s">
        <v>5</v>
      </c>
      <c r="H117" t="s">
        <v>265</v>
      </c>
      <c r="I117" t="s">
        <v>266</v>
      </c>
      <c r="J117" t="s">
        <v>46</v>
      </c>
      <c r="K117" t="s">
        <v>169</v>
      </c>
      <c r="L117" t="s">
        <v>481</v>
      </c>
      <c r="M117" t="s">
        <v>61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50</v>
      </c>
      <c r="U117" t="s">
        <v>83</v>
      </c>
    </row>
    <row r="118" spans="1:21" x14ac:dyDescent="0.3">
      <c r="A118" t="s">
        <v>482</v>
      </c>
      <c r="B118" s="3">
        <v>45703</v>
      </c>
      <c r="C118" s="3">
        <v>45707</v>
      </c>
      <c r="D118" t="s">
        <v>483</v>
      </c>
      <c r="E118" t="s">
        <v>78</v>
      </c>
      <c r="F118" t="s">
        <v>55</v>
      </c>
      <c r="H118" t="s">
        <v>87</v>
      </c>
      <c r="I118" t="s">
        <v>88</v>
      </c>
      <c r="J118" t="s">
        <v>46</v>
      </c>
      <c r="K118" t="s">
        <v>169</v>
      </c>
      <c r="L118" t="s">
        <v>484</v>
      </c>
      <c r="M118" t="s">
        <v>67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171</v>
      </c>
      <c r="U118" t="s">
        <v>83</v>
      </c>
    </row>
    <row r="119" spans="1:21" x14ac:dyDescent="0.3">
      <c r="A119" t="s">
        <v>485</v>
      </c>
      <c r="B119" s="3">
        <v>45337</v>
      </c>
      <c r="C119" s="3">
        <v>45339</v>
      </c>
      <c r="D119" t="s">
        <v>486</v>
      </c>
      <c r="E119" t="s">
        <v>54</v>
      </c>
      <c r="F119" t="s">
        <v>110</v>
      </c>
      <c r="G119" t="s">
        <v>5</v>
      </c>
      <c r="H119" t="s">
        <v>265</v>
      </c>
      <c r="I119" t="s">
        <v>266</v>
      </c>
      <c r="J119" t="s">
        <v>89</v>
      </c>
      <c r="K119" t="s">
        <v>294</v>
      </c>
      <c r="L119" t="s">
        <v>487</v>
      </c>
      <c r="M119" t="s">
        <v>75</v>
      </c>
      <c r="N119">
        <v>9</v>
      </c>
      <c r="O119">
        <v>3324.55</v>
      </c>
      <c r="P119">
        <v>0.7</v>
      </c>
      <c r="Q119">
        <v>25432.81</v>
      </c>
      <c r="R119">
        <v>20370.16</v>
      </c>
      <c r="S119">
        <v>5062.6499999999996</v>
      </c>
      <c r="T119" t="s">
        <v>50</v>
      </c>
      <c r="U119" t="s">
        <v>51</v>
      </c>
    </row>
    <row r="120" spans="1:21" x14ac:dyDescent="0.3">
      <c r="A120" t="s">
        <v>488</v>
      </c>
      <c r="B120" s="3">
        <v>45571</v>
      </c>
      <c r="C120" s="3">
        <v>45461</v>
      </c>
      <c r="D120" t="s">
        <v>489</v>
      </c>
      <c r="E120" t="s">
        <v>490</v>
      </c>
      <c r="F120" t="s">
        <v>110</v>
      </c>
      <c r="G120" t="s">
        <v>5</v>
      </c>
      <c r="H120" t="s">
        <v>99</v>
      </c>
      <c r="I120" t="s">
        <v>100</v>
      </c>
      <c r="J120" t="s">
        <v>89</v>
      </c>
      <c r="K120" t="s">
        <v>95</v>
      </c>
      <c r="L120" t="s">
        <v>491</v>
      </c>
      <c r="M120" t="s">
        <v>61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50</v>
      </c>
      <c r="U120" t="s">
        <v>51</v>
      </c>
    </row>
    <row r="121" spans="1:21" x14ac:dyDescent="0.3">
      <c r="A121" t="s">
        <v>492</v>
      </c>
      <c r="B121" s="3">
        <v>45455</v>
      </c>
      <c r="C121" s="3">
        <v>45462</v>
      </c>
      <c r="D121" t="s">
        <v>493</v>
      </c>
      <c r="E121" t="s">
        <v>104</v>
      </c>
      <c r="F121" t="s">
        <v>494</v>
      </c>
      <c r="G121" t="s">
        <v>5</v>
      </c>
      <c r="H121" t="s">
        <v>202</v>
      </c>
      <c r="I121" t="s">
        <v>203</v>
      </c>
      <c r="J121" t="s">
        <v>58</v>
      </c>
      <c r="K121" t="s">
        <v>81</v>
      </c>
      <c r="L121" t="s">
        <v>495</v>
      </c>
      <c r="M121" t="s">
        <v>75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117</v>
      </c>
      <c r="U121" t="s">
        <v>118</v>
      </c>
    </row>
    <row r="122" spans="1:21" x14ac:dyDescent="0.3">
      <c r="A122" t="s">
        <v>496</v>
      </c>
      <c r="B122" s="3">
        <v>45514</v>
      </c>
      <c r="C122" s="3">
        <v>45522</v>
      </c>
      <c r="D122" t="s">
        <v>497</v>
      </c>
      <c r="E122" t="s">
        <v>148</v>
      </c>
      <c r="F122" t="s">
        <v>55</v>
      </c>
      <c r="G122" t="s">
        <v>4</v>
      </c>
      <c r="H122" t="s">
        <v>161</v>
      </c>
      <c r="I122" t="s">
        <v>162</v>
      </c>
      <c r="J122" t="s">
        <v>89</v>
      </c>
      <c r="K122" t="s">
        <v>187</v>
      </c>
      <c r="L122" t="s">
        <v>498</v>
      </c>
      <c r="M122" t="s">
        <v>75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50</v>
      </c>
      <c r="U122" t="s">
        <v>118</v>
      </c>
    </row>
    <row r="123" spans="1:21" x14ac:dyDescent="0.3">
      <c r="A123" t="s">
        <v>499</v>
      </c>
      <c r="B123" s="3"/>
      <c r="C123" s="3"/>
      <c r="D123" t="s">
        <v>500</v>
      </c>
      <c r="E123" t="s">
        <v>284</v>
      </c>
      <c r="F123" t="s">
        <v>501</v>
      </c>
      <c r="G123" t="s">
        <v>5</v>
      </c>
      <c r="H123" t="s">
        <v>99</v>
      </c>
      <c r="I123" t="s">
        <v>100</v>
      </c>
      <c r="J123" t="s">
        <v>89</v>
      </c>
      <c r="K123" t="s">
        <v>294</v>
      </c>
      <c r="L123" t="s">
        <v>502</v>
      </c>
      <c r="M123" t="s">
        <v>49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117</v>
      </c>
      <c r="U123" t="s">
        <v>83</v>
      </c>
    </row>
    <row r="124" spans="1:21" x14ac:dyDescent="0.3">
      <c r="A124" t="s">
        <v>503</v>
      </c>
      <c r="B124" s="3"/>
      <c r="C124" s="3">
        <v>45630</v>
      </c>
      <c r="D124" t="s">
        <v>504</v>
      </c>
      <c r="E124" t="s">
        <v>78</v>
      </c>
      <c r="F124" t="s">
        <v>55</v>
      </c>
      <c r="G124" t="s">
        <v>4</v>
      </c>
      <c r="H124" t="s">
        <v>182</v>
      </c>
      <c r="I124" t="s">
        <v>183</v>
      </c>
      <c r="J124" t="s">
        <v>58</v>
      </c>
      <c r="K124" t="s">
        <v>81</v>
      </c>
      <c r="L124" t="s">
        <v>505</v>
      </c>
      <c r="M124" t="s">
        <v>49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50</v>
      </c>
      <c r="U124" t="s">
        <v>51</v>
      </c>
    </row>
    <row r="125" spans="1:21" x14ac:dyDescent="0.3">
      <c r="A125" t="s">
        <v>506</v>
      </c>
      <c r="B125" s="3"/>
      <c r="C125" s="3">
        <v>45437</v>
      </c>
      <c r="D125" t="s">
        <v>507</v>
      </c>
      <c r="E125" t="s">
        <v>148</v>
      </c>
      <c r="F125" t="s">
        <v>55</v>
      </c>
      <c r="G125" t="s">
        <v>7</v>
      </c>
      <c r="H125" t="s">
        <v>138</v>
      </c>
      <c r="I125" t="s">
        <v>139</v>
      </c>
      <c r="J125" t="s">
        <v>89</v>
      </c>
      <c r="K125" t="s">
        <v>95</v>
      </c>
      <c r="L125" t="s">
        <v>508</v>
      </c>
      <c r="M125" t="s">
        <v>61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117</v>
      </c>
      <c r="U125" t="s">
        <v>83</v>
      </c>
    </row>
    <row r="126" spans="1:21" x14ac:dyDescent="0.3">
      <c r="A126" t="s">
        <v>509</v>
      </c>
      <c r="B126" s="3">
        <v>45494</v>
      </c>
      <c r="C126" s="3"/>
      <c r="D126" t="s">
        <v>510</v>
      </c>
      <c r="E126" t="s">
        <v>64</v>
      </c>
      <c r="F126" t="s">
        <v>105</v>
      </c>
      <c r="G126" t="s">
        <v>5</v>
      </c>
      <c r="H126" t="s">
        <v>192</v>
      </c>
      <c r="I126" t="s">
        <v>193</v>
      </c>
      <c r="J126" t="s">
        <v>89</v>
      </c>
      <c r="K126" t="s">
        <v>95</v>
      </c>
      <c r="L126" t="s">
        <v>511</v>
      </c>
      <c r="M126" t="s">
        <v>75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50</v>
      </c>
      <c r="U126" t="s">
        <v>512</v>
      </c>
    </row>
    <row r="127" spans="1:21" x14ac:dyDescent="0.3">
      <c r="A127" t="s">
        <v>513</v>
      </c>
      <c r="B127" s="3">
        <v>45855</v>
      </c>
      <c r="C127" s="3">
        <v>45856</v>
      </c>
      <c r="D127" t="s">
        <v>514</v>
      </c>
      <c r="E127" t="s">
        <v>94</v>
      </c>
      <c r="F127" t="s">
        <v>55</v>
      </c>
      <c r="G127" t="s">
        <v>6</v>
      </c>
      <c r="H127" t="s">
        <v>44</v>
      </c>
      <c r="I127" t="s">
        <v>125</v>
      </c>
      <c r="J127" t="s">
        <v>58</v>
      </c>
      <c r="K127" t="s">
        <v>59</v>
      </c>
      <c r="L127" t="s">
        <v>515</v>
      </c>
      <c r="M127" t="s">
        <v>61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117</v>
      </c>
      <c r="U127" t="s">
        <v>118</v>
      </c>
    </row>
    <row r="128" spans="1:21" x14ac:dyDescent="0.3">
      <c r="A128" t="s">
        <v>516</v>
      </c>
      <c r="B128" s="3">
        <v>45924</v>
      </c>
      <c r="C128" s="3">
        <v>45926</v>
      </c>
      <c r="D128" t="s">
        <v>517</v>
      </c>
      <c r="E128" t="s">
        <v>130</v>
      </c>
      <c r="F128" t="s">
        <v>105</v>
      </c>
      <c r="G128" t="s">
        <v>3</v>
      </c>
      <c r="H128" t="s">
        <v>372</v>
      </c>
      <c r="I128" t="s">
        <v>373</v>
      </c>
      <c r="J128" t="s">
        <v>89</v>
      </c>
      <c r="K128" t="s">
        <v>95</v>
      </c>
      <c r="L128" t="s">
        <v>518</v>
      </c>
      <c r="M128" t="s">
        <v>75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50</v>
      </c>
      <c r="U128" t="s">
        <v>51</v>
      </c>
    </row>
    <row r="129" spans="1:21" x14ac:dyDescent="0.3">
      <c r="A129" t="s">
        <v>519</v>
      </c>
      <c r="B129" s="3"/>
      <c r="C129" s="3">
        <v>45683</v>
      </c>
      <c r="D129" t="s">
        <v>520</v>
      </c>
      <c r="E129" t="s">
        <v>130</v>
      </c>
      <c r="F129" t="s">
        <v>105</v>
      </c>
      <c r="G129" t="s">
        <v>6</v>
      </c>
      <c r="H129" t="s">
        <v>87</v>
      </c>
      <c r="I129" t="s">
        <v>88</v>
      </c>
      <c r="J129" t="s">
        <v>46</v>
      </c>
      <c r="K129" t="s">
        <v>140</v>
      </c>
      <c r="L129" t="s">
        <v>521</v>
      </c>
      <c r="M129" t="s">
        <v>49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50</v>
      </c>
      <c r="U129" t="s">
        <v>51</v>
      </c>
    </row>
    <row r="130" spans="1:21" x14ac:dyDescent="0.3">
      <c r="A130" t="s">
        <v>522</v>
      </c>
      <c r="B130" s="3">
        <v>45639</v>
      </c>
      <c r="C130" s="3">
        <v>45642</v>
      </c>
      <c r="D130" t="s">
        <v>523</v>
      </c>
      <c r="E130" t="s">
        <v>94</v>
      </c>
      <c r="F130" t="s">
        <v>55</v>
      </c>
      <c r="G130" t="s">
        <v>4</v>
      </c>
      <c r="H130" t="s">
        <v>56</v>
      </c>
      <c r="I130" t="s">
        <v>57</v>
      </c>
      <c r="J130" t="s">
        <v>58</v>
      </c>
      <c r="K130" t="s">
        <v>73</v>
      </c>
      <c r="L130" t="s">
        <v>524</v>
      </c>
      <c r="M130" t="s">
        <v>75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50</v>
      </c>
      <c r="U130" t="s">
        <v>118</v>
      </c>
    </row>
    <row r="131" spans="1:21" x14ac:dyDescent="0.3">
      <c r="A131" t="s">
        <v>525</v>
      </c>
      <c r="B131" s="3">
        <v>45492</v>
      </c>
      <c r="C131" s="3">
        <v>45498</v>
      </c>
      <c r="D131" t="s">
        <v>526</v>
      </c>
      <c r="E131" t="s">
        <v>64</v>
      </c>
      <c r="F131" t="s">
        <v>55</v>
      </c>
      <c r="G131" t="s">
        <v>6</v>
      </c>
      <c r="H131" t="s">
        <v>207</v>
      </c>
      <c r="I131" t="s">
        <v>208</v>
      </c>
      <c r="J131" t="s">
        <v>46</v>
      </c>
      <c r="K131" t="s">
        <v>169</v>
      </c>
      <c r="L131" t="s">
        <v>527</v>
      </c>
      <c r="M131" t="s">
        <v>75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50</v>
      </c>
      <c r="U131" t="s">
        <v>51</v>
      </c>
    </row>
    <row r="132" spans="1:21" x14ac:dyDescent="0.3">
      <c r="A132" t="s">
        <v>528</v>
      </c>
      <c r="B132" s="3">
        <v>45318</v>
      </c>
      <c r="C132" s="3">
        <v>45324</v>
      </c>
      <c r="D132" t="s">
        <v>529</v>
      </c>
      <c r="E132" t="s">
        <v>70</v>
      </c>
      <c r="F132" t="s">
        <v>42</v>
      </c>
      <c r="G132" t="s">
        <v>6</v>
      </c>
      <c r="H132" t="s">
        <v>197</v>
      </c>
      <c r="I132" t="s">
        <v>198</v>
      </c>
      <c r="J132" t="s">
        <v>46</v>
      </c>
      <c r="K132" t="s">
        <v>106</v>
      </c>
      <c r="L132" t="s">
        <v>530</v>
      </c>
      <c r="M132" t="s">
        <v>61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127</v>
      </c>
      <c r="U132" t="s">
        <v>83</v>
      </c>
    </row>
    <row r="133" spans="1:21" x14ac:dyDescent="0.3">
      <c r="A133" t="s">
        <v>531</v>
      </c>
      <c r="B133" s="3"/>
      <c r="C133" s="3">
        <v>45934</v>
      </c>
      <c r="D133" t="s">
        <v>532</v>
      </c>
      <c r="E133" t="s">
        <v>78</v>
      </c>
      <c r="F133" t="s">
        <v>110</v>
      </c>
      <c r="G133" t="s">
        <v>4</v>
      </c>
      <c r="H133" t="s">
        <v>246</v>
      </c>
      <c r="I133" t="s">
        <v>247</v>
      </c>
      <c r="J133" t="s">
        <v>46</v>
      </c>
      <c r="K133" t="s">
        <v>47</v>
      </c>
      <c r="L133" t="s">
        <v>533</v>
      </c>
      <c r="M133" t="s">
        <v>61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50</v>
      </c>
      <c r="U133" t="s">
        <v>51</v>
      </c>
    </row>
    <row r="134" spans="1:21" x14ac:dyDescent="0.3">
      <c r="A134" t="s">
        <v>534</v>
      </c>
      <c r="B134" s="3">
        <v>45600</v>
      </c>
      <c r="C134" s="3">
        <v>45600</v>
      </c>
      <c r="D134" t="s">
        <v>535</v>
      </c>
      <c r="E134" t="s">
        <v>284</v>
      </c>
      <c r="F134" t="s">
        <v>105</v>
      </c>
      <c r="G134" t="s">
        <v>4</v>
      </c>
      <c r="H134" t="s">
        <v>182</v>
      </c>
      <c r="I134" t="s">
        <v>183</v>
      </c>
      <c r="J134" t="s">
        <v>89</v>
      </c>
      <c r="K134" t="s">
        <v>294</v>
      </c>
      <c r="L134" t="s">
        <v>536</v>
      </c>
      <c r="M134" t="s">
        <v>67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171</v>
      </c>
      <c r="U134" t="s">
        <v>83</v>
      </c>
    </row>
    <row r="135" spans="1:21" x14ac:dyDescent="0.3">
      <c r="A135" t="s">
        <v>537</v>
      </c>
      <c r="B135" s="3">
        <v>45639</v>
      </c>
      <c r="C135" s="3"/>
      <c r="D135" t="s">
        <v>538</v>
      </c>
      <c r="E135" t="s">
        <v>41</v>
      </c>
      <c r="F135" t="s">
        <v>42</v>
      </c>
      <c r="G135" t="s">
        <v>6</v>
      </c>
      <c r="H135" t="s">
        <v>207</v>
      </c>
      <c r="I135" t="s">
        <v>208</v>
      </c>
      <c r="J135" t="s">
        <v>89</v>
      </c>
      <c r="K135" t="s">
        <v>187</v>
      </c>
      <c r="L135" t="s">
        <v>539</v>
      </c>
      <c r="M135" t="s">
        <v>49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50</v>
      </c>
      <c r="U135" t="s">
        <v>51</v>
      </c>
    </row>
    <row r="136" spans="1:21" x14ac:dyDescent="0.3">
      <c r="A136" t="s">
        <v>540</v>
      </c>
      <c r="B136" s="3"/>
      <c r="C136" s="3">
        <v>45852</v>
      </c>
      <c r="D136" t="s">
        <v>541</v>
      </c>
      <c r="E136" t="s">
        <v>86</v>
      </c>
      <c r="F136" t="s">
        <v>110</v>
      </c>
      <c r="G136" t="s">
        <v>4</v>
      </c>
      <c r="H136" t="s">
        <v>114</v>
      </c>
      <c r="I136" t="s">
        <v>115</v>
      </c>
      <c r="J136" t="s">
        <v>58</v>
      </c>
      <c r="K136" t="s">
        <v>174</v>
      </c>
      <c r="L136" t="s">
        <v>542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127</v>
      </c>
      <c r="U136" t="s">
        <v>83</v>
      </c>
    </row>
    <row r="137" spans="1:21" x14ac:dyDescent="0.3">
      <c r="A137" t="s">
        <v>543</v>
      </c>
      <c r="B137" s="3">
        <v>45893</v>
      </c>
      <c r="C137" s="3">
        <v>45893</v>
      </c>
      <c r="D137" t="s">
        <v>544</v>
      </c>
      <c r="E137" t="s">
        <v>178</v>
      </c>
      <c r="F137" t="s">
        <v>55</v>
      </c>
      <c r="G137" t="s">
        <v>5</v>
      </c>
      <c r="H137" t="s">
        <v>202</v>
      </c>
      <c r="I137" t="s">
        <v>203</v>
      </c>
      <c r="J137" t="s">
        <v>545</v>
      </c>
      <c r="K137" t="s">
        <v>174</v>
      </c>
      <c r="L137" t="s">
        <v>546</v>
      </c>
      <c r="M137" t="s">
        <v>75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50</v>
      </c>
      <c r="U137" t="s">
        <v>51</v>
      </c>
    </row>
    <row r="138" spans="1:21" x14ac:dyDescent="0.3">
      <c r="A138" t="s">
        <v>547</v>
      </c>
      <c r="B138" s="3">
        <v>45697</v>
      </c>
      <c r="C138" s="3">
        <v>45703</v>
      </c>
      <c r="D138" t="s">
        <v>548</v>
      </c>
      <c r="E138" t="s">
        <v>54</v>
      </c>
      <c r="F138" t="s">
        <v>110</v>
      </c>
      <c r="G138" t="s">
        <v>4</v>
      </c>
      <c r="H138" t="s">
        <v>246</v>
      </c>
      <c r="I138" t="s">
        <v>247</v>
      </c>
      <c r="J138" t="s">
        <v>46</v>
      </c>
      <c r="K138" t="s">
        <v>169</v>
      </c>
      <c r="L138" t="s">
        <v>549</v>
      </c>
      <c r="M138" t="s">
        <v>550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50</v>
      </c>
      <c r="U138" t="s">
        <v>51</v>
      </c>
    </row>
    <row r="139" spans="1:21" x14ac:dyDescent="0.3">
      <c r="A139" t="s">
        <v>551</v>
      </c>
      <c r="B139" s="3">
        <v>45901</v>
      </c>
      <c r="C139" s="3">
        <v>45666</v>
      </c>
      <c r="D139" t="s">
        <v>552</v>
      </c>
      <c r="E139" t="s">
        <v>148</v>
      </c>
      <c r="F139" t="s">
        <v>55</v>
      </c>
      <c r="G139" t="s">
        <v>3</v>
      </c>
      <c r="H139" t="s">
        <v>44</v>
      </c>
      <c r="I139" t="s">
        <v>45</v>
      </c>
      <c r="J139" t="s">
        <v>58</v>
      </c>
      <c r="K139" t="s">
        <v>81</v>
      </c>
      <c r="L139" t="s">
        <v>553</v>
      </c>
      <c r="M139" t="s">
        <v>61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50</v>
      </c>
      <c r="U139" t="s">
        <v>51</v>
      </c>
    </row>
    <row r="140" spans="1:21" x14ac:dyDescent="0.3">
      <c r="A140" t="s">
        <v>554</v>
      </c>
      <c r="B140" s="3">
        <v>45311</v>
      </c>
      <c r="C140" s="3">
        <v>45317</v>
      </c>
      <c r="D140" t="s">
        <v>555</v>
      </c>
      <c r="E140" t="s">
        <v>178</v>
      </c>
      <c r="F140" t="s">
        <v>110</v>
      </c>
      <c r="G140" t="s">
        <v>4</v>
      </c>
      <c r="H140" t="s">
        <v>246</v>
      </c>
      <c r="I140" t="s">
        <v>247</v>
      </c>
      <c r="J140" t="s">
        <v>89</v>
      </c>
      <c r="K140" t="s">
        <v>294</v>
      </c>
      <c r="L140" t="s">
        <v>556</v>
      </c>
      <c r="M140" t="s">
        <v>75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50</v>
      </c>
      <c r="U140" t="s">
        <v>51</v>
      </c>
    </row>
    <row r="141" spans="1:21" x14ac:dyDescent="0.3">
      <c r="A141" t="s">
        <v>557</v>
      </c>
      <c r="B141" s="3">
        <v>45691</v>
      </c>
      <c r="C141" s="3">
        <v>45723</v>
      </c>
      <c r="D141" t="s">
        <v>558</v>
      </c>
      <c r="E141" t="s">
        <v>94</v>
      </c>
      <c r="F141" t="s">
        <v>110</v>
      </c>
      <c r="G141" t="s">
        <v>5</v>
      </c>
      <c r="H141" t="s">
        <v>192</v>
      </c>
      <c r="I141" t="s">
        <v>193</v>
      </c>
      <c r="J141" t="s">
        <v>46</v>
      </c>
      <c r="K141" t="s">
        <v>106</v>
      </c>
      <c r="L141" t="s">
        <v>559</v>
      </c>
      <c r="M141" t="s">
        <v>75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50</v>
      </c>
      <c r="U141" t="s">
        <v>51</v>
      </c>
    </row>
    <row r="142" spans="1:21" x14ac:dyDescent="0.3">
      <c r="A142" t="s">
        <v>560</v>
      </c>
      <c r="B142" s="3">
        <v>45443</v>
      </c>
      <c r="C142" s="3">
        <v>45444</v>
      </c>
      <c r="D142" t="s">
        <v>561</v>
      </c>
      <c r="E142" t="s">
        <v>54</v>
      </c>
      <c r="F142" t="s">
        <v>105</v>
      </c>
      <c r="G142" t="s">
        <v>5</v>
      </c>
      <c r="H142" t="s">
        <v>192</v>
      </c>
      <c r="I142" t="s">
        <v>193</v>
      </c>
      <c r="J142" t="s">
        <v>58</v>
      </c>
      <c r="K142" t="s">
        <v>174</v>
      </c>
      <c r="L142" t="s">
        <v>562</v>
      </c>
      <c r="M142" t="s">
        <v>61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50</v>
      </c>
      <c r="U142" t="s">
        <v>51</v>
      </c>
    </row>
    <row r="143" spans="1:21" x14ac:dyDescent="0.3">
      <c r="A143" t="s">
        <v>563</v>
      </c>
      <c r="B143" s="3"/>
      <c r="C143" s="3">
        <v>45380</v>
      </c>
      <c r="D143" t="s">
        <v>564</v>
      </c>
      <c r="E143" t="s">
        <v>130</v>
      </c>
      <c r="F143" t="s">
        <v>105</v>
      </c>
      <c r="G143" t="s">
        <v>3</v>
      </c>
      <c r="H143" t="s">
        <v>372</v>
      </c>
      <c r="I143" t="s">
        <v>373</v>
      </c>
      <c r="J143" t="s">
        <v>58</v>
      </c>
      <c r="K143" t="s">
        <v>174</v>
      </c>
      <c r="L143" t="s">
        <v>565</v>
      </c>
      <c r="M143" t="s">
        <v>61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50</v>
      </c>
      <c r="U143" t="s">
        <v>118</v>
      </c>
    </row>
    <row r="144" spans="1:21" x14ac:dyDescent="0.3">
      <c r="A144" t="s">
        <v>566</v>
      </c>
      <c r="B144" s="3">
        <v>45381</v>
      </c>
      <c r="C144" s="3">
        <v>45377</v>
      </c>
      <c r="D144" t="s">
        <v>567</v>
      </c>
      <c r="E144" t="s">
        <v>104</v>
      </c>
      <c r="F144" t="s">
        <v>110</v>
      </c>
      <c r="G144" t="s">
        <v>3</v>
      </c>
      <c r="H144" t="s">
        <v>44</v>
      </c>
      <c r="I144" t="s">
        <v>45</v>
      </c>
      <c r="J144" t="s">
        <v>89</v>
      </c>
      <c r="K144" t="s">
        <v>187</v>
      </c>
      <c r="L144" t="s">
        <v>568</v>
      </c>
      <c r="M144" t="s">
        <v>49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50</v>
      </c>
      <c r="U144" t="s">
        <v>51</v>
      </c>
    </row>
    <row r="145" spans="1:21" x14ac:dyDescent="0.3">
      <c r="A145" t="s">
        <v>569</v>
      </c>
      <c r="B145" s="3"/>
      <c r="C145" s="3">
        <v>45377</v>
      </c>
      <c r="D145" t="s">
        <v>570</v>
      </c>
      <c r="E145" t="s">
        <v>130</v>
      </c>
      <c r="F145" t="s">
        <v>42</v>
      </c>
      <c r="G145" t="s">
        <v>6</v>
      </c>
      <c r="H145" t="s">
        <v>197</v>
      </c>
      <c r="I145" t="s">
        <v>198</v>
      </c>
      <c r="J145" t="s">
        <v>46</v>
      </c>
      <c r="K145" t="s">
        <v>47</v>
      </c>
      <c r="L145" t="s">
        <v>571</v>
      </c>
      <c r="M145" t="s">
        <v>49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50</v>
      </c>
      <c r="U145" t="s">
        <v>118</v>
      </c>
    </row>
    <row r="146" spans="1:21" x14ac:dyDescent="0.3">
      <c r="A146" t="s">
        <v>572</v>
      </c>
      <c r="B146" s="3">
        <v>45450</v>
      </c>
      <c r="C146" s="3">
        <v>45458</v>
      </c>
      <c r="D146" t="s">
        <v>573</v>
      </c>
      <c r="E146" t="s">
        <v>284</v>
      </c>
      <c r="F146" t="s">
        <v>55</v>
      </c>
      <c r="G146" t="s">
        <v>5</v>
      </c>
      <c r="H146" t="s">
        <v>71</v>
      </c>
      <c r="I146" t="s">
        <v>72</v>
      </c>
      <c r="J146" t="s">
        <v>89</v>
      </c>
      <c r="K146" t="s">
        <v>90</v>
      </c>
      <c r="L146" t="s">
        <v>574</v>
      </c>
      <c r="M146" t="s">
        <v>67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117</v>
      </c>
      <c r="U146" t="s">
        <v>118</v>
      </c>
    </row>
    <row r="147" spans="1:21" x14ac:dyDescent="0.3">
      <c r="A147" t="s">
        <v>575</v>
      </c>
      <c r="B147" s="3">
        <v>45758</v>
      </c>
      <c r="C147" s="3"/>
      <c r="D147" t="s">
        <v>576</v>
      </c>
      <c r="E147" t="s">
        <v>54</v>
      </c>
      <c r="F147" t="s">
        <v>55</v>
      </c>
      <c r="G147" t="s">
        <v>6</v>
      </c>
      <c r="H147" t="s">
        <v>207</v>
      </c>
      <c r="I147" t="s">
        <v>208</v>
      </c>
      <c r="J147" t="s">
        <v>46</v>
      </c>
      <c r="K147" t="s">
        <v>47</v>
      </c>
      <c r="L147" t="s">
        <v>577</v>
      </c>
      <c r="M147" t="s">
        <v>75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50</v>
      </c>
      <c r="U147" t="s">
        <v>51</v>
      </c>
    </row>
    <row r="148" spans="1:21" x14ac:dyDescent="0.3">
      <c r="A148" t="s">
        <v>578</v>
      </c>
      <c r="B148" s="3">
        <v>45868</v>
      </c>
      <c r="C148" s="3">
        <v>45665</v>
      </c>
      <c r="D148" t="s">
        <v>579</v>
      </c>
      <c r="E148" t="s">
        <v>148</v>
      </c>
      <c r="F148" t="s">
        <v>55</v>
      </c>
      <c r="G148" t="s">
        <v>5</v>
      </c>
      <c r="H148" t="s">
        <v>265</v>
      </c>
      <c r="I148" t="s">
        <v>266</v>
      </c>
      <c r="J148" t="s">
        <v>46</v>
      </c>
      <c r="K148" t="s">
        <v>140</v>
      </c>
      <c r="L148" t="s">
        <v>580</v>
      </c>
      <c r="M148" t="s">
        <v>61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50</v>
      </c>
      <c r="U148" t="s">
        <v>51</v>
      </c>
    </row>
    <row r="149" spans="1:21" x14ac:dyDescent="0.3">
      <c r="A149" t="s">
        <v>581</v>
      </c>
      <c r="B149" s="3">
        <v>45649</v>
      </c>
      <c r="C149" s="3">
        <v>45656</v>
      </c>
      <c r="D149" t="s">
        <v>582</v>
      </c>
      <c r="E149" t="s">
        <v>130</v>
      </c>
      <c r="F149" t="s">
        <v>110</v>
      </c>
      <c r="G149" t="s">
        <v>6</v>
      </c>
      <c r="H149" t="s">
        <v>207</v>
      </c>
      <c r="I149" t="s">
        <v>208</v>
      </c>
      <c r="J149" t="s">
        <v>58</v>
      </c>
      <c r="K149" t="s">
        <v>73</v>
      </c>
      <c r="L149" t="s">
        <v>583</v>
      </c>
      <c r="M149" t="s">
        <v>67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50</v>
      </c>
      <c r="U149" t="s">
        <v>51</v>
      </c>
    </row>
    <row r="150" spans="1:21" x14ac:dyDescent="0.3">
      <c r="A150" t="s">
        <v>584</v>
      </c>
      <c r="B150" s="3">
        <v>45697</v>
      </c>
      <c r="C150" s="3">
        <v>45701</v>
      </c>
      <c r="D150" t="s">
        <v>585</v>
      </c>
      <c r="E150" t="s">
        <v>54</v>
      </c>
      <c r="F150" t="s">
        <v>110</v>
      </c>
      <c r="G150" t="s">
        <v>6</v>
      </c>
      <c r="H150" t="s">
        <v>87</v>
      </c>
      <c r="I150" t="s">
        <v>88</v>
      </c>
      <c r="J150" t="s">
        <v>89</v>
      </c>
      <c r="K150" t="s">
        <v>187</v>
      </c>
      <c r="L150" t="s">
        <v>586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50</v>
      </c>
      <c r="U150" t="s">
        <v>51</v>
      </c>
    </row>
    <row r="151" spans="1:21" x14ac:dyDescent="0.3">
      <c r="A151" t="s">
        <v>587</v>
      </c>
      <c r="B151" s="3">
        <v>45321</v>
      </c>
      <c r="C151" s="3">
        <v>45321</v>
      </c>
      <c r="D151" t="s">
        <v>588</v>
      </c>
      <c r="E151" t="s">
        <v>144</v>
      </c>
      <c r="F151" t="s">
        <v>55</v>
      </c>
      <c r="G151" t="s">
        <v>8</v>
      </c>
      <c r="H151" t="s">
        <v>44</v>
      </c>
      <c r="I151" t="s">
        <v>125</v>
      </c>
      <c r="J151" t="s">
        <v>89</v>
      </c>
      <c r="K151" t="s">
        <v>95</v>
      </c>
      <c r="L151" t="s">
        <v>589</v>
      </c>
      <c r="M151" t="s">
        <v>61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50</v>
      </c>
      <c r="U151" t="s">
        <v>51</v>
      </c>
    </row>
    <row r="152" spans="1:21" x14ac:dyDescent="0.3">
      <c r="A152" t="s">
        <v>590</v>
      </c>
      <c r="B152" s="3">
        <v>45355</v>
      </c>
      <c r="C152" s="3">
        <v>45363</v>
      </c>
      <c r="D152" t="s">
        <v>591</v>
      </c>
      <c r="E152" t="s">
        <v>70</v>
      </c>
      <c r="F152" t="s">
        <v>42</v>
      </c>
      <c r="H152" t="s">
        <v>197</v>
      </c>
      <c r="I152" t="s">
        <v>198</v>
      </c>
      <c r="J152" t="s">
        <v>58</v>
      </c>
      <c r="K152" t="s">
        <v>174</v>
      </c>
      <c r="L152" t="s">
        <v>592</v>
      </c>
      <c r="M152" t="s">
        <v>67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50</v>
      </c>
      <c r="U152" t="s">
        <v>51</v>
      </c>
    </row>
    <row r="153" spans="1:21" x14ac:dyDescent="0.3">
      <c r="A153" t="s">
        <v>593</v>
      </c>
      <c r="B153" s="3">
        <v>45470</v>
      </c>
      <c r="C153" s="3"/>
      <c r="D153" t="s">
        <v>594</v>
      </c>
      <c r="E153" t="s">
        <v>94</v>
      </c>
      <c r="F153" t="s">
        <v>110</v>
      </c>
      <c r="H153" t="s">
        <v>87</v>
      </c>
      <c r="I153" t="s">
        <v>88</v>
      </c>
      <c r="J153" t="s">
        <v>89</v>
      </c>
      <c r="K153" t="s">
        <v>95</v>
      </c>
      <c r="L153" t="s">
        <v>595</v>
      </c>
      <c r="M153" t="s">
        <v>75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127</v>
      </c>
      <c r="U153" t="s">
        <v>118</v>
      </c>
    </row>
    <row r="154" spans="1:21" x14ac:dyDescent="0.3">
      <c r="A154" t="s">
        <v>596</v>
      </c>
      <c r="B154" s="3">
        <v>45457</v>
      </c>
      <c r="C154" s="3"/>
      <c r="D154" t="s">
        <v>597</v>
      </c>
      <c r="E154" t="s">
        <v>284</v>
      </c>
      <c r="F154" t="s">
        <v>55</v>
      </c>
      <c r="G154" t="s">
        <v>5</v>
      </c>
      <c r="H154" t="s">
        <v>202</v>
      </c>
      <c r="I154" t="s">
        <v>203</v>
      </c>
      <c r="J154" t="s">
        <v>58</v>
      </c>
      <c r="K154" t="s">
        <v>59</v>
      </c>
      <c r="L154" t="s">
        <v>598</v>
      </c>
      <c r="M154" t="s">
        <v>49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127</v>
      </c>
      <c r="U154" t="s">
        <v>118</v>
      </c>
    </row>
    <row r="155" spans="1:21" x14ac:dyDescent="0.3">
      <c r="A155" t="s">
        <v>599</v>
      </c>
      <c r="B155" s="3">
        <v>45923</v>
      </c>
      <c r="C155" s="3">
        <v>45925</v>
      </c>
      <c r="D155" t="s">
        <v>600</v>
      </c>
      <c r="E155" t="s">
        <v>104</v>
      </c>
      <c r="F155" t="s">
        <v>42</v>
      </c>
      <c r="G155" t="s">
        <v>4</v>
      </c>
      <c r="H155" t="s">
        <v>56</v>
      </c>
      <c r="I155" t="s">
        <v>57</v>
      </c>
      <c r="J155" t="s">
        <v>46</v>
      </c>
      <c r="K155" t="s">
        <v>106</v>
      </c>
      <c r="L155" t="s">
        <v>601</v>
      </c>
      <c r="M155" t="s">
        <v>75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117</v>
      </c>
      <c r="U155" t="s">
        <v>118</v>
      </c>
    </row>
    <row r="156" spans="1:21" x14ac:dyDescent="0.3">
      <c r="A156" t="s">
        <v>602</v>
      </c>
      <c r="B156" s="3">
        <v>45334</v>
      </c>
      <c r="C156" s="3">
        <v>45598</v>
      </c>
      <c r="D156" t="s">
        <v>480</v>
      </c>
      <c r="E156" t="s">
        <v>130</v>
      </c>
      <c r="F156" t="s">
        <v>42</v>
      </c>
      <c r="G156" t="s">
        <v>5</v>
      </c>
      <c r="H156" t="s">
        <v>265</v>
      </c>
      <c r="I156" t="s">
        <v>266</v>
      </c>
      <c r="J156" t="s">
        <v>58</v>
      </c>
      <c r="K156" t="s">
        <v>174</v>
      </c>
      <c r="L156" t="s">
        <v>603</v>
      </c>
      <c r="M156" t="s">
        <v>61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50</v>
      </c>
      <c r="U156" t="s">
        <v>51</v>
      </c>
    </row>
    <row r="157" spans="1:21" x14ac:dyDescent="0.3">
      <c r="A157" t="s">
        <v>604</v>
      </c>
      <c r="B157" s="3"/>
      <c r="C157" s="3">
        <v>45691</v>
      </c>
      <c r="D157" t="s">
        <v>605</v>
      </c>
      <c r="E157" t="s">
        <v>41</v>
      </c>
      <c r="F157" t="s">
        <v>105</v>
      </c>
      <c r="G157" t="s">
        <v>6</v>
      </c>
      <c r="H157" t="s">
        <v>44</v>
      </c>
      <c r="I157" t="s">
        <v>125</v>
      </c>
      <c r="J157" t="s">
        <v>58</v>
      </c>
      <c r="K157" t="s">
        <v>73</v>
      </c>
      <c r="L157" t="s">
        <v>606</v>
      </c>
      <c r="M157" t="s">
        <v>61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117</v>
      </c>
      <c r="U157" t="s">
        <v>118</v>
      </c>
    </row>
    <row r="158" spans="1:21" x14ac:dyDescent="0.3">
      <c r="A158" t="s">
        <v>607</v>
      </c>
      <c r="B158" s="3">
        <v>45743</v>
      </c>
      <c r="C158" s="3">
        <v>45743</v>
      </c>
      <c r="D158" t="s">
        <v>608</v>
      </c>
      <c r="E158" t="s">
        <v>86</v>
      </c>
      <c r="F158" t="s">
        <v>55</v>
      </c>
      <c r="G158" t="s">
        <v>4</v>
      </c>
      <c r="H158" t="s">
        <v>161</v>
      </c>
      <c r="I158" t="s">
        <v>162</v>
      </c>
      <c r="J158" t="s">
        <v>89</v>
      </c>
      <c r="K158" t="s">
        <v>294</v>
      </c>
      <c r="L158" t="s">
        <v>609</v>
      </c>
      <c r="M158" t="s">
        <v>49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50</v>
      </c>
      <c r="U158" t="s">
        <v>512</v>
      </c>
    </row>
    <row r="159" spans="1:21" x14ac:dyDescent="0.3">
      <c r="A159" t="s">
        <v>610</v>
      </c>
      <c r="B159" s="3"/>
      <c r="C159" s="3">
        <v>45589</v>
      </c>
      <c r="D159" t="s">
        <v>611</v>
      </c>
      <c r="E159" t="s">
        <v>157</v>
      </c>
      <c r="F159" t="s">
        <v>55</v>
      </c>
      <c r="G159" t="s">
        <v>5</v>
      </c>
      <c r="H159" t="s">
        <v>99</v>
      </c>
      <c r="I159" t="s">
        <v>100</v>
      </c>
      <c r="J159" t="s">
        <v>58</v>
      </c>
      <c r="K159" t="s">
        <v>174</v>
      </c>
      <c r="L159" t="s">
        <v>612</v>
      </c>
      <c r="M159" t="s">
        <v>75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50</v>
      </c>
      <c r="U159" t="s">
        <v>51</v>
      </c>
    </row>
    <row r="160" spans="1:21" x14ac:dyDescent="0.3">
      <c r="A160" t="s">
        <v>613</v>
      </c>
      <c r="B160" s="3">
        <v>45544</v>
      </c>
      <c r="C160" s="3">
        <v>45605</v>
      </c>
      <c r="D160" t="s">
        <v>614</v>
      </c>
      <c r="E160" t="s">
        <v>94</v>
      </c>
      <c r="F160" t="s">
        <v>110</v>
      </c>
      <c r="G160" t="s">
        <v>5</v>
      </c>
      <c r="H160" t="s">
        <v>71</v>
      </c>
      <c r="I160" t="s">
        <v>72</v>
      </c>
      <c r="J160" t="s">
        <v>58</v>
      </c>
      <c r="K160" t="s">
        <v>174</v>
      </c>
      <c r="L160" t="s">
        <v>615</v>
      </c>
      <c r="M160" t="s">
        <v>67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50</v>
      </c>
      <c r="U160" t="s">
        <v>51</v>
      </c>
    </row>
    <row r="161" spans="1:21" x14ac:dyDescent="0.3">
      <c r="A161" t="s">
        <v>616</v>
      </c>
      <c r="B161" s="3">
        <v>45687</v>
      </c>
      <c r="C161" s="3">
        <v>45692</v>
      </c>
      <c r="D161" t="s">
        <v>617</v>
      </c>
      <c r="E161" t="s">
        <v>130</v>
      </c>
      <c r="F161" t="s">
        <v>105</v>
      </c>
      <c r="G161" t="s">
        <v>3</v>
      </c>
      <c r="H161" t="s">
        <v>254</v>
      </c>
      <c r="I161" t="s">
        <v>255</v>
      </c>
      <c r="J161" t="s">
        <v>58</v>
      </c>
      <c r="K161" t="s">
        <v>81</v>
      </c>
      <c r="L161" t="s">
        <v>618</v>
      </c>
      <c r="M161" t="s">
        <v>61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127</v>
      </c>
      <c r="U161" t="s">
        <v>83</v>
      </c>
    </row>
    <row r="162" spans="1:21" x14ac:dyDescent="0.3">
      <c r="A162" t="s">
        <v>619</v>
      </c>
      <c r="B162" s="3">
        <v>45938</v>
      </c>
      <c r="C162" s="3">
        <v>45818</v>
      </c>
      <c r="D162" t="s">
        <v>620</v>
      </c>
      <c r="E162" t="s">
        <v>86</v>
      </c>
      <c r="F162" t="s">
        <v>55</v>
      </c>
      <c r="G162" t="s">
        <v>6</v>
      </c>
      <c r="H162" t="s">
        <v>79</v>
      </c>
      <c r="I162" t="s">
        <v>80</v>
      </c>
      <c r="J162" t="s">
        <v>46</v>
      </c>
      <c r="K162" t="s">
        <v>47</v>
      </c>
      <c r="L162" t="s">
        <v>621</v>
      </c>
      <c r="M162" t="s">
        <v>49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127</v>
      </c>
      <c r="U162" t="s">
        <v>83</v>
      </c>
    </row>
    <row r="163" spans="1:21" x14ac:dyDescent="0.3">
      <c r="A163" t="s">
        <v>622</v>
      </c>
      <c r="B163" s="3">
        <v>45862</v>
      </c>
      <c r="C163" s="3">
        <v>45868</v>
      </c>
      <c r="D163" t="s">
        <v>623</v>
      </c>
      <c r="E163" t="s">
        <v>70</v>
      </c>
      <c r="F163" t="s">
        <v>624</v>
      </c>
      <c r="G163" t="s">
        <v>6</v>
      </c>
      <c r="H163" t="s">
        <v>44</v>
      </c>
      <c r="I163" t="s">
        <v>125</v>
      </c>
      <c r="J163" t="s">
        <v>46</v>
      </c>
      <c r="K163" t="s">
        <v>169</v>
      </c>
      <c r="L163" t="s">
        <v>625</v>
      </c>
      <c r="M163" t="s">
        <v>75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127</v>
      </c>
      <c r="U163" t="s">
        <v>83</v>
      </c>
    </row>
    <row r="164" spans="1:21" x14ac:dyDescent="0.3">
      <c r="A164" t="s">
        <v>626</v>
      </c>
      <c r="B164" s="3">
        <v>45360</v>
      </c>
      <c r="C164" s="3">
        <v>45365</v>
      </c>
      <c r="D164" t="s">
        <v>627</v>
      </c>
      <c r="E164" t="s">
        <v>94</v>
      </c>
      <c r="F164" t="s">
        <v>55</v>
      </c>
      <c r="G164" t="s">
        <v>6</v>
      </c>
      <c r="H164" t="s">
        <v>207</v>
      </c>
      <c r="I164" t="s">
        <v>208</v>
      </c>
      <c r="J164" t="s">
        <v>58</v>
      </c>
      <c r="K164" t="s">
        <v>73</v>
      </c>
      <c r="L164" t="s">
        <v>628</v>
      </c>
      <c r="M164" t="s">
        <v>49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127</v>
      </c>
      <c r="U164" t="s">
        <v>118</v>
      </c>
    </row>
    <row r="165" spans="1:21" x14ac:dyDescent="0.3">
      <c r="A165" t="s">
        <v>629</v>
      </c>
      <c r="B165" s="3"/>
      <c r="C165" s="3">
        <v>45926</v>
      </c>
      <c r="D165" t="s">
        <v>630</v>
      </c>
      <c r="E165" t="s">
        <v>157</v>
      </c>
      <c r="F165" t="s">
        <v>110</v>
      </c>
      <c r="G165" t="s">
        <v>6</v>
      </c>
      <c r="H165" t="s">
        <v>197</v>
      </c>
      <c r="I165" t="s">
        <v>198</v>
      </c>
      <c r="J165" t="s">
        <v>58</v>
      </c>
      <c r="K165" t="s">
        <v>59</v>
      </c>
      <c r="L165" t="s">
        <v>631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127</v>
      </c>
      <c r="U165" t="s">
        <v>118</v>
      </c>
    </row>
    <row r="166" spans="1:21" x14ac:dyDescent="0.3">
      <c r="A166" t="s">
        <v>632</v>
      </c>
      <c r="B166" s="3">
        <v>45909</v>
      </c>
      <c r="C166" s="3"/>
      <c r="D166" t="s">
        <v>633</v>
      </c>
      <c r="E166" t="s">
        <v>134</v>
      </c>
      <c r="F166" t="s">
        <v>55</v>
      </c>
      <c r="G166" t="s">
        <v>4</v>
      </c>
      <c r="H166" t="s">
        <v>114</v>
      </c>
      <c r="I166" t="s">
        <v>115</v>
      </c>
      <c r="J166" t="s">
        <v>58</v>
      </c>
      <c r="K166" t="s">
        <v>174</v>
      </c>
      <c r="L166" t="s">
        <v>634</v>
      </c>
      <c r="M166" t="s">
        <v>49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50</v>
      </c>
      <c r="U166" t="s">
        <v>51</v>
      </c>
    </row>
    <row r="167" spans="1:21" x14ac:dyDescent="0.3">
      <c r="A167" t="s">
        <v>635</v>
      </c>
      <c r="B167" s="3"/>
      <c r="C167" s="3">
        <v>45625</v>
      </c>
      <c r="D167" t="s">
        <v>636</v>
      </c>
      <c r="E167" t="s">
        <v>54</v>
      </c>
      <c r="F167" t="s">
        <v>110</v>
      </c>
      <c r="G167" t="s">
        <v>4</v>
      </c>
      <c r="H167" t="s">
        <v>161</v>
      </c>
      <c r="I167" t="s">
        <v>162</v>
      </c>
      <c r="J167" t="s">
        <v>58</v>
      </c>
      <c r="K167" t="s">
        <v>81</v>
      </c>
      <c r="L167" t="s">
        <v>637</v>
      </c>
      <c r="M167" t="s">
        <v>75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50</v>
      </c>
      <c r="U167" t="s">
        <v>51</v>
      </c>
    </row>
    <row r="168" spans="1:21" x14ac:dyDescent="0.3">
      <c r="A168" t="s">
        <v>638</v>
      </c>
      <c r="B168" s="3">
        <v>45708</v>
      </c>
      <c r="C168" s="3">
        <v>45714</v>
      </c>
      <c r="D168" t="s">
        <v>639</v>
      </c>
      <c r="E168" t="s">
        <v>41</v>
      </c>
      <c r="F168" t="s">
        <v>55</v>
      </c>
      <c r="G168" t="s">
        <v>6</v>
      </c>
      <c r="H168" t="s">
        <v>197</v>
      </c>
      <c r="I168" t="s">
        <v>198</v>
      </c>
      <c r="J168" t="s">
        <v>640</v>
      </c>
      <c r="K168" t="s">
        <v>106</v>
      </c>
      <c r="L168" t="s">
        <v>641</v>
      </c>
      <c r="M168" t="s">
        <v>67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50</v>
      </c>
      <c r="U168" t="s">
        <v>51</v>
      </c>
    </row>
    <row r="169" spans="1:21" x14ac:dyDescent="0.3">
      <c r="A169" t="s">
        <v>642</v>
      </c>
      <c r="B169" s="3">
        <v>45887</v>
      </c>
      <c r="C169" s="3"/>
      <c r="D169" t="s">
        <v>643</v>
      </c>
      <c r="E169" t="s">
        <v>70</v>
      </c>
      <c r="F169" t="s">
        <v>110</v>
      </c>
      <c r="G169" t="s">
        <v>5</v>
      </c>
      <c r="H169" t="s">
        <v>192</v>
      </c>
      <c r="I169" t="s">
        <v>193</v>
      </c>
      <c r="J169" t="s">
        <v>46</v>
      </c>
      <c r="K169" t="s">
        <v>140</v>
      </c>
      <c r="L169" t="s">
        <v>644</v>
      </c>
      <c r="M169" t="s">
        <v>67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50</v>
      </c>
      <c r="U169" t="s">
        <v>118</v>
      </c>
    </row>
    <row r="170" spans="1:21" x14ac:dyDescent="0.3">
      <c r="A170" t="s">
        <v>645</v>
      </c>
      <c r="B170" s="3"/>
      <c r="C170" s="3">
        <v>45680</v>
      </c>
      <c r="D170" t="s">
        <v>646</v>
      </c>
      <c r="E170" t="s">
        <v>284</v>
      </c>
      <c r="F170" t="s">
        <v>42</v>
      </c>
      <c r="G170" t="s">
        <v>6</v>
      </c>
      <c r="H170" t="s">
        <v>79</v>
      </c>
      <c r="I170" t="s">
        <v>80</v>
      </c>
      <c r="J170" t="s">
        <v>89</v>
      </c>
      <c r="K170" t="s">
        <v>90</v>
      </c>
      <c r="L170" t="s">
        <v>647</v>
      </c>
      <c r="M170" t="s">
        <v>61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50</v>
      </c>
      <c r="U170" t="s">
        <v>83</v>
      </c>
    </row>
    <row r="171" spans="1:21" x14ac:dyDescent="0.3">
      <c r="A171" t="s">
        <v>648</v>
      </c>
      <c r="B171" s="3">
        <v>45913</v>
      </c>
      <c r="C171" s="3"/>
      <c r="D171" t="s">
        <v>649</v>
      </c>
      <c r="E171" t="s">
        <v>178</v>
      </c>
      <c r="F171" t="s">
        <v>42</v>
      </c>
      <c r="G171" t="s">
        <v>4</v>
      </c>
      <c r="H171" t="s">
        <v>182</v>
      </c>
      <c r="I171" t="s">
        <v>183</v>
      </c>
      <c r="J171" t="s">
        <v>46</v>
      </c>
      <c r="K171" t="s">
        <v>65</v>
      </c>
      <c r="L171" t="s">
        <v>650</v>
      </c>
      <c r="M171" t="s">
        <v>75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127</v>
      </c>
      <c r="U171" t="s">
        <v>118</v>
      </c>
    </row>
    <row r="172" spans="1:21" x14ac:dyDescent="0.3">
      <c r="A172" t="s">
        <v>651</v>
      </c>
      <c r="B172" s="3">
        <v>45907</v>
      </c>
      <c r="C172" s="3"/>
      <c r="D172" t="s">
        <v>652</v>
      </c>
      <c r="E172" t="s">
        <v>157</v>
      </c>
      <c r="F172" t="s">
        <v>105</v>
      </c>
      <c r="G172" t="s">
        <v>4</v>
      </c>
      <c r="H172" t="s">
        <v>161</v>
      </c>
      <c r="I172" t="s">
        <v>162</v>
      </c>
      <c r="J172" t="s">
        <v>89</v>
      </c>
      <c r="K172" t="s">
        <v>95</v>
      </c>
      <c r="L172" t="s">
        <v>653</v>
      </c>
      <c r="M172" t="s">
        <v>75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50</v>
      </c>
      <c r="U172" t="s">
        <v>51</v>
      </c>
    </row>
    <row r="173" spans="1:21" x14ac:dyDescent="0.3">
      <c r="A173" t="s">
        <v>654</v>
      </c>
      <c r="B173" s="3">
        <v>45711</v>
      </c>
      <c r="C173" s="3"/>
      <c r="D173" t="s">
        <v>655</v>
      </c>
      <c r="E173" t="s">
        <v>41</v>
      </c>
      <c r="F173" t="s">
        <v>105</v>
      </c>
      <c r="G173" t="s">
        <v>4</v>
      </c>
      <c r="H173" t="s">
        <v>161</v>
      </c>
      <c r="I173" t="s">
        <v>162</v>
      </c>
      <c r="J173" t="s">
        <v>46</v>
      </c>
      <c r="K173" t="s">
        <v>106</v>
      </c>
      <c r="L173" t="s">
        <v>656</v>
      </c>
      <c r="M173" t="s">
        <v>61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50</v>
      </c>
      <c r="U173" t="s">
        <v>51</v>
      </c>
    </row>
    <row r="174" spans="1:21" x14ac:dyDescent="0.3">
      <c r="A174" t="s">
        <v>657</v>
      </c>
      <c r="B174" s="3">
        <v>45871</v>
      </c>
      <c r="C174" s="3">
        <v>45879</v>
      </c>
      <c r="D174" t="s">
        <v>658</v>
      </c>
      <c r="E174" t="s">
        <v>41</v>
      </c>
      <c r="F174" t="s">
        <v>105</v>
      </c>
      <c r="G174" t="s">
        <v>3</v>
      </c>
      <c r="H174" t="s">
        <v>372</v>
      </c>
      <c r="I174" t="s">
        <v>373</v>
      </c>
      <c r="J174" t="s">
        <v>58</v>
      </c>
      <c r="K174" t="s">
        <v>73</v>
      </c>
      <c r="L174" t="s">
        <v>659</v>
      </c>
      <c r="M174" t="s">
        <v>61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117</v>
      </c>
      <c r="U174" t="s">
        <v>118</v>
      </c>
    </row>
    <row r="175" spans="1:21" x14ac:dyDescent="0.3">
      <c r="A175" t="s">
        <v>660</v>
      </c>
      <c r="B175" s="3">
        <v>45414</v>
      </c>
      <c r="C175" s="3">
        <v>45420</v>
      </c>
      <c r="D175" t="s">
        <v>661</v>
      </c>
      <c r="E175" t="s">
        <v>662</v>
      </c>
      <c r="F175" t="s">
        <v>110</v>
      </c>
      <c r="G175" t="s">
        <v>3</v>
      </c>
      <c r="H175" t="s">
        <v>138</v>
      </c>
      <c r="I175" t="s">
        <v>139</v>
      </c>
      <c r="J175" t="s">
        <v>89</v>
      </c>
      <c r="K175" t="s">
        <v>95</v>
      </c>
      <c r="L175" t="s">
        <v>663</v>
      </c>
      <c r="M175" t="s">
        <v>49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50</v>
      </c>
      <c r="U175" t="s">
        <v>51</v>
      </c>
    </row>
    <row r="176" spans="1:21" x14ac:dyDescent="0.3">
      <c r="A176" t="s">
        <v>664</v>
      </c>
      <c r="B176" s="3">
        <v>45928</v>
      </c>
      <c r="C176" s="3">
        <v>45934</v>
      </c>
      <c r="D176" t="s">
        <v>665</v>
      </c>
      <c r="E176" t="s">
        <v>41</v>
      </c>
      <c r="F176" t="s">
        <v>55</v>
      </c>
      <c r="G176" t="s">
        <v>5</v>
      </c>
      <c r="H176" t="s">
        <v>192</v>
      </c>
      <c r="I176" t="s">
        <v>193</v>
      </c>
      <c r="J176" t="s">
        <v>58</v>
      </c>
      <c r="K176" t="s">
        <v>174</v>
      </c>
      <c r="L176" t="s">
        <v>666</v>
      </c>
      <c r="M176" t="s">
        <v>67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127</v>
      </c>
      <c r="U176" t="s">
        <v>118</v>
      </c>
    </row>
    <row r="177" spans="1:21" x14ac:dyDescent="0.3">
      <c r="A177" t="s">
        <v>667</v>
      </c>
      <c r="B177" s="3">
        <v>45318</v>
      </c>
      <c r="C177" s="3">
        <v>45325</v>
      </c>
      <c r="D177" t="s">
        <v>668</v>
      </c>
      <c r="E177" t="s">
        <v>70</v>
      </c>
      <c r="F177" t="s">
        <v>55</v>
      </c>
      <c r="G177" t="s">
        <v>4</v>
      </c>
      <c r="H177" t="s">
        <v>161</v>
      </c>
      <c r="I177" t="s">
        <v>162</v>
      </c>
      <c r="J177" t="s">
        <v>89</v>
      </c>
      <c r="K177" t="s">
        <v>294</v>
      </c>
      <c r="L177" t="s">
        <v>669</v>
      </c>
      <c r="M177" t="s">
        <v>61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50</v>
      </c>
      <c r="U177" t="s">
        <v>118</v>
      </c>
    </row>
    <row r="178" spans="1:21" x14ac:dyDescent="0.3">
      <c r="A178" t="s">
        <v>670</v>
      </c>
      <c r="B178" s="3">
        <v>45734</v>
      </c>
      <c r="C178" s="3"/>
      <c r="D178" t="s">
        <v>671</v>
      </c>
      <c r="E178" t="s">
        <v>86</v>
      </c>
      <c r="F178" t="s">
        <v>105</v>
      </c>
      <c r="G178" t="s">
        <v>4</v>
      </c>
      <c r="H178" t="s">
        <v>246</v>
      </c>
      <c r="I178" t="s">
        <v>247</v>
      </c>
      <c r="J178" t="s">
        <v>58</v>
      </c>
      <c r="K178" t="s">
        <v>174</v>
      </c>
      <c r="L178" t="s">
        <v>672</v>
      </c>
      <c r="M178" t="s">
        <v>75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50</v>
      </c>
      <c r="U178" t="s">
        <v>51</v>
      </c>
    </row>
    <row r="179" spans="1:21" x14ac:dyDescent="0.3">
      <c r="A179" t="s">
        <v>673</v>
      </c>
      <c r="B179" s="3">
        <v>45444</v>
      </c>
      <c r="C179" s="3">
        <v>45357</v>
      </c>
      <c r="D179" t="s">
        <v>674</v>
      </c>
      <c r="E179" t="s">
        <v>148</v>
      </c>
      <c r="F179" t="s">
        <v>110</v>
      </c>
      <c r="H179" t="s">
        <v>161</v>
      </c>
      <c r="I179" t="s">
        <v>162</v>
      </c>
      <c r="J179" t="s">
        <v>46</v>
      </c>
      <c r="K179" t="s">
        <v>65</v>
      </c>
      <c r="L179" t="s">
        <v>675</v>
      </c>
      <c r="M179" t="s">
        <v>61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50</v>
      </c>
      <c r="U179" t="s">
        <v>51</v>
      </c>
    </row>
    <row r="180" spans="1:21" x14ac:dyDescent="0.3">
      <c r="A180" t="s">
        <v>676</v>
      </c>
      <c r="B180" s="3">
        <v>45565</v>
      </c>
      <c r="C180" s="3">
        <v>45565</v>
      </c>
      <c r="D180" t="s">
        <v>677</v>
      </c>
      <c r="E180" t="s">
        <v>64</v>
      </c>
      <c r="F180" t="s">
        <v>105</v>
      </c>
      <c r="G180" t="s">
        <v>5</v>
      </c>
      <c r="H180" t="s">
        <v>71</v>
      </c>
      <c r="I180" t="s">
        <v>72</v>
      </c>
      <c r="J180" t="s">
        <v>46</v>
      </c>
      <c r="K180" t="s">
        <v>65</v>
      </c>
      <c r="L180" t="s">
        <v>678</v>
      </c>
      <c r="M180" t="s">
        <v>75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50</v>
      </c>
      <c r="U180" t="s">
        <v>51</v>
      </c>
    </row>
    <row r="181" spans="1:21" x14ac:dyDescent="0.3">
      <c r="A181" t="s">
        <v>679</v>
      </c>
      <c r="B181" s="3">
        <v>45366</v>
      </c>
      <c r="C181" s="3"/>
      <c r="D181" t="s">
        <v>680</v>
      </c>
      <c r="E181" t="s">
        <v>78</v>
      </c>
      <c r="F181" t="s">
        <v>55</v>
      </c>
      <c r="G181" t="s">
        <v>5</v>
      </c>
      <c r="H181" t="s">
        <v>265</v>
      </c>
      <c r="I181" t="s">
        <v>266</v>
      </c>
      <c r="J181" t="s">
        <v>58</v>
      </c>
      <c r="K181" t="s">
        <v>73</v>
      </c>
      <c r="L181" t="s">
        <v>681</v>
      </c>
      <c r="M181" t="s">
        <v>75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117</v>
      </c>
      <c r="U181" t="s">
        <v>118</v>
      </c>
    </row>
    <row r="182" spans="1:21" x14ac:dyDescent="0.3">
      <c r="A182" t="s">
        <v>682</v>
      </c>
      <c r="B182" s="3">
        <v>45530</v>
      </c>
      <c r="C182" s="3">
        <v>45530</v>
      </c>
      <c r="D182" t="s">
        <v>683</v>
      </c>
      <c r="E182" t="s">
        <v>54</v>
      </c>
      <c r="F182" t="s">
        <v>110</v>
      </c>
      <c r="G182" t="s">
        <v>3</v>
      </c>
      <c r="H182" t="s">
        <v>152</v>
      </c>
      <c r="I182" t="s">
        <v>153</v>
      </c>
      <c r="J182" t="s">
        <v>640</v>
      </c>
      <c r="K182" t="s">
        <v>169</v>
      </c>
      <c r="L182" t="s">
        <v>684</v>
      </c>
      <c r="M182" t="s">
        <v>67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50</v>
      </c>
      <c r="U182" t="s">
        <v>51</v>
      </c>
    </row>
    <row r="183" spans="1:21" x14ac:dyDescent="0.3">
      <c r="A183" t="s">
        <v>685</v>
      </c>
      <c r="B183" s="3">
        <v>45909</v>
      </c>
      <c r="C183" s="3">
        <v>45910</v>
      </c>
      <c r="D183" t="s">
        <v>686</v>
      </c>
      <c r="E183" t="s">
        <v>130</v>
      </c>
      <c r="F183" t="s">
        <v>110</v>
      </c>
      <c r="G183" t="s">
        <v>5</v>
      </c>
      <c r="H183" t="s">
        <v>265</v>
      </c>
      <c r="I183" t="s">
        <v>266</v>
      </c>
      <c r="J183" t="s">
        <v>46</v>
      </c>
      <c r="K183" t="s">
        <v>65</v>
      </c>
      <c r="L183" t="s">
        <v>687</v>
      </c>
      <c r="M183" t="s">
        <v>49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50</v>
      </c>
      <c r="U183" t="s">
        <v>51</v>
      </c>
    </row>
    <row r="184" spans="1:21" x14ac:dyDescent="0.3">
      <c r="A184" t="s">
        <v>688</v>
      </c>
      <c r="B184" s="3">
        <v>45581</v>
      </c>
      <c r="C184" s="3">
        <v>45581</v>
      </c>
      <c r="D184" t="s">
        <v>689</v>
      </c>
      <c r="E184" t="s">
        <v>78</v>
      </c>
      <c r="F184" t="s">
        <v>110</v>
      </c>
      <c r="G184" t="s">
        <v>4</v>
      </c>
      <c r="H184" t="s">
        <v>161</v>
      </c>
      <c r="I184" t="s">
        <v>162</v>
      </c>
      <c r="J184" t="s">
        <v>89</v>
      </c>
      <c r="K184" t="s">
        <v>294</v>
      </c>
      <c r="L184" t="s">
        <v>690</v>
      </c>
      <c r="M184" t="s">
        <v>75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50</v>
      </c>
      <c r="U184" t="s">
        <v>51</v>
      </c>
    </row>
    <row r="185" spans="1:21" x14ac:dyDescent="0.3">
      <c r="A185" t="s">
        <v>691</v>
      </c>
      <c r="B185" s="3">
        <v>45832</v>
      </c>
      <c r="C185" s="3">
        <v>45835</v>
      </c>
      <c r="D185" t="s">
        <v>692</v>
      </c>
      <c r="E185" t="s">
        <v>86</v>
      </c>
      <c r="F185" t="s">
        <v>110</v>
      </c>
      <c r="G185" t="s">
        <v>5</v>
      </c>
      <c r="H185" t="s">
        <v>71</v>
      </c>
      <c r="I185" t="s">
        <v>72</v>
      </c>
      <c r="J185" t="s">
        <v>89</v>
      </c>
      <c r="K185" t="s">
        <v>95</v>
      </c>
      <c r="L185" t="s">
        <v>693</v>
      </c>
      <c r="M185" t="s">
        <v>75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50</v>
      </c>
      <c r="U185" t="s">
        <v>118</v>
      </c>
    </row>
    <row r="186" spans="1:21" x14ac:dyDescent="0.3">
      <c r="A186" t="s">
        <v>694</v>
      </c>
      <c r="B186" s="3">
        <v>45384</v>
      </c>
      <c r="C186" s="3">
        <v>45388</v>
      </c>
      <c r="D186" t="s">
        <v>695</v>
      </c>
      <c r="E186" t="s">
        <v>86</v>
      </c>
      <c r="F186" t="s">
        <v>105</v>
      </c>
      <c r="G186" t="s">
        <v>6</v>
      </c>
      <c r="H186" t="s">
        <v>87</v>
      </c>
      <c r="I186" t="s">
        <v>88</v>
      </c>
      <c r="J186" t="s">
        <v>58</v>
      </c>
      <c r="K186" t="s">
        <v>174</v>
      </c>
      <c r="L186" t="s">
        <v>696</v>
      </c>
      <c r="M186" t="s">
        <v>75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117</v>
      </c>
      <c r="U186" t="s">
        <v>118</v>
      </c>
    </row>
    <row r="187" spans="1:21" x14ac:dyDescent="0.3">
      <c r="A187" t="s">
        <v>697</v>
      </c>
      <c r="B187" s="3">
        <v>45423</v>
      </c>
      <c r="C187" s="3">
        <v>45609</v>
      </c>
      <c r="D187" t="s">
        <v>698</v>
      </c>
      <c r="E187" t="s">
        <v>70</v>
      </c>
      <c r="F187" t="s">
        <v>42</v>
      </c>
      <c r="H187" t="s">
        <v>138</v>
      </c>
      <c r="I187" t="s">
        <v>139</v>
      </c>
      <c r="J187" t="s">
        <v>46</v>
      </c>
      <c r="K187" t="s">
        <v>106</v>
      </c>
      <c r="L187" t="s">
        <v>699</v>
      </c>
      <c r="M187" t="s">
        <v>49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50</v>
      </c>
      <c r="U187" t="s">
        <v>51</v>
      </c>
    </row>
    <row r="188" spans="1:21" x14ac:dyDescent="0.3">
      <c r="A188" t="s">
        <v>700</v>
      </c>
      <c r="B188" s="3">
        <v>45492</v>
      </c>
      <c r="C188" s="3">
        <v>45493</v>
      </c>
      <c r="D188" t="s">
        <v>283</v>
      </c>
      <c r="E188" t="s">
        <v>86</v>
      </c>
      <c r="F188" t="s">
        <v>42</v>
      </c>
      <c r="G188" t="s">
        <v>5</v>
      </c>
      <c r="H188" t="s">
        <v>265</v>
      </c>
      <c r="I188" t="s">
        <v>266</v>
      </c>
      <c r="J188" t="s">
        <v>58</v>
      </c>
      <c r="K188" t="s">
        <v>59</v>
      </c>
      <c r="L188" t="s">
        <v>701</v>
      </c>
      <c r="M188" t="s">
        <v>67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50</v>
      </c>
      <c r="U188" t="s">
        <v>51</v>
      </c>
    </row>
    <row r="189" spans="1:21" x14ac:dyDescent="0.3">
      <c r="A189" t="s">
        <v>702</v>
      </c>
      <c r="B189" s="3">
        <v>45778</v>
      </c>
      <c r="C189" s="3">
        <v>45779</v>
      </c>
      <c r="D189" t="s">
        <v>703</v>
      </c>
      <c r="E189" t="s">
        <v>54</v>
      </c>
      <c r="F189" t="s">
        <v>42</v>
      </c>
      <c r="G189" t="s">
        <v>6</v>
      </c>
      <c r="H189" t="s">
        <v>87</v>
      </c>
      <c r="I189" t="s">
        <v>88</v>
      </c>
      <c r="J189" t="s">
        <v>58</v>
      </c>
      <c r="K189" t="s">
        <v>81</v>
      </c>
      <c r="L189" t="s">
        <v>704</v>
      </c>
      <c r="M189" t="s">
        <v>61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50</v>
      </c>
      <c r="U189" t="s">
        <v>118</v>
      </c>
    </row>
    <row r="190" spans="1:21" x14ac:dyDescent="0.3">
      <c r="A190" t="s">
        <v>705</v>
      </c>
      <c r="B190" s="3">
        <v>45798</v>
      </c>
      <c r="C190" s="3">
        <v>45805</v>
      </c>
      <c r="D190" t="s">
        <v>706</v>
      </c>
      <c r="E190" t="s">
        <v>130</v>
      </c>
      <c r="F190" t="s">
        <v>105</v>
      </c>
      <c r="G190" t="s">
        <v>4</v>
      </c>
      <c r="H190" t="s">
        <v>114</v>
      </c>
      <c r="I190" t="s">
        <v>115</v>
      </c>
      <c r="J190" t="s">
        <v>58</v>
      </c>
      <c r="K190" t="s">
        <v>174</v>
      </c>
      <c r="L190" t="s">
        <v>707</v>
      </c>
      <c r="M190" t="s">
        <v>61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50</v>
      </c>
      <c r="U190" t="s">
        <v>51</v>
      </c>
    </row>
    <row r="191" spans="1:21" x14ac:dyDescent="0.3">
      <c r="A191" t="s">
        <v>708</v>
      </c>
      <c r="B191" s="3">
        <v>45783</v>
      </c>
      <c r="C191" s="3">
        <v>45784</v>
      </c>
      <c r="D191" t="s">
        <v>709</v>
      </c>
      <c r="E191" t="s">
        <v>70</v>
      </c>
      <c r="F191" t="s">
        <v>42</v>
      </c>
      <c r="G191" t="s">
        <v>6</v>
      </c>
      <c r="H191" t="s">
        <v>44</v>
      </c>
      <c r="I191" t="s">
        <v>125</v>
      </c>
      <c r="J191" t="s">
        <v>58</v>
      </c>
      <c r="K191" t="s">
        <v>174</v>
      </c>
      <c r="L191" t="s">
        <v>710</v>
      </c>
      <c r="M191" t="s">
        <v>67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50</v>
      </c>
      <c r="U191" t="s">
        <v>711</v>
      </c>
    </row>
    <row r="192" spans="1:21" x14ac:dyDescent="0.3">
      <c r="A192" t="s">
        <v>712</v>
      </c>
      <c r="B192" s="3">
        <v>45767</v>
      </c>
      <c r="C192" s="3"/>
      <c r="D192" t="s">
        <v>713</v>
      </c>
      <c r="E192" t="s">
        <v>104</v>
      </c>
      <c r="F192" t="s">
        <v>42</v>
      </c>
      <c r="G192" t="s">
        <v>5</v>
      </c>
      <c r="H192" t="s">
        <v>265</v>
      </c>
      <c r="I192" t="s">
        <v>266</v>
      </c>
      <c r="J192" t="s">
        <v>46</v>
      </c>
      <c r="K192" t="s">
        <v>140</v>
      </c>
      <c r="L192" t="s">
        <v>714</v>
      </c>
      <c r="M192" t="s">
        <v>67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50</v>
      </c>
      <c r="U192" t="s">
        <v>715</v>
      </c>
    </row>
    <row r="193" spans="1:21" x14ac:dyDescent="0.3">
      <c r="A193" t="s">
        <v>716</v>
      </c>
      <c r="B193" s="3">
        <v>45584</v>
      </c>
      <c r="C193" s="3">
        <v>45589</v>
      </c>
      <c r="D193" t="s">
        <v>717</v>
      </c>
      <c r="E193" t="s">
        <v>148</v>
      </c>
      <c r="F193" t="s">
        <v>55</v>
      </c>
      <c r="G193" t="s">
        <v>5</v>
      </c>
      <c r="H193" t="s">
        <v>265</v>
      </c>
      <c r="I193" t="s">
        <v>266</v>
      </c>
      <c r="J193" t="s">
        <v>58</v>
      </c>
      <c r="K193" t="s">
        <v>174</v>
      </c>
      <c r="L193" t="s">
        <v>718</v>
      </c>
      <c r="M193" t="s">
        <v>49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50</v>
      </c>
      <c r="U193" t="s">
        <v>51</v>
      </c>
    </row>
    <row r="194" spans="1:21" x14ac:dyDescent="0.3">
      <c r="A194" t="s">
        <v>719</v>
      </c>
      <c r="B194" s="3">
        <v>45635</v>
      </c>
      <c r="C194" s="3"/>
      <c r="D194" t="s">
        <v>720</v>
      </c>
      <c r="E194" t="s">
        <v>64</v>
      </c>
      <c r="F194" t="s">
        <v>110</v>
      </c>
      <c r="G194" t="s">
        <v>6</v>
      </c>
      <c r="H194" t="s">
        <v>197</v>
      </c>
      <c r="I194" t="s">
        <v>198</v>
      </c>
      <c r="J194" t="s">
        <v>58</v>
      </c>
      <c r="K194" t="s">
        <v>81</v>
      </c>
      <c r="L194" t="s">
        <v>721</v>
      </c>
      <c r="M194" t="s">
        <v>67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50</v>
      </c>
      <c r="U194" t="s">
        <v>51</v>
      </c>
    </row>
    <row r="195" spans="1:21" x14ac:dyDescent="0.3">
      <c r="A195" t="s">
        <v>722</v>
      </c>
      <c r="B195" s="3">
        <v>45466</v>
      </c>
      <c r="C195" s="3">
        <v>45471</v>
      </c>
      <c r="D195" t="s">
        <v>723</v>
      </c>
      <c r="E195" t="s">
        <v>130</v>
      </c>
      <c r="F195" t="s">
        <v>55</v>
      </c>
      <c r="G195" t="s">
        <v>3</v>
      </c>
      <c r="H195" t="s">
        <v>138</v>
      </c>
      <c r="I195" t="s">
        <v>139</v>
      </c>
      <c r="J195" t="s">
        <v>89</v>
      </c>
      <c r="K195" t="s">
        <v>95</v>
      </c>
      <c r="L195" t="s">
        <v>724</v>
      </c>
      <c r="M195" t="s">
        <v>61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117</v>
      </c>
      <c r="U195" t="s">
        <v>118</v>
      </c>
    </row>
    <row r="196" spans="1:21" x14ac:dyDescent="0.3">
      <c r="A196" t="s">
        <v>725</v>
      </c>
      <c r="B196" s="3">
        <v>45685</v>
      </c>
      <c r="C196" s="3"/>
      <c r="D196" t="s">
        <v>726</v>
      </c>
      <c r="E196" t="s">
        <v>130</v>
      </c>
      <c r="F196" t="s">
        <v>42</v>
      </c>
      <c r="G196" t="s">
        <v>9</v>
      </c>
      <c r="H196" t="s">
        <v>79</v>
      </c>
      <c r="I196" t="s">
        <v>80</v>
      </c>
      <c r="J196" t="s">
        <v>58</v>
      </c>
      <c r="K196" t="s">
        <v>73</v>
      </c>
      <c r="L196" t="s">
        <v>727</v>
      </c>
      <c r="M196" t="s">
        <v>67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127</v>
      </c>
      <c r="U196" t="s">
        <v>118</v>
      </c>
    </row>
    <row r="197" spans="1:21" x14ac:dyDescent="0.3">
      <c r="A197" t="s">
        <v>728</v>
      </c>
      <c r="B197" s="3">
        <v>45860</v>
      </c>
      <c r="C197" s="3"/>
      <c r="D197" t="s">
        <v>729</v>
      </c>
      <c r="E197" t="s">
        <v>94</v>
      </c>
      <c r="F197" t="s">
        <v>110</v>
      </c>
      <c r="G197" t="s">
        <v>5</v>
      </c>
      <c r="H197" t="s">
        <v>99</v>
      </c>
      <c r="I197" t="s">
        <v>100</v>
      </c>
      <c r="J197" t="s">
        <v>58</v>
      </c>
      <c r="K197" t="s">
        <v>73</v>
      </c>
      <c r="L197" t="s">
        <v>730</v>
      </c>
      <c r="M197" t="s">
        <v>61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50</v>
      </c>
      <c r="U197" t="s">
        <v>51</v>
      </c>
    </row>
    <row r="198" spans="1:21" x14ac:dyDescent="0.3">
      <c r="A198" t="s">
        <v>731</v>
      </c>
      <c r="B198" s="3">
        <v>45313</v>
      </c>
      <c r="C198" s="3">
        <v>45316</v>
      </c>
      <c r="D198" t="s">
        <v>732</v>
      </c>
      <c r="E198" t="s">
        <v>284</v>
      </c>
      <c r="F198" t="s">
        <v>110</v>
      </c>
      <c r="G198" t="s">
        <v>3</v>
      </c>
      <c r="H198" t="s">
        <v>152</v>
      </c>
      <c r="I198" t="s">
        <v>153</v>
      </c>
      <c r="J198" t="s">
        <v>46</v>
      </c>
      <c r="K198" t="s">
        <v>140</v>
      </c>
      <c r="L198" t="s">
        <v>733</v>
      </c>
      <c r="M198" t="s">
        <v>67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50</v>
      </c>
      <c r="U198" t="s">
        <v>51</v>
      </c>
    </row>
    <row r="199" spans="1:21" x14ac:dyDescent="0.3">
      <c r="A199" t="s">
        <v>734</v>
      </c>
      <c r="B199" s="3">
        <v>45747</v>
      </c>
      <c r="C199" s="3">
        <v>45754</v>
      </c>
      <c r="D199" t="s">
        <v>413</v>
      </c>
      <c r="E199" t="s">
        <v>134</v>
      </c>
      <c r="F199" t="s">
        <v>501</v>
      </c>
      <c r="G199" t="s">
        <v>4</v>
      </c>
      <c r="H199" t="s">
        <v>161</v>
      </c>
      <c r="I199" t="s">
        <v>162</v>
      </c>
      <c r="J199" t="s">
        <v>46</v>
      </c>
      <c r="K199" t="s">
        <v>140</v>
      </c>
      <c r="L199" t="s">
        <v>735</v>
      </c>
      <c r="M199" t="s">
        <v>49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50</v>
      </c>
      <c r="U199" t="s">
        <v>51</v>
      </c>
    </row>
    <row r="200" spans="1:21" x14ac:dyDescent="0.3">
      <c r="A200" t="s">
        <v>736</v>
      </c>
      <c r="B200" s="3">
        <v>45448</v>
      </c>
      <c r="C200" s="3">
        <v>45449</v>
      </c>
      <c r="D200" t="s">
        <v>737</v>
      </c>
      <c r="E200" t="s">
        <v>148</v>
      </c>
      <c r="F200" t="s">
        <v>42</v>
      </c>
      <c r="G200" t="s">
        <v>6</v>
      </c>
      <c r="H200" t="s">
        <v>197</v>
      </c>
      <c r="I200" t="s">
        <v>198</v>
      </c>
      <c r="J200" t="s">
        <v>46</v>
      </c>
      <c r="K200" t="s">
        <v>65</v>
      </c>
      <c r="L200" t="s">
        <v>738</v>
      </c>
      <c r="M200" t="s">
        <v>49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171</v>
      </c>
      <c r="U200" t="s">
        <v>83</v>
      </c>
    </row>
    <row r="201" spans="1:21" x14ac:dyDescent="0.3">
      <c r="A201" t="s">
        <v>739</v>
      </c>
      <c r="B201" s="3">
        <v>45629</v>
      </c>
      <c r="C201" s="3">
        <v>45363</v>
      </c>
      <c r="D201" t="s">
        <v>740</v>
      </c>
      <c r="E201" t="s">
        <v>134</v>
      </c>
      <c r="F201" t="s">
        <v>110</v>
      </c>
      <c r="G201" t="s">
        <v>4</v>
      </c>
      <c r="H201" t="s">
        <v>161</v>
      </c>
      <c r="I201" t="s">
        <v>162</v>
      </c>
      <c r="J201" t="s">
        <v>89</v>
      </c>
      <c r="K201" t="s">
        <v>294</v>
      </c>
      <c r="L201" t="s">
        <v>741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50</v>
      </c>
      <c r="U201" t="s">
        <v>51</v>
      </c>
    </row>
    <row r="202" spans="1:21" x14ac:dyDescent="0.3">
      <c r="A202" t="s">
        <v>742</v>
      </c>
      <c r="B202" s="3">
        <v>45835</v>
      </c>
      <c r="C202" s="3">
        <v>45843</v>
      </c>
      <c r="D202" t="s">
        <v>743</v>
      </c>
      <c r="E202" t="s">
        <v>130</v>
      </c>
      <c r="F202" t="s">
        <v>55</v>
      </c>
      <c r="G202" t="s">
        <v>3</v>
      </c>
      <c r="H202" t="s">
        <v>44</v>
      </c>
      <c r="I202" t="s">
        <v>45</v>
      </c>
      <c r="J202" t="s">
        <v>89</v>
      </c>
      <c r="K202" t="s">
        <v>95</v>
      </c>
      <c r="L202" t="s">
        <v>744</v>
      </c>
      <c r="M202" t="s">
        <v>67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127</v>
      </c>
      <c r="U202" t="s">
        <v>83</v>
      </c>
    </row>
    <row r="203" spans="1:21" x14ac:dyDescent="0.3">
      <c r="A203" t="s">
        <v>745</v>
      </c>
      <c r="B203" s="3">
        <v>45864</v>
      </c>
      <c r="C203" s="3">
        <v>45724</v>
      </c>
      <c r="D203" t="s">
        <v>746</v>
      </c>
      <c r="E203" t="s">
        <v>86</v>
      </c>
      <c r="F203" t="s">
        <v>42</v>
      </c>
      <c r="G203" t="s">
        <v>6</v>
      </c>
      <c r="H203" t="s">
        <v>87</v>
      </c>
      <c r="I203" t="s">
        <v>88</v>
      </c>
      <c r="J203" t="s">
        <v>46</v>
      </c>
      <c r="K203" t="s">
        <v>106</v>
      </c>
      <c r="L203" t="s">
        <v>747</v>
      </c>
      <c r="M203" t="s">
        <v>49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117</v>
      </c>
      <c r="U203" t="s">
        <v>83</v>
      </c>
    </row>
    <row r="204" spans="1:21" x14ac:dyDescent="0.3">
      <c r="A204" t="s">
        <v>748</v>
      </c>
      <c r="B204" s="3">
        <v>45744</v>
      </c>
      <c r="C204" s="3">
        <v>45744</v>
      </c>
      <c r="D204" t="s">
        <v>749</v>
      </c>
      <c r="E204" t="s">
        <v>148</v>
      </c>
      <c r="F204" t="s">
        <v>105</v>
      </c>
      <c r="G204" t="s">
        <v>6</v>
      </c>
      <c r="H204" t="s">
        <v>207</v>
      </c>
      <c r="I204" t="s">
        <v>208</v>
      </c>
      <c r="J204" t="s">
        <v>89</v>
      </c>
      <c r="K204" t="s">
        <v>90</v>
      </c>
      <c r="L204" t="s">
        <v>750</v>
      </c>
      <c r="M204" t="s">
        <v>75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50</v>
      </c>
      <c r="U204" t="s">
        <v>51</v>
      </c>
    </row>
    <row r="205" spans="1:21" x14ac:dyDescent="0.3">
      <c r="A205" t="s">
        <v>751</v>
      </c>
      <c r="B205" s="3">
        <v>45379</v>
      </c>
      <c r="C205" s="3">
        <v>45381</v>
      </c>
      <c r="D205" t="s">
        <v>752</v>
      </c>
      <c r="E205" t="s">
        <v>148</v>
      </c>
      <c r="F205" t="s">
        <v>105</v>
      </c>
      <c r="G205" t="s">
        <v>6</v>
      </c>
      <c r="H205" t="s">
        <v>44</v>
      </c>
      <c r="I205" t="s">
        <v>125</v>
      </c>
      <c r="J205" t="s">
        <v>89</v>
      </c>
      <c r="K205" t="s">
        <v>90</v>
      </c>
      <c r="L205" t="s">
        <v>753</v>
      </c>
      <c r="M205" t="s">
        <v>49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50</v>
      </c>
      <c r="U205" t="s">
        <v>51</v>
      </c>
    </row>
    <row r="206" spans="1:21" x14ac:dyDescent="0.3">
      <c r="A206" t="s">
        <v>754</v>
      </c>
      <c r="B206" s="3">
        <v>45858</v>
      </c>
      <c r="C206" s="3">
        <v>45861</v>
      </c>
      <c r="D206" t="s">
        <v>755</v>
      </c>
      <c r="E206" t="s">
        <v>54</v>
      </c>
      <c r="F206" t="s">
        <v>110</v>
      </c>
      <c r="G206" t="s">
        <v>4</v>
      </c>
      <c r="H206" t="s">
        <v>114</v>
      </c>
      <c r="I206" t="s">
        <v>115</v>
      </c>
      <c r="J206" t="s">
        <v>58</v>
      </c>
      <c r="K206" t="s">
        <v>59</v>
      </c>
      <c r="L206" t="s">
        <v>756</v>
      </c>
      <c r="M206" t="s">
        <v>49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50</v>
      </c>
      <c r="U206" t="s">
        <v>51</v>
      </c>
    </row>
    <row r="207" spans="1:21" x14ac:dyDescent="0.3">
      <c r="A207" t="s">
        <v>757</v>
      </c>
      <c r="B207" s="3">
        <v>45768</v>
      </c>
      <c r="C207" s="3"/>
      <c r="D207" t="s">
        <v>758</v>
      </c>
      <c r="E207" t="s">
        <v>78</v>
      </c>
      <c r="F207" t="s">
        <v>42</v>
      </c>
      <c r="G207" t="s">
        <v>6</v>
      </c>
      <c r="H207" t="s">
        <v>79</v>
      </c>
      <c r="I207" t="s">
        <v>80</v>
      </c>
      <c r="J207" t="s">
        <v>640</v>
      </c>
      <c r="K207" t="s">
        <v>106</v>
      </c>
      <c r="L207" t="s">
        <v>759</v>
      </c>
      <c r="M207" t="s">
        <v>61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50</v>
      </c>
      <c r="U207" t="s">
        <v>51</v>
      </c>
    </row>
    <row r="208" spans="1:21" x14ac:dyDescent="0.3">
      <c r="A208" t="s">
        <v>760</v>
      </c>
      <c r="B208" s="3"/>
      <c r="C208" s="3">
        <v>45797</v>
      </c>
      <c r="D208" t="s">
        <v>761</v>
      </c>
      <c r="E208" t="s">
        <v>178</v>
      </c>
      <c r="F208" t="s">
        <v>55</v>
      </c>
      <c r="G208" t="s">
        <v>43</v>
      </c>
      <c r="H208" t="s">
        <v>152</v>
      </c>
      <c r="I208" t="s">
        <v>153</v>
      </c>
      <c r="J208" t="s">
        <v>58</v>
      </c>
      <c r="K208" t="s">
        <v>73</v>
      </c>
      <c r="L208" t="s">
        <v>762</v>
      </c>
      <c r="M208" t="s">
        <v>67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50</v>
      </c>
      <c r="U208" t="s">
        <v>51</v>
      </c>
    </row>
    <row r="209" spans="1:21" x14ac:dyDescent="0.3">
      <c r="A209" t="s">
        <v>763</v>
      </c>
      <c r="B209" s="3">
        <v>45483</v>
      </c>
      <c r="C209" s="3">
        <v>45489</v>
      </c>
      <c r="D209" t="s">
        <v>764</v>
      </c>
      <c r="E209" t="s">
        <v>144</v>
      </c>
      <c r="F209" t="s">
        <v>110</v>
      </c>
      <c r="G209" t="s">
        <v>6</v>
      </c>
      <c r="H209" t="s">
        <v>207</v>
      </c>
      <c r="I209" t="s">
        <v>208</v>
      </c>
      <c r="J209" t="s">
        <v>58</v>
      </c>
      <c r="K209" t="s">
        <v>174</v>
      </c>
      <c r="L209" t="s">
        <v>765</v>
      </c>
      <c r="M209" t="s">
        <v>49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50</v>
      </c>
      <c r="U209" t="s">
        <v>51</v>
      </c>
    </row>
    <row r="210" spans="1:21" x14ac:dyDescent="0.3">
      <c r="A210" t="s">
        <v>766</v>
      </c>
      <c r="B210" s="3"/>
      <c r="C210" s="3">
        <v>45843</v>
      </c>
      <c r="D210" t="s">
        <v>767</v>
      </c>
      <c r="E210" t="s">
        <v>178</v>
      </c>
      <c r="F210" t="s">
        <v>42</v>
      </c>
      <c r="G210" t="s">
        <v>3</v>
      </c>
      <c r="H210" t="s">
        <v>138</v>
      </c>
      <c r="I210" t="s">
        <v>139</v>
      </c>
      <c r="J210" t="s">
        <v>58</v>
      </c>
      <c r="K210" t="s">
        <v>81</v>
      </c>
      <c r="L210" t="s">
        <v>768</v>
      </c>
      <c r="M210" t="s">
        <v>61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50</v>
      </c>
      <c r="U210" t="s">
        <v>51</v>
      </c>
    </row>
    <row r="211" spans="1:21" x14ac:dyDescent="0.3">
      <c r="A211" t="s">
        <v>769</v>
      </c>
      <c r="B211" s="3"/>
      <c r="C211" s="3"/>
      <c r="D211" t="s">
        <v>770</v>
      </c>
      <c r="E211" t="s">
        <v>157</v>
      </c>
      <c r="F211" t="s">
        <v>55</v>
      </c>
      <c r="G211" t="s">
        <v>5</v>
      </c>
      <c r="H211" t="s">
        <v>99</v>
      </c>
      <c r="I211" t="s">
        <v>100</v>
      </c>
      <c r="J211" t="s">
        <v>46</v>
      </c>
      <c r="K211" t="s">
        <v>47</v>
      </c>
      <c r="L211" t="s">
        <v>771</v>
      </c>
      <c r="M211" t="s">
        <v>67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50</v>
      </c>
      <c r="U211" t="s">
        <v>51</v>
      </c>
    </row>
    <row r="212" spans="1:21" x14ac:dyDescent="0.3">
      <c r="A212" t="s">
        <v>772</v>
      </c>
      <c r="B212" s="3"/>
      <c r="C212" s="3">
        <v>45369</v>
      </c>
      <c r="D212" t="s">
        <v>773</v>
      </c>
      <c r="E212" t="s">
        <v>284</v>
      </c>
      <c r="F212" t="s">
        <v>110</v>
      </c>
      <c r="G212" t="s">
        <v>5</v>
      </c>
      <c r="H212" t="s">
        <v>192</v>
      </c>
      <c r="I212" t="s">
        <v>193</v>
      </c>
      <c r="J212" t="s">
        <v>89</v>
      </c>
      <c r="K212" t="s">
        <v>294</v>
      </c>
      <c r="L212" t="s">
        <v>774</v>
      </c>
      <c r="M212" t="s">
        <v>49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171</v>
      </c>
      <c r="U212" t="s">
        <v>118</v>
      </c>
    </row>
    <row r="213" spans="1:21" x14ac:dyDescent="0.3">
      <c r="A213" t="s">
        <v>775</v>
      </c>
      <c r="B213" s="3"/>
      <c r="C213" s="3"/>
      <c r="D213" t="s">
        <v>776</v>
      </c>
      <c r="E213" t="s">
        <v>157</v>
      </c>
      <c r="F213" t="s">
        <v>105</v>
      </c>
      <c r="G213" t="s">
        <v>10</v>
      </c>
      <c r="H213" t="s">
        <v>114</v>
      </c>
      <c r="I213" t="s">
        <v>115</v>
      </c>
      <c r="J213" t="s">
        <v>89</v>
      </c>
      <c r="K213" t="s">
        <v>95</v>
      </c>
      <c r="L213" t="s">
        <v>777</v>
      </c>
      <c r="M213" t="s">
        <v>49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50</v>
      </c>
      <c r="U213" t="s">
        <v>51</v>
      </c>
    </row>
    <row r="214" spans="1:21" x14ac:dyDescent="0.3">
      <c r="A214" t="s">
        <v>778</v>
      </c>
      <c r="B214" s="3"/>
      <c r="C214" s="3">
        <v>45556</v>
      </c>
      <c r="D214" t="s">
        <v>779</v>
      </c>
      <c r="E214" t="s">
        <v>78</v>
      </c>
      <c r="F214" t="s">
        <v>55</v>
      </c>
      <c r="G214" t="s">
        <v>4</v>
      </c>
      <c r="H214" t="s">
        <v>56</v>
      </c>
      <c r="I214" t="s">
        <v>57</v>
      </c>
      <c r="J214" t="s">
        <v>89</v>
      </c>
      <c r="K214" t="s">
        <v>187</v>
      </c>
      <c r="L214" t="s">
        <v>780</v>
      </c>
      <c r="M214" t="s">
        <v>61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50</v>
      </c>
      <c r="U214" t="s">
        <v>51</v>
      </c>
    </row>
    <row r="215" spans="1:21" x14ac:dyDescent="0.3">
      <c r="A215" t="s">
        <v>781</v>
      </c>
      <c r="B215" s="3">
        <v>45427</v>
      </c>
      <c r="C215" s="3">
        <v>45433</v>
      </c>
      <c r="D215" t="s">
        <v>782</v>
      </c>
      <c r="E215" t="s">
        <v>64</v>
      </c>
      <c r="F215" t="s">
        <v>55</v>
      </c>
      <c r="G215" t="s">
        <v>4</v>
      </c>
      <c r="H215" t="s">
        <v>161</v>
      </c>
      <c r="I215" t="s">
        <v>162</v>
      </c>
      <c r="J215" t="s">
        <v>89</v>
      </c>
      <c r="K215" t="s">
        <v>90</v>
      </c>
      <c r="L215" t="s">
        <v>783</v>
      </c>
      <c r="M215" t="s">
        <v>784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50</v>
      </c>
      <c r="U215" t="s">
        <v>51</v>
      </c>
    </row>
    <row r="216" spans="1:21" x14ac:dyDescent="0.3">
      <c r="A216" t="s">
        <v>785</v>
      </c>
      <c r="B216" s="3">
        <v>45368</v>
      </c>
      <c r="C216" s="3">
        <v>45374</v>
      </c>
      <c r="D216" t="s">
        <v>786</v>
      </c>
      <c r="E216" t="s">
        <v>134</v>
      </c>
      <c r="F216" t="s">
        <v>42</v>
      </c>
      <c r="G216" t="s">
        <v>3</v>
      </c>
      <c r="H216" t="s">
        <v>254</v>
      </c>
      <c r="I216" t="s">
        <v>255</v>
      </c>
      <c r="J216" t="s">
        <v>89</v>
      </c>
      <c r="K216" t="s">
        <v>90</v>
      </c>
      <c r="L216" t="s">
        <v>787</v>
      </c>
      <c r="M216" t="s">
        <v>788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50</v>
      </c>
      <c r="U216" t="s">
        <v>51</v>
      </c>
    </row>
    <row r="217" spans="1:21" x14ac:dyDescent="0.3">
      <c r="A217" t="s">
        <v>789</v>
      </c>
      <c r="B217" s="3">
        <v>45352</v>
      </c>
      <c r="C217" s="3">
        <v>45355</v>
      </c>
      <c r="D217" t="s">
        <v>790</v>
      </c>
      <c r="E217" t="s">
        <v>54</v>
      </c>
      <c r="F217" t="s">
        <v>42</v>
      </c>
      <c r="G217" t="s">
        <v>6</v>
      </c>
      <c r="H217" t="s">
        <v>87</v>
      </c>
      <c r="I217" t="s">
        <v>88</v>
      </c>
      <c r="J217" t="s">
        <v>46</v>
      </c>
      <c r="K217" t="s">
        <v>47</v>
      </c>
      <c r="L217" t="s">
        <v>791</v>
      </c>
      <c r="M217" t="s">
        <v>67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50</v>
      </c>
      <c r="U217" t="s">
        <v>51</v>
      </c>
    </row>
    <row r="218" spans="1:21" x14ac:dyDescent="0.3">
      <c r="A218" t="s">
        <v>792</v>
      </c>
      <c r="B218" s="3">
        <v>45934</v>
      </c>
      <c r="C218" s="3">
        <v>45762</v>
      </c>
      <c r="D218" t="s">
        <v>793</v>
      </c>
      <c r="E218" t="s">
        <v>64</v>
      </c>
      <c r="F218" t="s">
        <v>42</v>
      </c>
      <c r="G218" t="s">
        <v>6</v>
      </c>
      <c r="H218" t="s">
        <v>197</v>
      </c>
      <c r="I218" t="s">
        <v>198</v>
      </c>
      <c r="J218" t="s">
        <v>58</v>
      </c>
      <c r="K218" t="s">
        <v>59</v>
      </c>
      <c r="L218" t="s">
        <v>794</v>
      </c>
      <c r="M218" t="s">
        <v>75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171</v>
      </c>
      <c r="U218" t="s">
        <v>118</v>
      </c>
    </row>
    <row r="219" spans="1:21" x14ac:dyDescent="0.3">
      <c r="A219" t="s">
        <v>795</v>
      </c>
      <c r="B219" s="3">
        <v>45748</v>
      </c>
      <c r="C219" s="3">
        <v>45873</v>
      </c>
      <c r="D219" t="s">
        <v>796</v>
      </c>
      <c r="E219" t="s">
        <v>104</v>
      </c>
      <c r="F219" t="s">
        <v>42</v>
      </c>
      <c r="G219" t="s">
        <v>4</v>
      </c>
      <c r="H219" t="s">
        <v>56</v>
      </c>
      <c r="I219" t="s">
        <v>57</v>
      </c>
      <c r="J219" t="s">
        <v>58</v>
      </c>
      <c r="K219" t="s">
        <v>174</v>
      </c>
      <c r="L219" t="s">
        <v>797</v>
      </c>
      <c r="M219" t="s">
        <v>49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117</v>
      </c>
      <c r="U219" t="s">
        <v>83</v>
      </c>
    </row>
    <row r="220" spans="1:21" x14ac:dyDescent="0.3">
      <c r="A220" t="s">
        <v>798</v>
      </c>
      <c r="B220" s="3">
        <v>45714</v>
      </c>
      <c r="C220" s="3">
        <v>45715</v>
      </c>
      <c r="D220" t="s">
        <v>799</v>
      </c>
      <c r="E220" t="s">
        <v>130</v>
      </c>
      <c r="F220" t="s">
        <v>105</v>
      </c>
      <c r="G220" t="s">
        <v>6</v>
      </c>
      <c r="H220" t="s">
        <v>197</v>
      </c>
      <c r="I220" t="s">
        <v>198</v>
      </c>
      <c r="J220" t="s">
        <v>58</v>
      </c>
      <c r="K220" t="s">
        <v>174</v>
      </c>
      <c r="L220" t="s">
        <v>800</v>
      </c>
      <c r="M220" t="s">
        <v>75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50</v>
      </c>
      <c r="U220" t="s">
        <v>51</v>
      </c>
    </row>
    <row r="221" spans="1:21" x14ac:dyDescent="0.3">
      <c r="A221" t="s">
        <v>801</v>
      </c>
      <c r="B221" s="3">
        <v>45461</v>
      </c>
      <c r="C221" s="3"/>
      <c r="D221" t="s">
        <v>802</v>
      </c>
      <c r="E221" t="s">
        <v>134</v>
      </c>
      <c r="F221" t="s">
        <v>42</v>
      </c>
      <c r="G221" t="s">
        <v>4</v>
      </c>
      <c r="H221" t="s">
        <v>161</v>
      </c>
      <c r="I221" t="s">
        <v>162</v>
      </c>
      <c r="J221" t="s">
        <v>89</v>
      </c>
      <c r="K221" t="s">
        <v>294</v>
      </c>
      <c r="L221" t="s">
        <v>803</v>
      </c>
      <c r="M221" t="s">
        <v>67</v>
      </c>
      <c r="N221">
        <v>2</v>
      </c>
      <c r="O221">
        <v>121.49</v>
      </c>
      <c r="P221">
        <v>0.85</v>
      </c>
      <c r="Q221">
        <v>242.98</v>
      </c>
      <c r="R221">
        <v>161.41999999999999</v>
      </c>
      <c r="S221">
        <v>81.56</v>
      </c>
      <c r="T221" t="s">
        <v>50</v>
      </c>
      <c r="U221" t="s">
        <v>51</v>
      </c>
    </row>
    <row r="222" spans="1:21" x14ac:dyDescent="0.3">
      <c r="A222" t="s">
        <v>804</v>
      </c>
      <c r="B222" s="3">
        <v>45360</v>
      </c>
      <c r="C222" s="3">
        <v>45360</v>
      </c>
      <c r="D222" t="s">
        <v>805</v>
      </c>
      <c r="E222" t="s">
        <v>148</v>
      </c>
      <c r="F222" t="s">
        <v>42</v>
      </c>
      <c r="G222" t="s">
        <v>5</v>
      </c>
      <c r="H222" t="s">
        <v>202</v>
      </c>
      <c r="I222" t="s">
        <v>203</v>
      </c>
      <c r="J222" t="s">
        <v>46</v>
      </c>
      <c r="K222" t="s">
        <v>140</v>
      </c>
      <c r="L222" t="s">
        <v>806</v>
      </c>
      <c r="M222" t="s">
        <v>67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117</v>
      </c>
      <c r="U222" t="s">
        <v>83</v>
      </c>
    </row>
    <row r="223" spans="1:21" x14ac:dyDescent="0.3">
      <c r="A223" t="s">
        <v>807</v>
      </c>
      <c r="B223" s="3">
        <v>45669</v>
      </c>
      <c r="C223" s="3">
        <v>45672</v>
      </c>
      <c r="D223" t="s">
        <v>808</v>
      </c>
      <c r="E223" t="s">
        <v>54</v>
      </c>
      <c r="F223" t="s">
        <v>105</v>
      </c>
      <c r="G223" t="s">
        <v>5</v>
      </c>
      <c r="H223" t="s">
        <v>192</v>
      </c>
      <c r="I223" t="s">
        <v>193</v>
      </c>
      <c r="J223" t="s">
        <v>58</v>
      </c>
      <c r="K223" t="s">
        <v>81</v>
      </c>
      <c r="L223" t="s">
        <v>809</v>
      </c>
      <c r="M223" t="s">
        <v>61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50</v>
      </c>
      <c r="U223" t="s">
        <v>51</v>
      </c>
    </row>
    <row r="224" spans="1:21" x14ac:dyDescent="0.3">
      <c r="A224" t="s">
        <v>810</v>
      </c>
      <c r="B224" s="3"/>
      <c r="C224" s="3">
        <v>45779</v>
      </c>
      <c r="D224" t="s">
        <v>811</v>
      </c>
      <c r="E224" t="s">
        <v>86</v>
      </c>
      <c r="F224" t="s">
        <v>55</v>
      </c>
      <c r="G224" t="s">
        <v>6</v>
      </c>
      <c r="H224" t="s">
        <v>207</v>
      </c>
      <c r="I224" t="s">
        <v>208</v>
      </c>
      <c r="J224" t="s">
        <v>46</v>
      </c>
      <c r="K224" t="s">
        <v>140</v>
      </c>
      <c r="L224" t="s">
        <v>812</v>
      </c>
      <c r="M224" t="s">
        <v>67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50</v>
      </c>
      <c r="U224" t="s">
        <v>51</v>
      </c>
    </row>
    <row r="225" spans="1:21" x14ac:dyDescent="0.3">
      <c r="A225" t="s">
        <v>813</v>
      </c>
      <c r="B225" s="3">
        <v>45707</v>
      </c>
      <c r="C225" s="3"/>
      <c r="D225" t="s">
        <v>814</v>
      </c>
      <c r="E225" t="s">
        <v>54</v>
      </c>
      <c r="F225" t="s">
        <v>105</v>
      </c>
      <c r="G225" t="s">
        <v>6</v>
      </c>
      <c r="H225" t="s">
        <v>79</v>
      </c>
      <c r="I225" t="s">
        <v>80</v>
      </c>
      <c r="J225" t="s">
        <v>58</v>
      </c>
      <c r="K225" t="s">
        <v>73</v>
      </c>
      <c r="L225" t="s">
        <v>815</v>
      </c>
      <c r="M225" t="s">
        <v>67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127</v>
      </c>
      <c r="U225" t="s">
        <v>118</v>
      </c>
    </row>
    <row r="226" spans="1:21" x14ac:dyDescent="0.3">
      <c r="A226" t="s">
        <v>816</v>
      </c>
      <c r="B226" s="3">
        <v>45698</v>
      </c>
      <c r="C226" s="3">
        <v>45938</v>
      </c>
      <c r="D226" t="s">
        <v>817</v>
      </c>
      <c r="E226" t="s">
        <v>64</v>
      </c>
      <c r="F226" t="s">
        <v>55</v>
      </c>
      <c r="G226" t="s">
        <v>3</v>
      </c>
      <c r="H226" t="s">
        <v>138</v>
      </c>
      <c r="I226" t="s">
        <v>139</v>
      </c>
      <c r="J226" t="s">
        <v>58</v>
      </c>
      <c r="K226" t="s">
        <v>73</v>
      </c>
      <c r="L226" t="s">
        <v>818</v>
      </c>
      <c r="M226" t="s">
        <v>75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50</v>
      </c>
      <c r="U226" t="s">
        <v>83</v>
      </c>
    </row>
    <row r="227" spans="1:21" x14ac:dyDescent="0.3">
      <c r="A227" t="s">
        <v>819</v>
      </c>
      <c r="B227" s="3">
        <v>45537</v>
      </c>
      <c r="C227" s="3">
        <v>45545</v>
      </c>
      <c r="D227" t="s">
        <v>820</v>
      </c>
      <c r="E227" t="s">
        <v>54</v>
      </c>
      <c r="F227" t="s">
        <v>105</v>
      </c>
      <c r="G227" t="s">
        <v>6</v>
      </c>
      <c r="H227" t="s">
        <v>207</v>
      </c>
      <c r="I227" t="s">
        <v>208</v>
      </c>
      <c r="J227" t="s">
        <v>89</v>
      </c>
      <c r="K227" t="s">
        <v>187</v>
      </c>
      <c r="L227" t="s">
        <v>821</v>
      </c>
      <c r="M227" t="s">
        <v>75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50</v>
      </c>
      <c r="U227" t="s">
        <v>51</v>
      </c>
    </row>
    <row r="228" spans="1:21" x14ac:dyDescent="0.3">
      <c r="A228" t="s">
        <v>822</v>
      </c>
      <c r="B228" s="3">
        <v>45757</v>
      </c>
      <c r="C228" s="3">
        <v>45762</v>
      </c>
      <c r="D228" t="s">
        <v>823</v>
      </c>
      <c r="E228" t="s">
        <v>178</v>
      </c>
      <c r="F228" t="s">
        <v>110</v>
      </c>
      <c r="H228" t="s">
        <v>202</v>
      </c>
      <c r="I228" t="s">
        <v>203</v>
      </c>
      <c r="J228" t="s">
        <v>89</v>
      </c>
      <c r="K228" t="s">
        <v>95</v>
      </c>
      <c r="L228" t="s">
        <v>824</v>
      </c>
      <c r="M228" t="s">
        <v>61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50</v>
      </c>
      <c r="U228" t="s">
        <v>51</v>
      </c>
    </row>
    <row r="229" spans="1:21" x14ac:dyDescent="0.3">
      <c r="A229" t="s">
        <v>825</v>
      </c>
      <c r="B229" s="3">
        <v>45478</v>
      </c>
      <c r="C229" s="3">
        <v>45485</v>
      </c>
      <c r="D229" t="s">
        <v>826</v>
      </c>
      <c r="E229" t="s">
        <v>78</v>
      </c>
      <c r="F229" t="s">
        <v>827</v>
      </c>
      <c r="G229" t="s">
        <v>6</v>
      </c>
      <c r="H229" t="s">
        <v>207</v>
      </c>
      <c r="I229" t="s">
        <v>208</v>
      </c>
      <c r="J229" t="s">
        <v>46</v>
      </c>
      <c r="K229" t="s">
        <v>169</v>
      </c>
      <c r="L229" t="s">
        <v>828</v>
      </c>
      <c r="M229" t="s">
        <v>67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50</v>
      </c>
      <c r="U229" t="s">
        <v>51</v>
      </c>
    </row>
    <row r="230" spans="1:21" x14ac:dyDescent="0.3">
      <c r="A230" t="s">
        <v>829</v>
      </c>
      <c r="B230" s="3">
        <v>45406</v>
      </c>
      <c r="C230" s="3">
        <v>45410</v>
      </c>
      <c r="D230" t="s">
        <v>830</v>
      </c>
      <c r="E230" t="s">
        <v>41</v>
      </c>
      <c r="F230" t="s">
        <v>55</v>
      </c>
      <c r="G230" t="s">
        <v>5</v>
      </c>
      <c r="H230" t="s">
        <v>71</v>
      </c>
      <c r="I230" t="s">
        <v>72</v>
      </c>
      <c r="J230" t="s">
        <v>46</v>
      </c>
      <c r="K230" t="s">
        <v>106</v>
      </c>
      <c r="L230" t="s">
        <v>831</v>
      </c>
      <c r="M230" t="s">
        <v>49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50</v>
      </c>
      <c r="U230" t="s">
        <v>51</v>
      </c>
    </row>
    <row r="231" spans="1:21" x14ac:dyDescent="0.3">
      <c r="A231" t="s">
        <v>832</v>
      </c>
      <c r="B231" s="3">
        <v>45836</v>
      </c>
      <c r="C231" s="3">
        <v>45754</v>
      </c>
      <c r="D231" t="s">
        <v>833</v>
      </c>
      <c r="E231" t="s">
        <v>157</v>
      </c>
      <c r="F231" t="s">
        <v>42</v>
      </c>
      <c r="G231" t="s">
        <v>5</v>
      </c>
      <c r="H231" t="s">
        <v>71</v>
      </c>
      <c r="I231" t="s">
        <v>72</v>
      </c>
      <c r="J231" t="s">
        <v>58</v>
      </c>
      <c r="K231" t="s">
        <v>174</v>
      </c>
      <c r="L231" t="s">
        <v>834</v>
      </c>
      <c r="M231" t="s">
        <v>67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117</v>
      </c>
      <c r="U231" t="s">
        <v>118</v>
      </c>
    </row>
    <row r="232" spans="1:21" x14ac:dyDescent="0.3">
      <c r="A232" t="s">
        <v>835</v>
      </c>
      <c r="B232" s="3">
        <v>45440</v>
      </c>
      <c r="C232" s="3">
        <v>45446</v>
      </c>
      <c r="D232" t="s">
        <v>836</v>
      </c>
      <c r="E232" t="s">
        <v>94</v>
      </c>
      <c r="F232" t="s">
        <v>55</v>
      </c>
      <c r="G232" t="s">
        <v>3</v>
      </c>
      <c r="H232" t="s">
        <v>44</v>
      </c>
      <c r="I232" t="s">
        <v>45</v>
      </c>
      <c r="J232" t="s">
        <v>46</v>
      </c>
      <c r="K232" t="s">
        <v>47</v>
      </c>
      <c r="L232" t="s">
        <v>837</v>
      </c>
      <c r="M232" t="s">
        <v>75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50</v>
      </c>
      <c r="U232" t="s">
        <v>51</v>
      </c>
    </row>
    <row r="233" spans="1:21" x14ac:dyDescent="0.3">
      <c r="A233" t="s">
        <v>838</v>
      </c>
      <c r="B233" s="3">
        <v>45414</v>
      </c>
      <c r="C233" s="3">
        <v>45327</v>
      </c>
      <c r="D233" t="s">
        <v>839</v>
      </c>
      <c r="E233" t="s">
        <v>78</v>
      </c>
      <c r="F233" t="s">
        <v>105</v>
      </c>
      <c r="G233" t="s">
        <v>3</v>
      </c>
      <c r="H233" t="s">
        <v>44</v>
      </c>
      <c r="I233" t="s">
        <v>45</v>
      </c>
      <c r="J233" t="s">
        <v>840</v>
      </c>
      <c r="K233" t="s">
        <v>106</v>
      </c>
      <c r="L233" t="s">
        <v>841</v>
      </c>
      <c r="M233" t="s">
        <v>67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117</v>
      </c>
      <c r="U233" t="s">
        <v>83</v>
      </c>
    </row>
    <row r="234" spans="1:21" x14ac:dyDescent="0.3">
      <c r="A234" t="s">
        <v>842</v>
      </c>
      <c r="B234" s="3">
        <v>45812</v>
      </c>
      <c r="C234" s="3">
        <v>45818</v>
      </c>
      <c r="D234" t="s">
        <v>843</v>
      </c>
      <c r="E234" t="s">
        <v>134</v>
      </c>
      <c r="F234" t="s">
        <v>42</v>
      </c>
      <c r="G234" t="s">
        <v>5</v>
      </c>
      <c r="H234" t="s">
        <v>99</v>
      </c>
      <c r="I234" t="s">
        <v>100</v>
      </c>
      <c r="J234" t="s">
        <v>89</v>
      </c>
      <c r="K234" t="s">
        <v>187</v>
      </c>
      <c r="L234" t="s">
        <v>844</v>
      </c>
      <c r="M234" t="s">
        <v>75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50</v>
      </c>
      <c r="U234" t="s">
        <v>51</v>
      </c>
    </row>
    <row r="235" spans="1:21" x14ac:dyDescent="0.3">
      <c r="A235" t="s">
        <v>845</v>
      </c>
      <c r="B235" s="3">
        <v>45579</v>
      </c>
      <c r="C235" s="3"/>
      <c r="D235" t="s">
        <v>846</v>
      </c>
      <c r="E235" t="s">
        <v>86</v>
      </c>
      <c r="F235" t="s">
        <v>105</v>
      </c>
      <c r="G235" t="s">
        <v>5</v>
      </c>
      <c r="H235" t="s">
        <v>192</v>
      </c>
      <c r="I235" t="s">
        <v>193</v>
      </c>
      <c r="J235" t="s">
        <v>58</v>
      </c>
      <c r="K235" t="s">
        <v>174</v>
      </c>
      <c r="L235" t="s">
        <v>847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50</v>
      </c>
      <c r="U235" t="s">
        <v>51</v>
      </c>
    </row>
    <row r="236" spans="1:21" x14ac:dyDescent="0.3">
      <c r="A236" t="s">
        <v>848</v>
      </c>
      <c r="B236" s="3">
        <v>45331</v>
      </c>
      <c r="C236" s="3">
        <v>45538</v>
      </c>
      <c r="D236" t="s">
        <v>849</v>
      </c>
      <c r="E236" t="s">
        <v>284</v>
      </c>
      <c r="F236" t="s">
        <v>110</v>
      </c>
      <c r="G236" t="s">
        <v>3</v>
      </c>
      <c r="H236" t="s">
        <v>372</v>
      </c>
      <c r="I236" t="s">
        <v>373</v>
      </c>
      <c r="J236" t="s">
        <v>58</v>
      </c>
      <c r="K236" t="s">
        <v>73</v>
      </c>
      <c r="L236" t="s">
        <v>850</v>
      </c>
      <c r="M236" t="s">
        <v>67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50</v>
      </c>
      <c r="U236" t="s">
        <v>51</v>
      </c>
    </row>
    <row r="237" spans="1:21" x14ac:dyDescent="0.3">
      <c r="A237" t="s">
        <v>851</v>
      </c>
      <c r="B237" s="3">
        <v>45333</v>
      </c>
      <c r="C237" s="3">
        <v>45362</v>
      </c>
      <c r="D237" t="s">
        <v>852</v>
      </c>
      <c r="E237" t="s">
        <v>134</v>
      </c>
      <c r="F237" t="s">
        <v>55</v>
      </c>
      <c r="G237" t="s">
        <v>6</v>
      </c>
      <c r="H237" t="s">
        <v>44</v>
      </c>
      <c r="I237" t="s">
        <v>125</v>
      </c>
      <c r="J237" t="s">
        <v>46</v>
      </c>
      <c r="K237" t="s">
        <v>140</v>
      </c>
      <c r="L237" t="s">
        <v>853</v>
      </c>
      <c r="M237" t="s">
        <v>75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50</v>
      </c>
      <c r="U237" t="s">
        <v>51</v>
      </c>
    </row>
    <row r="238" spans="1:21" x14ac:dyDescent="0.3">
      <c r="A238" t="s">
        <v>854</v>
      </c>
      <c r="B238" s="3"/>
      <c r="C238" s="3">
        <v>45586</v>
      </c>
      <c r="D238" t="s">
        <v>855</v>
      </c>
      <c r="E238" t="s">
        <v>130</v>
      </c>
      <c r="F238" t="s">
        <v>105</v>
      </c>
      <c r="G238" t="s">
        <v>3</v>
      </c>
      <c r="H238" t="s">
        <v>152</v>
      </c>
      <c r="I238" t="s">
        <v>153</v>
      </c>
      <c r="J238" t="s">
        <v>58</v>
      </c>
      <c r="K238" t="s">
        <v>174</v>
      </c>
      <c r="L238" t="s">
        <v>856</v>
      </c>
      <c r="M238" t="s">
        <v>67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50</v>
      </c>
      <c r="U238" t="s">
        <v>51</v>
      </c>
    </row>
    <row r="239" spans="1:21" x14ac:dyDescent="0.3">
      <c r="A239" t="s">
        <v>857</v>
      </c>
      <c r="B239" s="3">
        <v>45531</v>
      </c>
      <c r="C239" s="3">
        <v>45531</v>
      </c>
      <c r="D239" t="s">
        <v>858</v>
      </c>
      <c r="E239" t="s">
        <v>54</v>
      </c>
      <c r="F239" t="s">
        <v>42</v>
      </c>
      <c r="G239" t="s">
        <v>3</v>
      </c>
      <c r="H239" t="s">
        <v>254</v>
      </c>
      <c r="I239" t="s">
        <v>255</v>
      </c>
      <c r="J239" t="s">
        <v>89</v>
      </c>
      <c r="K239" t="s">
        <v>95</v>
      </c>
      <c r="L239" t="s">
        <v>859</v>
      </c>
      <c r="M239" t="s">
        <v>75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50</v>
      </c>
      <c r="U239" t="s">
        <v>51</v>
      </c>
    </row>
    <row r="240" spans="1:21" x14ac:dyDescent="0.3">
      <c r="A240" t="s">
        <v>860</v>
      </c>
      <c r="B240" s="3">
        <v>45627</v>
      </c>
      <c r="C240" s="3"/>
      <c r="D240" t="s">
        <v>861</v>
      </c>
      <c r="E240" t="s">
        <v>70</v>
      </c>
      <c r="F240" t="s">
        <v>42</v>
      </c>
      <c r="G240" t="s">
        <v>5</v>
      </c>
      <c r="H240" t="s">
        <v>99</v>
      </c>
      <c r="I240" t="s">
        <v>100</v>
      </c>
      <c r="J240" t="s">
        <v>46</v>
      </c>
      <c r="K240" t="s">
        <v>140</v>
      </c>
      <c r="L240" t="s">
        <v>862</v>
      </c>
      <c r="M240" t="s">
        <v>67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50</v>
      </c>
      <c r="U240" t="s">
        <v>51</v>
      </c>
    </row>
    <row r="241" spans="1:21" x14ac:dyDescent="0.3">
      <c r="A241" t="s">
        <v>863</v>
      </c>
      <c r="B241" s="3">
        <v>45556</v>
      </c>
      <c r="C241" s="3"/>
      <c r="D241" t="s">
        <v>864</v>
      </c>
      <c r="E241" t="s">
        <v>284</v>
      </c>
      <c r="F241" t="s">
        <v>105</v>
      </c>
      <c r="G241" t="s">
        <v>5</v>
      </c>
      <c r="H241" t="s">
        <v>192</v>
      </c>
      <c r="I241" t="s">
        <v>193</v>
      </c>
      <c r="J241" t="s">
        <v>89</v>
      </c>
      <c r="K241" t="s">
        <v>294</v>
      </c>
      <c r="L241" t="s">
        <v>865</v>
      </c>
      <c r="M241" t="s">
        <v>67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50</v>
      </c>
      <c r="U241" t="s">
        <v>51</v>
      </c>
    </row>
    <row r="242" spans="1:21" x14ac:dyDescent="0.3">
      <c r="A242" t="s">
        <v>866</v>
      </c>
      <c r="B242" s="3">
        <v>45643</v>
      </c>
      <c r="C242" s="3">
        <v>45649</v>
      </c>
      <c r="D242" t="s">
        <v>867</v>
      </c>
      <c r="E242" t="s">
        <v>144</v>
      </c>
      <c r="F242" t="s">
        <v>105</v>
      </c>
      <c r="G242" t="s">
        <v>5</v>
      </c>
      <c r="H242" t="s">
        <v>71</v>
      </c>
      <c r="I242" t="s">
        <v>72</v>
      </c>
      <c r="J242" t="s">
        <v>46</v>
      </c>
      <c r="K242" t="s">
        <v>169</v>
      </c>
      <c r="L242" t="s">
        <v>868</v>
      </c>
      <c r="M242" t="s">
        <v>67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50</v>
      </c>
      <c r="U242" t="s">
        <v>51</v>
      </c>
    </row>
    <row r="243" spans="1:21" x14ac:dyDescent="0.3">
      <c r="A243" t="s">
        <v>869</v>
      </c>
      <c r="B243" s="3">
        <v>45815</v>
      </c>
      <c r="C243" s="3">
        <v>45844</v>
      </c>
      <c r="D243" t="s">
        <v>870</v>
      </c>
      <c r="E243" t="s">
        <v>148</v>
      </c>
      <c r="F243" t="s">
        <v>105</v>
      </c>
      <c r="G243" t="s">
        <v>3</v>
      </c>
      <c r="H243" t="s">
        <v>254</v>
      </c>
      <c r="I243" t="s">
        <v>255</v>
      </c>
      <c r="J243" t="s">
        <v>46</v>
      </c>
      <c r="K243" t="s">
        <v>140</v>
      </c>
      <c r="L243" t="s">
        <v>871</v>
      </c>
      <c r="M243" t="s">
        <v>75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127</v>
      </c>
      <c r="U243" t="s">
        <v>118</v>
      </c>
    </row>
    <row r="244" spans="1:21" x14ac:dyDescent="0.3">
      <c r="A244" t="s">
        <v>872</v>
      </c>
      <c r="B244" s="3">
        <v>45695</v>
      </c>
      <c r="C244" s="3">
        <v>45695</v>
      </c>
      <c r="D244" t="s">
        <v>873</v>
      </c>
      <c r="E244" t="s">
        <v>70</v>
      </c>
      <c r="F244" t="s">
        <v>42</v>
      </c>
      <c r="G244" t="s">
        <v>3</v>
      </c>
      <c r="H244" t="s">
        <v>152</v>
      </c>
      <c r="I244" t="s">
        <v>153</v>
      </c>
      <c r="J244" t="s">
        <v>46</v>
      </c>
      <c r="K244" t="s">
        <v>65</v>
      </c>
      <c r="L244" t="s">
        <v>874</v>
      </c>
      <c r="M244" t="s">
        <v>49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50</v>
      </c>
      <c r="U244" t="s">
        <v>51</v>
      </c>
    </row>
    <row r="245" spans="1:21" x14ac:dyDescent="0.3">
      <c r="A245" t="s">
        <v>875</v>
      </c>
      <c r="B245" s="3">
        <v>45867</v>
      </c>
      <c r="C245" s="3">
        <v>45871</v>
      </c>
      <c r="D245" t="s">
        <v>876</v>
      </c>
      <c r="E245" t="s">
        <v>148</v>
      </c>
      <c r="F245" t="s">
        <v>55</v>
      </c>
      <c r="H245" t="s">
        <v>87</v>
      </c>
      <c r="I245" t="s">
        <v>88</v>
      </c>
      <c r="J245" t="s">
        <v>89</v>
      </c>
      <c r="K245" t="s">
        <v>90</v>
      </c>
      <c r="L245" t="s">
        <v>877</v>
      </c>
      <c r="M245" t="s">
        <v>67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50</v>
      </c>
      <c r="U245" t="s">
        <v>711</v>
      </c>
    </row>
    <row r="246" spans="1:21" x14ac:dyDescent="0.3">
      <c r="A246" t="s">
        <v>878</v>
      </c>
      <c r="B246" s="3"/>
      <c r="C246" s="3">
        <v>45528</v>
      </c>
      <c r="D246" t="s">
        <v>879</v>
      </c>
      <c r="E246" t="s">
        <v>94</v>
      </c>
      <c r="F246" t="s">
        <v>42</v>
      </c>
      <c r="G246" t="s">
        <v>5</v>
      </c>
      <c r="H246" t="s">
        <v>71</v>
      </c>
      <c r="I246" t="s">
        <v>72</v>
      </c>
      <c r="J246" t="s">
        <v>58</v>
      </c>
      <c r="K246" t="s">
        <v>174</v>
      </c>
      <c r="L246" t="s">
        <v>880</v>
      </c>
      <c r="M246" t="s">
        <v>61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50</v>
      </c>
      <c r="U246" t="s">
        <v>51</v>
      </c>
    </row>
    <row r="247" spans="1:21" x14ac:dyDescent="0.3">
      <c r="A247" t="s">
        <v>881</v>
      </c>
      <c r="B247" s="3"/>
      <c r="C247" s="3">
        <v>45589</v>
      </c>
      <c r="D247" t="s">
        <v>882</v>
      </c>
      <c r="E247" t="s">
        <v>94</v>
      </c>
      <c r="F247" t="s">
        <v>110</v>
      </c>
      <c r="G247" t="s">
        <v>5</v>
      </c>
      <c r="H247" t="s">
        <v>202</v>
      </c>
      <c r="I247" t="s">
        <v>203</v>
      </c>
      <c r="J247" t="s">
        <v>883</v>
      </c>
      <c r="K247" t="s">
        <v>81</v>
      </c>
      <c r="L247" t="s">
        <v>884</v>
      </c>
      <c r="M247" t="s">
        <v>49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50</v>
      </c>
      <c r="U247" t="s">
        <v>51</v>
      </c>
    </row>
    <row r="248" spans="1:21" x14ac:dyDescent="0.3">
      <c r="A248" t="s">
        <v>885</v>
      </c>
      <c r="B248" s="3">
        <v>45416</v>
      </c>
      <c r="C248" s="3">
        <v>45421</v>
      </c>
      <c r="D248" t="s">
        <v>886</v>
      </c>
      <c r="E248" t="s">
        <v>78</v>
      </c>
      <c r="F248" t="s">
        <v>105</v>
      </c>
      <c r="G248" t="s">
        <v>3</v>
      </c>
      <c r="H248" t="s">
        <v>138</v>
      </c>
      <c r="I248" t="s">
        <v>139</v>
      </c>
      <c r="J248" t="s">
        <v>89</v>
      </c>
      <c r="K248" t="s">
        <v>294</v>
      </c>
      <c r="L248" t="s">
        <v>887</v>
      </c>
      <c r="M248" t="s">
        <v>61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117</v>
      </c>
      <c r="U248" t="s">
        <v>83</v>
      </c>
    </row>
    <row r="249" spans="1:21" x14ac:dyDescent="0.3">
      <c r="A249" t="s">
        <v>888</v>
      </c>
      <c r="B249" s="3"/>
      <c r="C249" s="3">
        <v>45505</v>
      </c>
      <c r="D249" t="s">
        <v>889</v>
      </c>
      <c r="E249" t="s">
        <v>134</v>
      </c>
      <c r="F249" t="s">
        <v>105</v>
      </c>
      <c r="G249" t="s">
        <v>3</v>
      </c>
      <c r="H249" t="s">
        <v>44</v>
      </c>
      <c r="I249" t="s">
        <v>45</v>
      </c>
      <c r="J249" t="s">
        <v>89</v>
      </c>
      <c r="K249" t="s">
        <v>90</v>
      </c>
      <c r="L249" t="s">
        <v>890</v>
      </c>
      <c r="M249" t="s">
        <v>49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50</v>
      </c>
      <c r="U249" t="s">
        <v>51</v>
      </c>
    </row>
    <row r="250" spans="1:21" x14ac:dyDescent="0.3">
      <c r="A250" t="s">
        <v>891</v>
      </c>
      <c r="B250" s="3">
        <v>45328</v>
      </c>
      <c r="C250" s="3">
        <v>45450</v>
      </c>
      <c r="D250" t="s">
        <v>892</v>
      </c>
      <c r="E250" t="s">
        <v>157</v>
      </c>
      <c r="F250" t="s">
        <v>110</v>
      </c>
      <c r="G250" t="s">
        <v>4</v>
      </c>
      <c r="H250" t="s">
        <v>56</v>
      </c>
      <c r="I250" t="s">
        <v>57</v>
      </c>
      <c r="J250" t="s">
        <v>46</v>
      </c>
      <c r="K250" t="s">
        <v>106</v>
      </c>
      <c r="L250" t="s">
        <v>893</v>
      </c>
      <c r="M250" t="s">
        <v>49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50</v>
      </c>
      <c r="U250" t="s">
        <v>51</v>
      </c>
    </row>
    <row r="251" spans="1:21" x14ac:dyDescent="0.3">
      <c r="A251" t="s">
        <v>894</v>
      </c>
      <c r="B251" s="3">
        <v>45665</v>
      </c>
      <c r="C251" s="3">
        <v>45696</v>
      </c>
      <c r="D251" t="s">
        <v>895</v>
      </c>
      <c r="E251" t="s">
        <v>54</v>
      </c>
      <c r="F251" t="s">
        <v>105</v>
      </c>
      <c r="G251" t="s">
        <v>3</v>
      </c>
      <c r="H251" t="s">
        <v>44</v>
      </c>
      <c r="I251" t="s">
        <v>45</v>
      </c>
      <c r="J251" t="s">
        <v>58</v>
      </c>
      <c r="K251" t="s">
        <v>73</v>
      </c>
      <c r="L251" t="s">
        <v>896</v>
      </c>
      <c r="M251" t="s">
        <v>67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50</v>
      </c>
      <c r="U251" t="s">
        <v>51</v>
      </c>
    </row>
    <row r="252" spans="1:21" x14ac:dyDescent="0.3">
      <c r="A252" t="s">
        <v>897</v>
      </c>
      <c r="B252" s="3"/>
      <c r="C252" s="3"/>
      <c r="D252" t="s">
        <v>898</v>
      </c>
      <c r="E252" t="s">
        <v>70</v>
      </c>
      <c r="F252" t="s">
        <v>55</v>
      </c>
      <c r="G252" t="s">
        <v>4</v>
      </c>
      <c r="H252" t="s">
        <v>114</v>
      </c>
      <c r="I252" t="s">
        <v>115</v>
      </c>
      <c r="J252" t="s">
        <v>58</v>
      </c>
      <c r="K252" t="s">
        <v>73</v>
      </c>
      <c r="L252" t="s">
        <v>899</v>
      </c>
      <c r="M252" t="s">
        <v>75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127</v>
      </c>
      <c r="U252" t="s">
        <v>118</v>
      </c>
    </row>
    <row r="253" spans="1:21" x14ac:dyDescent="0.3">
      <c r="A253" t="s">
        <v>900</v>
      </c>
      <c r="B253" s="3">
        <v>45753</v>
      </c>
      <c r="C253" s="3">
        <v>45934</v>
      </c>
      <c r="D253" t="s">
        <v>901</v>
      </c>
      <c r="E253" t="s">
        <v>78</v>
      </c>
      <c r="F253" t="s">
        <v>105</v>
      </c>
      <c r="G253" t="s">
        <v>6</v>
      </c>
      <c r="H253" t="s">
        <v>197</v>
      </c>
      <c r="I253" t="s">
        <v>198</v>
      </c>
      <c r="J253" t="s">
        <v>58</v>
      </c>
      <c r="K253" t="s">
        <v>59</v>
      </c>
      <c r="L253" t="s">
        <v>902</v>
      </c>
      <c r="M253" t="s">
        <v>49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50</v>
      </c>
      <c r="U253" t="s">
        <v>51</v>
      </c>
    </row>
    <row r="254" spans="1:21" x14ac:dyDescent="0.3">
      <c r="A254" t="s">
        <v>903</v>
      </c>
      <c r="B254" s="3">
        <v>45833</v>
      </c>
      <c r="C254" s="3">
        <v>45836</v>
      </c>
      <c r="D254" t="s">
        <v>904</v>
      </c>
      <c r="E254" t="s">
        <v>70</v>
      </c>
      <c r="F254" t="s">
        <v>105</v>
      </c>
      <c r="G254" t="s">
        <v>3</v>
      </c>
      <c r="H254" t="s">
        <v>254</v>
      </c>
      <c r="I254" t="s">
        <v>255</v>
      </c>
      <c r="J254" t="s">
        <v>46</v>
      </c>
      <c r="K254" t="s">
        <v>140</v>
      </c>
      <c r="L254" t="s">
        <v>905</v>
      </c>
      <c r="M254" t="s">
        <v>67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127</v>
      </c>
      <c r="U254" t="s">
        <v>118</v>
      </c>
    </row>
    <row r="255" spans="1:21" x14ac:dyDescent="0.3">
      <c r="A255" t="s">
        <v>906</v>
      </c>
      <c r="B255" s="3">
        <v>45547</v>
      </c>
      <c r="C255" s="3"/>
      <c r="D255" t="s">
        <v>907</v>
      </c>
      <c r="E255" t="s">
        <v>130</v>
      </c>
      <c r="F255" t="s">
        <v>55</v>
      </c>
      <c r="G255" t="s">
        <v>3</v>
      </c>
      <c r="H255" t="s">
        <v>44</v>
      </c>
      <c r="I255" t="s">
        <v>45</v>
      </c>
      <c r="J255" t="s">
        <v>89</v>
      </c>
      <c r="K255" t="s">
        <v>187</v>
      </c>
      <c r="L255" t="s">
        <v>908</v>
      </c>
      <c r="M255" t="s">
        <v>61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117</v>
      </c>
      <c r="U255" t="s">
        <v>83</v>
      </c>
    </row>
    <row r="256" spans="1:21" x14ac:dyDescent="0.3">
      <c r="A256" t="s">
        <v>909</v>
      </c>
      <c r="B256" s="3">
        <v>45658</v>
      </c>
      <c r="C256" s="3">
        <v>45660</v>
      </c>
      <c r="D256" t="s">
        <v>910</v>
      </c>
      <c r="E256" t="s">
        <v>78</v>
      </c>
      <c r="F256" t="s">
        <v>42</v>
      </c>
      <c r="G256" t="s">
        <v>6</v>
      </c>
      <c r="H256" t="s">
        <v>87</v>
      </c>
      <c r="I256" t="s">
        <v>88</v>
      </c>
      <c r="J256" t="s">
        <v>89</v>
      </c>
      <c r="K256" t="s">
        <v>90</v>
      </c>
      <c r="L256" t="s">
        <v>911</v>
      </c>
      <c r="M256" t="s">
        <v>61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50</v>
      </c>
      <c r="U256" t="s">
        <v>118</v>
      </c>
    </row>
    <row r="257" spans="1:21" x14ac:dyDescent="0.3">
      <c r="A257" t="s">
        <v>912</v>
      </c>
      <c r="B257" s="3">
        <v>45692</v>
      </c>
      <c r="C257" s="3">
        <v>45932</v>
      </c>
      <c r="D257" t="s">
        <v>913</v>
      </c>
      <c r="E257" t="s">
        <v>64</v>
      </c>
      <c r="F257" t="s">
        <v>105</v>
      </c>
      <c r="G257" t="s">
        <v>6</v>
      </c>
      <c r="H257" t="s">
        <v>79</v>
      </c>
      <c r="I257" t="s">
        <v>80</v>
      </c>
      <c r="J257" t="s">
        <v>89</v>
      </c>
      <c r="K257" t="s">
        <v>187</v>
      </c>
      <c r="L257" t="s">
        <v>914</v>
      </c>
      <c r="M257" t="s">
        <v>67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50</v>
      </c>
      <c r="U257" t="s">
        <v>51</v>
      </c>
    </row>
    <row r="258" spans="1:21" x14ac:dyDescent="0.3">
      <c r="A258" t="s">
        <v>915</v>
      </c>
      <c r="B258" s="3">
        <v>45601</v>
      </c>
      <c r="C258" s="3">
        <v>45599</v>
      </c>
      <c r="D258" t="s">
        <v>916</v>
      </c>
      <c r="E258" t="s">
        <v>78</v>
      </c>
      <c r="F258" t="s">
        <v>42</v>
      </c>
      <c r="G258" t="s">
        <v>4</v>
      </c>
      <c r="H258" t="s">
        <v>114</v>
      </c>
      <c r="I258" t="s">
        <v>115</v>
      </c>
      <c r="J258" t="s">
        <v>58</v>
      </c>
      <c r="K258" t="s">
        <v>59</v>
      </c>
      <c r="L258" t="s">
        <v>917</v>
      </c>
      <c r="M258" t="s">
        <v>67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50</v>
      </c>
      <c r="U258" t="s">
        <v>51</v>
      </c>
    </row>
    <row r="259" spans="1:21" x14ac:dyDescent="0.3">
      <c r="A259" t="s">
        <v>918</v>
      </c>
      <c r="B259" s="3">
        <v>45878</v>
      </c>
      <c r="C259" s="3">
        <v>45881</v>
      </c>
      <c r="D259" t="s">
        <v>919</v>
      </c>
      <c r="E259" t="s">
        <v>178</v>
      </c>
      <c r="F259" t="s">
        <v>105</v>
      </c>
      <c r="G259" t="s">
        <v>5</v>
      </c>
      <c r="H259" t="s">
        <v>192</v>
      </c>
      <c r="I259" t="s">
        <v>193</v>
      </c>
      <c r="J259" t="s">
        <v>89</v>
      </c>
      <c r="K259" t="s">
        <v>90</v>
      </c>
      <c r="L259" t="s">
        <v>920</v>
      </c>
      <c r="M259" t="s">
        <v>49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50</v>
      </c>
      <c r="U259" t="s">
        <v>83</v>
      </c>
    </row>
    <row r="260" spans="1:21" x14ac:dyDescent="0.3">
      <c r="A260" t="s">
        <v>921</v>
      </c>
      <c r="B260" s="3">
        <v>45656</v>
      </c>
      <c r="C260" s="3">
        <v>45661</v>
      </c>
      <c r="D260" t="s">
        <v>922</v>
      </c>
      <c r="E260" t="s">
        <v>148</v>
      </c>
      <c r="F260" t="s">
        <v>105</v>
      </c>
      <c r="G260" t="s">
        <v>5</v>
      </c>
      <c r="H260" t="s">
        <v>265</v>
      </c>
      <c r="I260" t="s">
        <v>266</v>
      </c>
      <c r="J260" t="s">
        <v>58</v>
      </c>
      <c r="K260" t="s">
        <v>59</v>
      </c>
      <c r="L260" t="s">
        <v>923</v>
      </c>
      <c r="M260" t="s">
        <v>61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50</v>
      </c>
      <c r="U260" t="s">
        <v>51</v>
      </c>
    </row>
    <row r="261" spans="1:21" x14ac:dyDescent="0.3">
      <c r="A261" t="s">
        <v>924</v>
      </c>
      <c r="B261" s="3"/>
      <c r="C261" s="3">
        <v>45472</v>
      </c>
      <c r="D261" t="s">
        <v>925</v>
      </c>
      <c r="E261" t="s">
        <v>94</v>
      </c>
      <c r="F261" t="s">
        <v>42</v>
      </c>
      <c r="G261" t="s">
        <v>5</v>
      </c>
      <c r="H261" t="s">
        <v>265</v>
      </c>
      <c r="I261" t="s">
        <v>266</v>
      </c>
      <c r="J261" t="s">
        <v>89</v>
      </c>
      <c r="K261" t="s">
        <v>294</v>
      </c>
      <c r="L261" t="s">
        <v>926</v>
      </c>
      <c r="M261" t="s">
        <v>75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50</v>
      </c>
      <c r="U261" t="s">
        <v>51</v>
      </c>
    </row>
    <row r="262" spans="1:21" x14ac:dyDescent="0.3">
      <c r="A262" t="s">
        <v>927</v>
      </c>
      <c r="B262" s="3">
        <v>45923</v>
      </c>
      <c r="C262" s="3"/>
      <c r="D262" t="s">
        <v>928</v>
      </c>
      <c r="E262" t="s">
        <v>104</v>
      </c>
      <c r="F262" t="s">
        <v>105</v>
      </c>
      <c r="G262" t="s">
        <v>4</v>
      </c>
      <c r="H262" t="s">
        <v>114</v>
      </c>
      <c r="I262" t="s">
        <v>115</v>
      </c>
      <c r="J262" t="s">
        <v>46</v>
      </c>
      <c r="K262" t="s">
        <v>169</v>
      </c>
      <c r="L262" t="s">
        <v>929</v>
      </c>
      <c r="M262" t="s">
        <v>61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171</v>
      </c>
      <c r="U262" t="s">
        <v>118</v>
      </c>
    </row>
    <row r="263" spans="1:21" x14ac:dyDescent="0.3">
      <c r="A263" t="s">
        <v>930</v>
      </c>
      <c r="B263" s="3"/>
      <c r="C263" s="3"/>
      <c r="D263" t="s">
        <v>931</v>
      </c>
      <c r="E263" t="s">
        <v>148</v>
      </c>
      <c r="F263" t="s">
        <v>105</v>
      </c>
      <c r="G263" t="s">
        <v>3</v>
      </c>
      <c r="H263" t="s">
        <v>44</v>
      </c>
      <c r="I263" t="s">
        <v>45</v>
      </c>
      <c r="J263" t="s">
        <v>46</v>
      </c>
      <c r="K263" t="s">
        <v>106</v>
      </c>
      <c r="L263" t="s">
        <v>932</v>
      </c>
      <c r="M263" t="s">
        <v>75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171</v>
      </c>
      <c r="U263" t="s">
        <v>83</v>
      </c>
    </row>
    <row r="264" spans="1:21" x14ac:dyDescent="0.3">
      <c r="A264" t="s">
        <v>933</v>
      </c>
      <c r="B264" s="3">
        <v>45803</v>
      </c>
      <c r="C264" s="3">
        <v>45809</v>
      </c>
      <c r="D264" t="s">
        <v>661</v>
      </c>
      <c r="E264" t="s">
        <v>70</v>
      </c>
      <c r="F264" t="s">
        <v>55</v>
      </c>
      <c r="G264" t="s">
        <v>3</v>
      </c>
      <c r="H264" t="s">
        <v>372</v>
      </c>
      <c r="I264" t="s">
        <v>373</v>
      </c>
      <c r="J264" t="s">
        <v>89</v>
      </c>
      <c r="K264" t="s">
        <v>187</v>
      </c>
      <c r="L264" t="s">
        <v>934</v>
      </c>
      <c r="M264" t="s">
        <v>61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127</v>
      </c>
      <c r="U264" t="s">
        <v>118</v>
      </c>
    </row>
    <row r="265" spans="1:21" x14ac:dyDescent="0.3">
      <c r="A265" t="s">
        <v>935</v>
      </c>
      <c r="B265" s="3">
        <v>45875</v>
      </c>
      <c r="C265" s="3">
        <v>45879</v>
      </c>
      <c r="D265" t="s">
        <v>936</v>
      </c>
      <c r="E265" t="s">
        <v>157</v>
      </c>
      <c r="F265" t="s">
        <v>55</v>
      </c>
      <c r="G265" t="s">
        <v>3</v>
      </c>
      <c r="H265" t="s">
        <v>372</v>
      </c>
      <c r="I265" t="s">
        <v>373</v>
      </c>
      <c r="J265" t="s">
        <v>46</v>
      </c>
      <c r="K265" t="s">
        <v>169</v>
      </c>
      <c r="L265" t="s">
        <v>937</v>
      </c>
      <c r="M265" t="s">
        <v>49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127</v>
      </c>
      <c r="U265" t="s">
        <v>118</v>
      </c>
    </row>
    <row r="266" spans="1:21" x14ac:dyDescent="0.3">
      <c r="A266" t="s">
        <v>938</v>
      </c>
      <c r="B266" s="3">
        <v>45428</v>
      </c>
      <c r="C266" s="3"/>
      <c r="D266" t="s">
        <v>939</v>
      </c>
      <c r="E266" t="s">
        <v>178</v>
      </c>
      <c r="F266" t="s">
        <v>55</v>
      </c>
      <c r="G266" t="s">
        <v>4</v>
      </c>
      <c r="H266" t="s">
        <v>161</v>
      </c>
      <c r="I266" t="s">
        <v>162</v>
      </c>
      <c r="J266" t="s">
        <v>89</v>
      </c>
      <c r="K266" t="s">
        <v>95</v>
      </c>
      <c r="L266" t="s">
        <v>940</v>
      </c>
      <c r="M266" t="s">
        <v>75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50</v>
      </c>
      <c r="U266" t="s">
        <v>51</v>
      </c>
    </row>
    <row r="267" spans="1:21" x14ac:dyDescent="0.3">
      <c r="A267" t="s">
        <v>941</v>
      </c>
      <c r="B267" s="3">
        <v>45610</v>
      </c>
      <c r="C267" s="3"/>
      <c r="D267" t="s">
        <v>942</v>
      </c>
      <c r="E267" t="s">
        <v>130</v>
      </c>
      <c r="F267" t="s">
        <v>105</v>
      </c>
      <c r="G267" t="s">
        <v>4</v>
      </c>
      <c r="H267" t="s">
        <v>161</v>
      </c>
      <c r="I267" t="s">
        <v>162</v>
      </c>
      <c r="J267" t="s">
        <v>58</v>
      </c>
      <c r="K267" t="s">
        <v>174</v>
      </c>
      <c r="L267" t="s">
        <v>943</v>
      </c>
      <c r="M267" t="s">
        <v>61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117</v>
      </c>
      <c r="U267" t="s">
        <v>944</v>
      </c>
    </row>
    <row r="268" spans="1:21" x14ac:dyDescent="0.3">
      <c r="A268" t="s">
        <v>945</v>
      </c>
      <c r="B268" s="3">
        <v>45780</v>
      </c>
      <c r="C268" s="3">
        <v>45787</v>
      </c>
      <c r="D268" t="s">
        <v>946</v>
      </c>
      <c r="E268" t="s">
        <v>94</v>
      </c>
      <c r="F268" t="s">
        <v>110</v>
      </c>
      <c r="G268" t="s">
        <v>6</v>
      </c>
      <c r="H268" t="s">
        <v>79</v>
      </c>
      <c r="I268" t="s">
        <v>80</v>
      </c>
      <c r="J268" t="s">
        <v>46</v>
      </c>
      <c r="K268" t="s">
        <v>140</v>
      </c>
      <c r="L268" t="s">
        <v>947</v>
      </c>
      <c r="M268" t="s">
        <v>49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50</v>
      </c>
      <c r="U268" t="s">
        <v>51</v>
      </c>
    </row>
    <row r="269" spans="1:21" x14ac:dyDescent="0.3">
      <c r="A269" t="s">
        <v>948</v>
      </c>
      <c r="B269" s="3">
        <v>45805</v>
      </c>
      <c r="C269" s="3">
        <v>45812</v>
      </c>
      <c r="D269" t="s">
        <v>949</v>
      </c>
      <c r="E269" t="s">
        <v>178</v>
      </c>
      <c r="F269" t="s">
        <v>105</v>
      </c>
      <c r="G269" t="s">
        <v>4</v>
      </c>
      <c r="H269" t="s">
        <v>246</v>
      </c>
      <c r="I269" t="s">
        <v>247</v>
      </c>
      <c r="J269" t="s">
        <v>58</v>
      </c>
      <c r="K269" t="s">
        <v>73</v>
      </c>
      <c r="L269" t="s">
        <v>950</v>
      </c>
      <c r="M269" t="s">
        <v>67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50</v>
      </c>
      <c r="U269" t="s">
        <v>51</v>
      </c>
    </row>
    <row r="270" spans="1:21" x14ac:dyDescent="0.3">
      <c r="A270" t="s">
        <v>951</v>
      </c>
      <c r="B270" s="3"/>
      <c r="C270" s="3"/>
      <c r="D270" t="s">
        <v>952</v>
      </c>
      <c r="E270" t="s">
        <v>144</v>
      </c>
      <c r="F270" t="s">
        <v>110</v>
      </c>
      <c r="G270" t="s">
        <v>3</v>
      </c>
      <c r="H270" t="s">
        <v>138</v>
      </c>
      <c r="I270" t="s">
        <v>139</v>
      </c>
      <c r="J270" t="s">
        <v>89</v>
      </c>
      <c r="K270" t="s">
        <v>90</v>
      </c>
      <c r="L270" t="s">
        <v>953</v>
      </c>
      <c r="M270" t="s">
        <v>67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50</v>
      </c>
      <c r="U270" t="s">
        <v>51</v>
      </c>
    </row>
    <row r="271" spans="1:21" x14ac:dyDescent="0.3">
      <c r="A271" t="s">
        <v>954</v>
      </c>
      <c r="B271" s="3">
        <v>45932</v>
      </c>
      <c r="C271" s="3">
        <v>45993</v>
      </c>
      <c r="D271" t="s">
        <v>955</v>
      </c>
      <c r="E271" t="s">
        <v>134</v>
      </c>
      <c r="F271" t="s">
        <v>55</v>
      </c>
      <c r="G271" t="s">
        <v>6</v>
      </c>
      <c r="H271" t="s">
        <v>44</v>
      </c>
      <c r="I271" t="s">
        <v>125</v>
      </c>
      <c r="J271" t="s">
        <v>368</v>
      </c>
      <c r="K271" t="s">
        <v>59</v>
      </c>
      <c r="L271" t="s">
        <v>956</v>
      </c>
      <c r="M271" t="s">
        <v>61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50</v>
      </c>
      <c r="U271" t="s">
        <v>51</v>
      </c>
    </row>
    <row r="272" spans="1:21" x14ac:dyDescent="0.3">
      <c r="A272" t="s">
        <v>957</v>
      </c>
      <c r="B272" s="3">
        <v>45627</v>
      </c>
      <c r="C272" s="3">
        <v>45304</v>
      </c>
      <c r="D272" t="s">
        <v>958</v>
      </c>
      <c r="E272" t="s">
        <v>104</v>
      </c>
      <c r="F272" t="s">
        <v>105</v>
      </c>
      <c r="G272" t="s">
        <v>3</v>
      </c>
      <c r="H272" t="s">
        <v>152</v>
      </c>
      <c r="I272" t="s">
        <v>153</v>
      </c>
      <c r="J272" t="s">
        <v>89</v>
      </c>
      <c r="K272" t="s">
        <v>294</v>
      </c>
      <c r="L272" t="s">
        <v>959</v>
      </c>
      <c r="M272" t="s">
        <v>61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50</v>
      </c>
      <c r="U272" t="s">
        <v>51</v>
      </c>
    </row>
    <row r="273" spans="1:21" x14ac:dyDescent="0.3">
      <c r="A273" t="s">
        <v>960</v>
      </c>
      <c r="B273" s="3">
        <v>45647</v>
      </c>
      <c r="C273" s="3">
        <v>45651</v>
      </c>
      <c r="D273" t="s">
        <v>961</v>
      </c>
      <c r="E273" t="s">
        <v>104</v>
      </c>
      <c r="F273" t="s">
        <v>42</v>
      </c>
      <c r="G273" t="s">
        <v>5</v>
      </c>
      <c r="H273" t="s">
        <v>71</v>
      </c>
      <c r="I273" t="s">
        <v>72</v>
      </c>
      <c r="J273" t="s">
        <v>46</v>
      </c>
      <c r="K273" t="s">
        <v>169</v>
      </c>
      <c r="L273" t="s">
        <v>962</v>
      </c>
      <c r="M273" t="s">
        <v>75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171</v>
      </c>
      <c r="U273" t="s">
        <v>83</v>
      </c>
    </row>
    <row r="274" spans="1:21" x14ac:dyDescent="0.3">
      <c r="A274" t="s">
        <v>963</v>
      </c>
      <c r="B274" s="3"/>
      <c r="C274" s="3">
        <v>45528</v>
      </c>
      <c r="D274" t="s">
        <v>964</v>
      </c>
      <c r="E274" t="s">
        <v>70</v>
      </c>
      <c r="F274" t="s">
        <v>42</v>
      </c>
      <c r="G274" t="s">
        <v>5</v>
      </c>
      <c r="H274" t="s">
        <v>99</v>
      </c>
      <c r="I274" t="s">
        <v>100</v>
      </c>
      <c r="J274" t="s">
        <v>58</v>
      </c>
      <c r="K274" t="s">
        <v>81</v>
      </c>
      <c r="L274" t="s">
        <v>965</v>
      </c>
      <c r="M274" t="s">
        <v>67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50</v>
      </c>
      <c r="U274" t="s">
        <v>51</v>
      </c>
    </row>
    <row r="275" spans="1:21" x14ac:dyDescent="0.3">
      <c r="A275" t="s">
        <v>966</v>
      </c>
      <c r="B275" s="3"/>
      <c r="C275" s="3">
        <v>45701</v>
      </c>
      <c r="D275" t="s">
        <v>967</v>
      </c>
      <c r="E275" t="s">
        <v>64</v>
      </c>
      <c r="F275" t="s">
        <v>42</v>
      </c>
      <c r="G275" t="s">
        <v>4</v>
      </c>
      <c r="H275" t="s">
        <v>161</v>
      </c>
      <c r="I275" t="s">
        <v>162</v>
      </c>
      <c r="J275" t="s">
        <v>46</v>
      </c>
      <c r="K275" t="s">
        <v>47</v>
      </c>
      <c r="L275" t="s">
        <v>968</v>
      </c>
      <c r="M275" t="s">
        <v>49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50</v>
      </c>
      <c r="U275" t="s">
        <v>118</v>
      </c>
    </row>
    <row r="276" spans="1:21" x14ac:dyDescent="0.3">
      <c r="A276" t="s">
        <v>969</v>
      </c>
      <c r="B276" s="3">
        <v>45389</v>
      </c>
      <c r="C276" s="3">
        <v>45396</v>
      </c>
      <c r="D276" t="s">
        <v>970</v>
      </c>
      <c r="E276" t="s">
        <v>157</v>
      </c>
      <c r="F276" t="s">
        <v>42</v>
      </c>
      <c r="G276" t="s">
        <v>5</v>
      </c>
      <c r="H276" t="s">
        <v>202</v>
      </c>
      <c r="I276" t="s">
        <v>203</v>
      </c>
      <c r="J276" t="s">
        <v>89</v>
      </c>
      <c r="K276" t="s">
        <v>95</v>
      </c>
      <c r="L276" t="s">
        <v>971</v>
      </c>
      <c r="M276" t="s">
        <v>75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171</v>
      </c>
      <c r="U276" t="s">
        <v>118</v>
      </c>
    </row>
    <row r="277" spans="1:21" x14ac:dyDescent="0.3">
      <c r="A277" t="s">
        <v>972</v>
      </c>
      <c r="B277" s="3">
        <v>45337</v>
      </c>
      <c r="C277" s="3"/>
      <c r="D277" t="s">
        <v>973</v>
      </c>
      <c r="E277" t="s">
        <v>130</v>
      </c>
      <c r="F277" t="s">
        <v>55</v>
      </c>
      <c r="G277" t="s">
        <v>4</v>
      </c>
      <c r="H277" t="s">
        <v>114</v>
      </c>
      <c r="I277" t="s">
        <v>115</v>
      </c>
      <c r="J277" t="s">
        <v>58</v>
      </c>
      <c r="K277" t="s">
        <v>73</v>
      </c>
      <c r="L277" t="s">
        <v>974</v>
      </c>
      <c r="M277" t="s">
        <v>61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50</v>
      </c>
      <c r="U277" t="s">
        <v>51</v>
      </c>
    </row>
    <row r="278" spans="1:21" x14ac:dyDescent="0.3">
      <c r="A278" t="s">
        <v>975</v>
      </c>
      <c r="B278" s="3">
        <v>45313</v>
      </c>
      <c r="C278" s="3">
        <v>45314</v>
      </c>
      <c r="D278" t="s">
        <v>976</v>
      </c>
      <c r="E278" t="s">
        <v>144</v>
      </c>
      <c r="F278" t="s">
        <v>55</v>
      </c>
      <c r="H278" t="s">
        <v>182</v>
      </c>
      <c r="I278" t="s">
        <v>183</v>
      </c>
      <c r="J278" t="s">
        <v>58</v>
      </c>
      <c r="K278" t="s">
        <v>81</v>
      </c>
      <c r="L278" t="s">
        <v>977</v>
      </c>
      <c r="M278" t="s">
        <v>49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50</v>
      </c>
      <c r="U278" t="s">
        <v>51</v>
      </c>
    </row>
    <row r="279" spans="1:21" x14ac:dyDescent="0.3">
      <c r="A279" t="s">
        <v>978</v>
      </c>
      <c r="B279" s="3">
        <v>45812</v>
      </c>
      <c r="C279" s="3">
        <v>45812</v>
      </c>
      <c r="D279" t="s">
        <v>826</v>
      </c>
      <c r="E279" t="s">
        <v>64</v>
      </c>
      <c r="F279" t="s">
        <v>105</v>
      </c>
      <c r="G279" t="s">
        <v>3</v>
      </c>
      <c r="H279" t="s">
        <v>254</v>
      </c>
      <c r="I279" t="s">
        <v>255</v>
      </c>
      <c r="J279" t="s">
        <v>89</v>
      </c>
      <c r="K279" t="s">
        <v>90</v>
      </c>
      <c r="L279" t="s">
        <v>979</v>
      </c>
      <c r="M279" t="s">
        <v>49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127</v>
      </c>
      <c r="U279" t="s">
        <v>83</v>
      </c>
    </row>
    <row r="280" spans="1:21" x14ac:dyDescent="0.3">
      <c r="A280" t="s">
        <v>980</v>
      </c>
      <c r="B280" s="3">
        <v>45723</v>
      </c>
      <c r="C280" s="3">
        <v>45730</v>
      </c>
      <c r="D280" t="s">
        <v>981</v>
      </c>
      <c r="E280" t="s">
        <v>982</v>
      </c>
      <c r="F280" t="s">
        <v>55</v>
      </c>
      <c r="G280" t="s">
        <v>3</v>
      </c>
      <c r="H280" t="s">
        <v>372</v>
      </c>
      <c r="I280" t="s">
        <v>373</v>
      </c>
      <c r="J280" t="s">
        <v>89</v>
      </c>
      <c r="K280" t="s">
        <v>90</v>
      </c>
      <c r="L280" t="s">
        <v>983</v>
      </c>
      <c r="M280" t="s">
        <v>61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50</v>
      </c>
      <c r="U280" t="s">
        <v>118</v>
      </c>
    </row>
    <row r="281" spans="1:21" x14ac:dyDescent="0.3">
      <c r="A281" t="s">
        <v>984</v>
      </c>
      <c r="B281" s="3">
        <v>45539</v>
      </c>
      <c r="C281" s="3">
        <v>45392</v>
      </c>
      <c r="D281" t="s">
        <v>985</v>
      </c>
      <c r="E281" t="s">
        <v>157</v>
      </c>
      <c r="F281" t="s">
        <v>55</v>
      </c>
      <c r="G281" t="s">
        <v>6</v>
      </c>
      <c r="H281" t="s">
        <v>79</v>
      </c>
      <c r="I281" t="s">
        <v>80</v>
      </c>
      <c r="J281" t="s">
        <v>46</v>
      </c>
      <c r="K281" t="s">
        <v>140</v>
      </c>
      <c r="L281" t="s">
        <v>986</v>
      </c>
      <c r="M281" t="s">
        <v>67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50</v>
      </c>
      <c r="U281" t="s">
        <v>51</v>
      </c>
    </row>
    <row r="282" spans="1:21" x14ac:dyDescent="0.3">
      <c r="A282" t="s">
        <v>987</v>
      </c>
      <c r="B282" s="3"/>
      <c r="C282" s="3">
        <v>45652</v>
      </c>
      <c r="D282" t="s">
        <v>988</v>
      </c>
      <c r="E282" t="s">
        <v>104</v>
      </c>
      <c r="F282" t="s">
        <v>42</v>
      </c>
      <c r="G282" t="s">
        <v>5</v>
      </c>
      <c r="H282" t="s">
        <v>192</v>
      </c>
      <c r="I282" t="s">
        <v>193</v>
      </c>
      <c r="J282" t="s">
        <v>89</v>
      </c>
      <c r="K282" t="s">
        <v>95</v>
      </c>
      <c r="L282" t="s">
        <v>989</v>
      </c>
      <c r="M282" t="s">
        <v>75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50</v>
      </c>
      <c r="U282" t="s">
        <v>51</v>
      </c>
    </row>
    <row r="283" spans="1:21" x14ac:dyDescent="0.3">
      <c r="A283" t="s">
        <v>990</v>
      </c>
      <c r="B283" s="3">
        <v>45863</v>
      </c>
      <c r="C283" s="3"/>
      <c r="D283" t="s">
        <v>991</v>
      </c>
      <c r="E283" t="s">
        <v>284</v>
      </c>
      <c r="F283" t="s">
        <v>42</v>
      </c>
      <c r="G283" t="s">
        <v>4</v>
      </c>
      <c r="H283" t="s">
        <v>246</v>
      </c>
      <c r="I283" t="s">
        <v>247</v>
      </c>
      <c r="J283" t="s">
        <v>46</v>
      </c>
      <c r="K283" t="s">
        <v>169</v>
      </c>
      <c r="L283" t="s">
        <v>992</v>
      </c>
      <c r="M283" t="s">
        <v>49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50</v>
      </c>
      <c r="U283" t="s">
        <v>51</v>
      </c>
    </row>
    <row r="284" spans="1:21" x14ac:dyDescent="0.3">
      <c r="A284" t="s">
        <v>993</v>
      </c>
      <c r="B284" s="3">
        <v>45566</v>
      </c>
      <c r="C284" s="3">
        <v>45332</v>
      </c>
      <c r="D284" t="s">
        <v>994</v>
      </c>
      <c r="E284" t="s">
        <v>41</v>
      </c>
      <c r="F284" t="s">
        <v>110</v>
      </c>
      <c r="G284" t="s">
        <v>4</v>
      </c>
      <c r="H284" t="s">
        <v>182</v>
      </c>
      <c r="I284" t="s">
        <v>183</v>
      </c>
      <c r="J284" t="s">
        <v>58</v>
      </c>
      <c r="K284" t="s">
        <v>59</v>
      </c>
      <c r="L284" t="s">
        <v>995</v>
      </c>
      <c r="M284" t="s">
        <v>49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50</v>
      </c>
      <c r="U284" t="s">
        <v>51</v>
      </c>
    </row>
    <row r="285" spans="1:21" x14ac:dyDescent="0.3">
      <c r="A285" t="s">
        <v>996</v>
      </c>
      <c r="B285" s="3"/>
      <c r="C285" s="3">
        <v>45736</v>
      </c>
      <c r="D285" t="s">
        <v>997</v>
      </c>
      <c r="E285" t="s">
        <v>86</v>
      </c>
      <c r="F285" t="s">
        <v>42</v>
      </c>
      <c r="G285" t="s">
        <v>6</v>
      </c>
      <c r="H285" t="s">
        <v>79</v>
      </c>
      <c r="I285" t="s">
        <v>80</v>
      </c>
      <c r="J285" t="s">
        <v>58</v>
      </c>
      <c r="K285" t="s">
        <v>73</v>
      </c>
      <c r="L285" t="s">
        <v>998</v>
      </c>
      <c r="M285" t="s">
        <v>67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50</v>
      </c>
      <c r="U285" t="s">
        <v>51</v>
      </c>
    </row>
    <row r="286" spans="1:21" x14ac:dyDescent="0.3">
      <c r="A286" t="s">
        <v>999</v>
      </c>
      <c r="B286" s="3">
        <v>45516</v>
      </c>
      <c r="C286" s="3"/>
      <c r="D286" t="s">
        <v>1000</v>
      </c>
      <c r="E286" t="s">
        <v>41</v>
      </c>
      <c r="F286" t="s">
        <v>42</v>
      </c>
      <c r="G286" t="s">
        <v>4</v>
      </c>
      <c r="H286" t="s">
        <v>56</v>
      </c>
      <c r="I286" t="s">
        <v>57</v>
      </c>
      <c r="J286" t="s">
        <v>58</v>
      </c>
      <c r="K286" t="s">
        <v>59</v>
      </c>
      <c r="L286" t="s">
        <v>1001</v>
      </c>
      <c r="M286" t="s">
        <v>61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50</v>
      </c>
      <c r="U286" t="s">
        <v>118</v>
      </c>
    </row>
    <row r="287" spans="1:21" x14ac:dyDescent="0.3">
      <c r="A287" t="s">
        <v>1002</v>
      </c>
      <c r="B287" s="3">
        <v>45884</v>
      </c>
      <c r="C287" s="3">
        <v>45889</v>
      </c>
      <c r="D287" t="s">
        <v>1003</v>
      </c>
      <c r="E287" t="s">
        <v>94</v>
      </c>
      <c r="F287" t="s">
        <v>110</v>
      </c>
      <c r="G287" t="s">
        <v>3</v>
      </c>
      <c r="H287" t="s">
        <v>44</v>
      </c>
      <c r="I287" t="s">
        <v>45</v>
      </c>
      <c r="J287" t="s">
        <v>46</v>
      </c>
      <c r="K287" t="s">
        <v>140</v>
      </c>
      <c r="L287" t="s">
        <v>1004</v>
      </c>
      <c r="M287" t="s">
        <v>75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50</v>
      </c>
      <c r="U287" t="s">
        <v>51</v>
      </c>
    </row>
    <row r="288" spans="1:21" x14ac:dyDescent="0.3">
      <c r="A288" t="s">
        <v>1005</v>
      </c>
      <c r="B288" s="3">
        <v>45350</v>
      </c>
      <c r="C288" s="3">
        <v>45325</v>
      </c>
      <c r="D288" t="s">
        <v>1006</v>
      </c>
      <c r="E288" t="s">
        <v>130</v>
      </c>
      <c r="F288" t="s">
        <v>55</v>
      </c>
      <c r="G288" t="s">
        <v>3</v>
      </c>
      <c r="H288" t="s">
        <v>372</v>
      </c>
      <c r="I288" t="s">
        <v>373</v>
      </c>
      <c r="J288" t="s">
        <v>58</v>
      </c>
      <c r="K288" t="s">
        <v>73</v>
      </c>
      <c r="L288" t="s">
        <v>1007</v>
      </c>
      <c r="M288" t="s">
        <v>67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127</v>
      </c>
      <c r="U288" t="s">
        <v>118</v>
      </c>
    </row>
    <row r="289" spans="1:21" x14ac:dyDescent="0.3">
      <c r="A289" t="s">
        <v>1008</v>
      </c>
      <c r="B289" s="3">
        <v>45421</v>
      </c>
      <c r="C289" s="3">
        <v>45542</v>
      </c>
      <c r="D289" t="s">
        <v>1009</v>
      </c>
      <c r="E289" t="s">
        <v>94</v>
      </c>
      <c r="F289" t="s">
        <v>55</v>
      </c>
      <c r="G289" t="s">
        <v>5</v>
      </c>
      <c r="H289" t="s">
        <v>265</v>
      </c>
      <c r="I289" t="s">
        <v>266</v>
      </c>
      <c r="J289" t="s">
        <v>89</v>
      </c>
      <c r="K289" t="s">
        <v>95</v>
      </c>
      <c r="L289" t="s">
        <v>1010</v>
      </c>
      <c r="M289" t="s">
        <v>75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50</v>
      </c>
      <c r="U289" t="s">
        <v>83</v>
      </c>
    </row>
    <row r="290" spans="1:21" x14ac:dyDescent="0.3">
      <c r="A290" t="s">
        <v>1011</v>
      </c>
      <c r="B290" s="3">
        <v>45467</v>
      </c>
      <c r="C290" s="3">
        <v>45467</v>
      </c>
      <c r="D290" t="s">
        <v>1012</v>
      </c>
      <c r="E290" t="s">
        <v>157</v>
      </c>
      <c r="F290" t="s">
        <v>55</v>
      </c>
      <c r="G290" t="s">
        <v>4</v>
      </c>
      <c r="H290" t="s">
        <v>161</v>
      </c>
      <c r="I290" t="s">
        <v>162</v>
      </c>
      <c r="J290" t="s">
        <v>46</v>
      </c>
      <c r="K290" t="s">
        <v>169</v>
      </c>
      <c r="L290" t="s">
        <v>1013</v>
      </c>
      <c r="M290" t="s">
        <v>61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50</v>
      </c>
      <c r="U290" t="s">
        <v>51</v>
      </c>
    </row>
    <row r="291" spans="1:21" x14ac:dyDescent="0.3">
      <c r="A291" t="s">
        <v>1014</v>
      </c>
      <c r="B291" s="3">
        <v>45827</v>
      </c>
      <c r="C291" s="3"/>
      <c r="D291" t="s">
        <v>1015</v>
      </c>
      <c r="E291" t="s">
        <v>41</v>
      </c>
      <c r="F291" t="s">
        <v>110</v>
      </c>
      <c r="G291" t="s">
        <v>5</v>
      </c>
      <c r="H291" t="s">
        <v>265</v>
      </c>
      <c r="I291" t="s">
        <v>266</v>
      </c>
      <c r="J291" t="s">
        <v>58</v>
      </c>
      <c r="K291" t="s">
        <v>174</v>
      </c>
      <c r="L291" t="s">
        <v>1016</v>
      </c>
      <c r="M291" t="s">
        <v>67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50</v>
      </c>
      <c r="U291" t="s">
        <v>51</v>
      </c>
    </row>
    <row r="292" spans="1:21" x14ac:dyDescent="0.3">
      <c r="A292" t="s">
        <v>1017</v>
      </c>
      <c r="B292" s="3">
        <v>45891</v>
      </c>
      <c r="C292" s="3">
        <v>45895</v>
      </c>
      <c r="D292" t="s">
        <v>1018</v>
      </c>
      <c r="E292" t="s">
        <v>178</v>
      </c>
      <c r="F292" t="s">
        <v>110</v>
      </c>
      <c r="G292" t="s">
        <v>4</v>
      </c>
      <c r="H292" t="s">
        <v>246</v>
      </c>
      <c r="I292" t="s">
        <v>247</v>
      </c>
      <c r="J292" t="s">
        <v>58</v>
      </c>
      <c r="K292" t="s">
        <v>59</v>
      </c>
      <c r="L292" t="s">
        <v>1019</v>
      </c>
      <c r="M292" t="s">
        <v>75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50</v>
      </c>
      <c r="U292" t="s">
        <v>51</v>
      </c>
    </row>
    <row r="293" spans="1:21" x14ac:dyDescent="0.3">
      <c r="A293" t="s">
        <v>1020</v>
      </c>
      <c r="B293" s="3">
        <v>45416</v>
      </c>
      <c r="C293" s="3">
        <v>45392</v>
      </c>
      <c r="D293" t="s">
        <v>1021</v>
      </c>
      <c r="E293" t="s">
        <v>130</v>
      </c>
      <c r="F293" t="s">
        <v>110</v>
      </c>
      <c r="G293" t="s">
        <v>3</v>
      </c>
      <c r="H293" t="s">
        <v>44</v>
      </c>
      <c r="I293" t="s">
        <v>45</v>
      </c>
      <c r="J293" t="s">
        <v>46</v>
      </c>
      <c r="K293" t="s">
        <v>169</v>
      </c>
      <c r="L293" t="s">
        <v>1022</v>
      </c>
      <c r="M293" t="s">
        <v>75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50</v>
      </c>
      <c r="U293" t="s">
        <v>51</v>
      </c>
    </row>
    <row r="294" spans="1:21" x14ac:dyDescent="0.3">
      <c r="A294" t="s">
        <v>1023</v>
      </c>
      <c r="B294" s="3">
        <v>45716</v>
      </c>
      <c r="C294" s="3">
        <v>45719</v>
      </c>
      <c r="D294" t="s">
        <v>1024</v>
      </c>
      <c r="E294" t="s">
        <v>284</v>
      </c>
      <c r="F294" t="s">
        <v>110</v>
      </c>
      <c r="G294" t="s">
        <v>3</v>
      </c>
      <c r="H294" t="s">
        <v>254</v>
      </c>
      <c r="I294" t="s">
        <v>255</v>
      </c>
      <c r="J294" t="s">
        <v>46</v>
      </c>
      <c r="K294" t="s">
        <v>65</v>
      </c>
      <c r="L294" t="s">
        <v>1025</v>
      </c>
      <c r="M294" t="s">
        <v>61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127</v>
      </c>
      <c r="U294" t="s">
        <v>83</v>
      </c>
    </row>
    <row r="295" spans="1:21" x14ac:dyDescent="0.3">
      <c r="A295" t="s">
        <v>1026</v>
      </c>
      <c r="B295" s="3">
        <v>45476</v>
      </c>
      <c r="C295" s="3">
        <v>45362</v>
      </c>
      <c r="D295" t="s">
        <v>1027</v>
      </c>
      <c r="E295" t="s">
        <v>70</v>
      </c>
      <c r="F295" t="s">
        <v>110</v>
      </c>
      <c r="G295" t="s">
        <v>5</v>
      </c>
      <c r="H295" t="s">
        <v>71</v>
      </c>
      <c r="I295" t="s">
        <v>72</v>
      </c>
      <c r="J295" t="s">
        <v>89</v>
      </c>
      <c r="K295" t="s">
        <v>187</v>
      </c>
      <c r="L295" t="s">
        <v>1028</v>
      </c>
      <c r="M295" t="s">
        <v>67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50</v>
      </c>
      <c r="U295" t="s">
        <v>51</v>
      </c>
    </row>
    <row r="296" spans="1:21" x14ac:dyDescent="0.3">
      <c r="A296" t="s">
        <v>1029</v>
      </c>
      <c r="B296" s="3">
        <v>45854</v>
      </c>
      <c r="C296" s="3"/>
      <c r="D296" t="s">
        <v>1030</v>
      </c>
      <c r="E296" t="s">
        <v>130</v>
      </c>
      <c r="F296" t="s">
        <v>42</v>
      </c>
      <c r="G296" t="s">
        <v>4</v>
      </c>
      <c r="H296" t="s">
        <v>56</v>
      </c>
      <c r="I296" t="s">
        <v>57</v>
      </c>
      <c r="J296" t="s">
        <v>89</v>
      </c>
      <c r="K296" t="s">
        <v>187</v>
      </c>
      <c r="L296" t="s">
        <v>1031</v>
      </c>
      <c r="M296" t="s">
        <v>49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50</v>
      </c>
      <c r="U296" t="s">
        <v>118</v>
      </c>
    </row>
    <row r="297" spans="1:21" x14ac:dyDescent="0.3">
      <c r="A297" t="s">
        <v>1032</v>
      </c>
      <c r="B297" s="3">
        <v>45833</v>
      </c>
      <c r="C297" s="3">
        <v>45836</v>
      </c>
      <c r="D297" t="s">
        <v>1033</v>
      </c>
      <c r="E297" t="s">
        <v>104</v>
      </c>
      <c r="F297" t="s">
        <v>55</v>
      </c>
      <c r="G297" t="s">
        <v>4</v>
      </c>
      <c r="H297" t="s">
        <v>182</v>
      </c>
      <c r="I297" t="s">
        <v>183</v>
      </c>
      <c r="J297" t="s">
        <v>46</v>
      </c>
      <c r="K297" t="s">
        <v>169</v>
      </c>
      <c r="L297" t="s">
        <v>1034</v>
      </c>
      <c r="M297" t="s">
        <v>75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50</v>
      </c>
      <c r="U297" t="s">
        <v>51</v>
      </c>
    </row>
    <row r="298" spans="1:21" x14ac:dyDescent="0.3">
      <c r="A298" t="s">
        <v>1035</v>
      </c>
      <c r="B298" s="3">
        <v>45801</v>
      </c>
      <c r="C298" s="3"/>
      <c r="D298" t="s">
        <v>1036</v>
      </c>
      <c r="E298" t="s">
        <v>104</v>
      </c>
      <c r="F298" t="s">
        <v>110</v>
      </c>
      <c r="G298" t="s">
        <v>3</v>
      </c>
      <c r="H298" t="s">
        <v>254</v>
      </c>
      <c r="I298" t="s">
        <v>255</v>
      </c>
      <c r="J298" t="s">
        <v>58</v>
      </c>
      <c r="K298" t="s">
        <v>73</v>
      </c>
      <c r="L298" t="s">
        <v>1037</v>
      </c>
      <c r="M298" t="s">
        <v>61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50</v>
      </c>
      <c r="U298" t="s">
        <v>51</v>
      </c>
    </row>
    <row r="299" spans="1:21" x14ac:dyDescent="0.3">
      <c r="A299" t="s">
        <v>1038</v>
      </c>
      <c r="B299" s="3">
        <v>45594</v>
      </c>
      <c r="C299" s="3">
        <v>45602</v>
      </c>
      <c r="D299" t="s">
        <v>1039</v>
      </c>
      <c r="E299" t="s">
        <v>148</v>
      </c>
      <c r="F299" t="s">
        <v>105</v>
      </c>
      <c r="G299" t="s">
        <v>5</v>
      </c>
      <c r="H299" t="s">
        <v>265</v>
      </c>
      <c r="I299" t="s">
        <v>266</v>
      </c>
      <c r="J299" t="s">
        <v>89</v>
      </c>
      <c r="K299" t="s">
        <v>95</v>
      </c>
      <c r="L299" t="s">
        <v>1040</v>
      </c>
      <c r="M299" t="s">
        <v>61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50</v>
      </c>
      <c r="U299" t="s">
        <v>51</v>
      </c>
    </row>
    <row r="300" spans="1:21" x14ac:dyDescent="0.3">
      <c r="A300" t="s">
        <v>1041</v>
      </c>
      <c r="B300" s="3">
        <v>45680</v>
      </c>
      <c r="C300" s="3">
        <v>45683</v>
      </c>
      <c r="D300" t="s">
        <v>1042</v>
      </c>
      <c r="E300" t="s">
        <v>64</v>
      </c>
      <c r="F300" t="s">
        <v>42</v>
      </c>
      <c r="G300" t="s">
        <v>5</v>
      </c>
      <c r="H300" t="s">
        <v>202</v>
      </c>
      <c r="I300" t="s">
        <v>203</v>
      </c>
      <c r="J300" t="s">
        <v>89</v>
      </c>
      <c r="K300" t="s">
        <v>95</v>
      </c>
      <c r="L300" t="s">
        <v>1043</v>
      </c>
      <c r="M300" t="s">
        <v>67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171</v>
      </c>
      <c r="U300" t="s">
        <v>118</v>
      </c>
    </row>
    <row r="301" spans="1:21" x14ac:dyDescent="0.3">
      <c r="A301" t="s">
        <v>1044</v>
      </c>
      <c r="B301" s="3">
        <v>45602</v>
      </c>
      <c r="C301" s="3">
        <v>45608</v>
      </c>
      <c r="D301" t="s">
        <v>1045</v>
      </c>
      <c r="E301" t="s">
        <v>134</v>
      </c>
      <c r="F301" t="s">
        <v>55</v>
      </c>
      <c r="G301" t="s">
        <v>6</v>
      </c>
      <c r="H301" t="s">
        <v>197</v>
      </c>
      <c r="I301" t="s">
        <v>198</v>
      </c>
      <c r="J301" t="s">
        <v>89</v>
      </c>
      <c r="K301" t="s">
        <v>90</v>
      </c>
      <c r="L301" t="s">
        <v>1046</v>
      </c>
      <c r="M301" t="s">
        <v>75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50</v>
      </c>
      <c r="U301" t="s">
        <v>51</v>
      </c>
    </row>
    <row r="302" spans="1:21" x14ac:dyDescent="0.3">
      <c r="A302" t="s">
        <v>1047</v>
      </c>
      <c r="B302" s="3">
        <v>45397</v>
      </c>
      <c r="C302" s="3"/>
      <c r="D302" t="s">
        <v>1048</v>
      </c>
      <c r="E302" t="s">
        <v>178</v>
      </c>
      <c r="F302" t="s">
        <v>55</v>
      </c>
      <c r="G302" t="s">
        <v>3</v>
      </c>
      <c r="H302" t="s">
        <v>138</v>
      </c>
      <c r="I302" t="s">
        <v>139</v>
      </c>
      <c r="J302" t="s">
        <v>89</v>
      </c>
      <c r="K302" t="s">
        <v>90</v>
      </c>
      <c r="L302" t="s">
        <v>1049</v>
      </c>
      <c r="M302" t="s">
        <v>271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50</v>
      </c>
      <c r="U302" t="s">
        <v>51</v>
      </c>
    </row>
    <row r="303" spans="1:21" x14ac:dyDescent="0.3">
      <c r="A303" t="s">
        <v>1050</v>
      </c>
      <c r="B303" s="3">
        <v>45805</v>
      </c>
      <c r="C303" s="3">
        <v>45809</v>
      </c>
      <c r="D303" t="s">
        <v>1051</v>
      </c>
      <c r="E303" t="s">
        <v>64</v>
      </c>
      <c r="F303" t="s">
        <v>110</v>
      </c>
      <c r="G303" t="s">
        <v>4</v>
      </c>
      <c r="H303" t="s">
        <v>161</v>
      </c>
      <c r="I303" t="s">
        <v>162</v>
      </c>
      <c r="J303" t="s">
        <v>89</v>
      </c>
      <c r="K303" t="s">
        <v>187</v>
      </c>
      <c r="L303" t="s">
        <v>1052</v>
      </c>
      <c r="M303" t="s">
        <v>61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50</v>
      </c>
      <c r="U303" t="s">
        <v>51</v>
      </c>
    </row>
    <row r="304" spans="1:21" x14ac:dyDescent="0.3">
      <c r="A304" t="s">
        <v>1053</v>
      </c>
      <c r="B304" s="3">
        <v>45812</v>
      </c>
      <c r="C304" s="3">
        <v>45820</v>
      </c>
      <c r="D304" t="s">
        <v>1054</v>
      </c>
      <c r="E304" t="s">
        <v>94</v>
      </c>
      <c r="F304" t="s">
        <v>42</v>
      </c>
      <c r="G304" t="s">
        <v>6</v>
      </c>
      <c r="H304" t="s">
        <v>207</v>
      </c>
      <c r="I304" t="s">
        <v>208</v>
      </c>
      <c r="J304" t="s">
        <v>640</v>
      </c>
      <c r="K304" t="s">
        <v>140</v>
      </c>
      <c r="L304" t="s">
        <v>1055</v>
      </c>
      <c r="M304" t="s">
        <v>61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50</v>
      </c>
      <c r="U304" t="s">
        <v>51</v>
      </c>
    </row>
    <row r="305" spans="1:21" x14ac:dyDescent="0.3">
      <c r="A305" t="s">
        <v>1056</v>
      </c>
      <c r="B305" s="3">
        <v>45466</v>
      </c>
      <c r="C305" s="3">
        <v>45471</v>
      </c>
      <c r="D305" t="s">
        <v>1057</v>
      </c>
      <c r="E305" t="s">
        <v>178</v>
      </c>
      <c r="F305" t="s">
        <v>110</v>
      </c>
      <c r="G305" t="s">
        <v>6</v>
      </c>
      <c r="H305" t="s">
        <v>197</v>
      </c>
      <c r="I305" t="s">
        <v>198</v>
      </c>
      <c r="J305" t="s">
        <v>58</v>
      </c>
      <c r="K305" t="s">
        <v>81</v>
      </c>
      <c r="L305" t="s">
        <v>1058</v>
      </c>
      <c r="M305" t="s">
        <v>75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127</v>
      </c>
      <c r="U305" t="s">
        <v>118</v>
      </c>
    </row>
    <row r="306" spans="1:21" x14ac:dyDescent="0.3">
      <c r="A306" t="s">
        <v>1059</v>
      </c>
      <c r="B306" s="3">
        <v>45446</v>
      </c>
      <c r="C306" s="3">
        <v>45364</v>
      </c>
      <c r="D306" t="s">
        <v>1060</v>
      </c>
      <c r="E306" t="s">
        <v>41</v>
      </c>
      <c r="F306" t="s">
        <v>42</v>
      </c>
      <c r="G306" t="s">
        <v>3</v>
      </c>
      <c r="H306" t="s">
        <v>138</v>
      </c>
      <c r="I306" t="s">
        <v>139</v>
      </c>
      <c r="J306" t="s">
        <v>58</v>
      </c>
      <c r="K306" t="s">
        <v>73</v>
      </c>
      <c r="L306" t="s">
        <v>1061</v>
      </c>
      <c r="M306" t="s">
        <v>75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50</v>
      </c>
      <c r="U306" t="s">
        <v>51</v>
      </c>
    </row>
    <row r="307" spans="1:21" x14ac:dyDescent="0.3">
      <c r="A307" t="s">
        <v>1062</v>
      </c>
      <c r="B307" s="3">
        <v>45413</v>
      </c>
      <c r="C307" s="3">
        <v>45327</v>
      </c>
      <c r="D307" t="s">
        <v>1063</v>
      </c>
      <c r="E307" t="s">
        <v>78</v>
      </c>
      <c r="F307" t="s">
        <v>42</v>
      </c>
      <c r="G307" t="s">
        <v>4</v>
      </c>
      <c r="H307" t="s">
        <v>182</v>
      </c>
      <c r="I307" t="s">
        <v>183</v>
      </c>
      <c r="J307" t="s">
        <v>58</v>
      </c>
      <c r="K307" t="s">
        <v>81</v>
      </c>
      <c r="L307" t="s">
        <v>1064</v>
      </c>
      <c r="M307" t="s">
        <v>67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50</v>
      </c>
      <c r="U307" t="s">
        <v>83</v>
      </c>
    </row>
    <row r="308" spans="1:21" x14ac:dyDescent="0.3">
      <c r="A308" t="s">
        <v>1065</v>
      </c>
      <c r="B308" s="3">
        <v>45708</v>
      </c>
      <c r="C308" s="3">
        <v>45711</v>
      </c>
      <c r="D308" t="s">
        <v>1066</v>
      </c>
      <c r="E308" t="s">
        <v>144</v>
      </c>
      <c r="F308" t="s">
        <v>42</v>
      </c>
      <c r="G308" t="s">
        <v>3</v>
      </c>
      <c r="H308" t="s">
        <v>44</v>
      </c>
      <c r="I308" t="s">
        <v>45</v>
      </c>
      <c r="J308" t="s">
        <v>89</v>
      </c>
      <c r="K308" t="s">
        <v>187</v>
      </c>
      <c r="L308" t="s">
        <v>1067</v>
      </c>
      <c r="M308" t="s">
        <v>49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50</v>
      </c>
      <c r="U308" t="s">
        <v>51</v>
      </c>
    </row>
    <row r="309" spans="1:21" x14ac:dyDescent="0.3">
      <c r="A309" t="s">
        <v>1068</v>
      </c>
      <c r="B309" s="3">
        <v>45850</v>
      </c>
      <c r="C309" s="3">
        <v>45857</v>
      </c>
      <c r="D309" t="s">
        <v>1069</v>
      </c>
      <c r="E309" t="s">
        <v>78</v>
      </c>
      <c r="F309" t="s">
        <v>105</v>
      </c>
      <c r="G309" t="s">
        <v>3</v>
      </c>
      <c r="H309" t="s">
        <v>152</v>
      </c>
      <c r="I309" t="s">
        <v>153</v>
      </c>
      <c r="J309" t="s">
        <v>58</v>
      </c>
      <c r="K309" t="s">
        <v>59</v>
      </c>
      <c r="L309" t="s">
        <v>1070</v>
      </c>
      <c r="M309" t="s">
        <v>67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1071</v>
      </c>
      <c r="U309" t="s">
        <v>83</v>
      </c>
    </row>
    <row r="310" spans="1:21" x14ac:dyDescent="0.3">
      <c r="A310" t="s">
        <v>1072</v>
      </c>
      <c r="B310" s="3">
        <v>45821</v>
      </c>
      <c r="C310" s="3">
        <v>45827</v>
      </c>
      <c r="D310" t="s">
        <v>1073</v>
      </c>
      <c r="E310" t="s">
        <v>157</v>
      </c>
      <c r="F310" t="s">
        <v>42</v>
      </c>
      <c r="G310" t="s">
        <v>3</v>
      </c>
      <c r="H310" t="s">
        <v>44</v>
      </c>
      <c r="I310" t="s">
        <v>45</v>
      </c>
      <c r="J310" t="s">
        <v>58</v>
      </c>
      <c r="K310" t="s">
        <v>59</v>
      </c>
      <c r="L310" t="s">
        <v>1074</v>
      </c>
      <c r="M310" t="s">
        <v>67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50</v>
      </c>
      <c r="U310" t="s">
        <v>51</v>
      </c>
    </row>
    <row r="311" spans="1:21" x14ac:dyDescent="0.3">
      <c r="A311" t="s">
        <v>1075</v>
      </c>
      <c r="B311" s="3"/>
      <c r="C311" s="3">
        <v>45495</v>
      </c>
      <c r="D311" t="s">
        <v>1076</v>
      </c>
      <c r="E311" t="s">
        <v>78</v>
      </c>
      <c r="F311" t="s">
        <v>42</v>
      </c>
      <c r="G311" t="s">
        <v>5</v>
      </c>
      <c r="H311" t="s">
        <v>265</v>
      </c>
      <c r="I311" t="s">
        <v>266</v>
      </c>
      <c r="J311" t="s">
        <v>58</v>
      </c>
      <c r="K311" t="s">
        <v>59</v>
      </c>
      <c r="L311" t="s">
        <v>1077</v>
      </c>
      <c r="M311" t="s">
        <v>67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50</v>
      </c>
      <c r="U311" t="s">
        <v>83</v>
      </c>
    </row>
    <row r="312" spans="1:21" x14ac:dyDescent="0.3">
      <c r="A312" t="s">
        <v>1078</v>
      </c>
      <c r="B312" s="3">
        <v>45477</v>
      </c>
      <c r="C312" s="3">
        <v>45481</v>
      </c>
      <c r="D312" t="s">
        <v>1079</v>
      </c>
      <c r="E312" t="s">
        <v>157</v>
      </c>
      <c r="F312" t="s">
        <v>55</v>
      </c>
      <c r="G312" t="s">
        <v>5</v>
      </c>
      <c r="H312" t="s">
        <v>265</v>
      </c>
      <c r="I312" t="s">
        <v>266</v>
      </c>
      <c r="J312" t="s">
        <v>89</v>
      </c>
      <c r="K312" t="s">
        <v>294</v>
      </c>
      <c r="L312" t="s">
        <v>1080</v>
      </c>
      <c r="M312" t="s">
        <v>67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50</v>
      </c>
      <c r="U312" t="s">
        <v>51</v>
      </c>
    </row>
    <row r="313" spans="1:21" x14ac:dyDescent="0.3">
      <c r="A313" t="s">
        <v>1081</v>
      </c>
      <c r="B313" s="3">
        <v>45409</v>
      </c>
      <c r="C313" s="3">
        <v>45414</v>
      </c>
      <c r="D313" t="s">
        <v>1082</v>
      </c>
      <c r="E313" t="s">
        <v>54</v>
      </c>
      <c r="F313" t="s">
        <v>105</v>
      </c>
      <c r="G313" t="s">
        <v>5</v>
      </c>
      <c r="H313" t="s">
        <v>192</v>
      </c>
      <c r="I313" t="s">
        <v>193</v>
      </c>
      <c r="J313" t="s">
        <v>46</v>
      </c>
      <c r="K313" t="s">
        <v>169</v>
      </c>
      <c r="L313" t="s">
        <v>1083</v>
      </c>
      <c r="M313" t="s">
        <v>49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50</v>
      </c>
      <c r="U313" t="s">
        <v>51</v>
      </c>
    </row>
    <row r="314" spans="1:21" x14ac:dyDescent="0.3">
      <c r="A314" t="s">
        <v>1084</v>
      </c>
      <c r="B314" s="3"/>
      <c r="C314" s="3">
        <v>45508</v>
      </c>
      <c r="D314" t="s">
        <v>1085</v>
      </c>
      <c r="E314" t="s">
        <v>41</v>
      </c>
      <c r="F314" t="s">
        <v>55</v>
      </c>
      <c r="G314" t="s">
        <v>4</v>
      </c>
      <c r="H314" t="s">
        <v>182</v>
      </c>
      <c r="I314" t="s">
        <v>183</v>
      </c>
      <c r="J314" t="s">
        <v>89</v>
      </c>
      <c r="K314" t="s">
        <v>187</v>
      </c>
      <c r="L314" t="s">
        <v>1086</v>
      </c>
      <c r="M314" t="s">
        <v>75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50</v>
      </c>
      <c r="U314" t="s">
        <v>83</v>
      </c>
    </row>
    <row r="315" spans="1:21" x14ac:dyDescent="0.3">
      <c r="A315" t="s">
        <v>1087</v>
      </c>
      <c r="B315" s="3">
        <v>45807</v>
      </c>
      <c r="C315" s="3">
        <v>45808</v>
      </c>
      <c r="D315" t="s">
        <v>1088</v>
      </c>
      <c r="E315" t="s">
        <v>134</v>
      </c>
      <c r="F315" t="s">
        <v>105</v>
      </c>
      <c r="G315" t="s">
        <v>3</v>
      </c>
      <c r="H315" t="s">
        <v>152</v>
      </c>
      <c r="I315" t="s">
        <v>153</v>
      </c>
      <c r="J315" t="s">
        <v>89</v>
      </c>
      <c r="K315" t="s">
        <v>187</v>
      </c>
      <c r="L315" t="s">
        <v>1089</v>
      </c>
      <c r="M315" t="s">
        <v>67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117</v>
      </c>
      <c r="U315" t="s">
        <v>83</v>
      </c>
    </row>
    <row r="316" spans="1:21" x14ac:dyDescent="0.3">
      <c r="A316" t="s">
        <v>1090</v>
      </c>
      <c r="B316" s="3"/>
      <c r="C316" s="3">
        <v>45797</v>
      </c>
      <c r="D316" t="s">
        <v>1091</v>
      </c>
      <c r="E316" t="s">
        <v>64</v>
      </c>
      <c r="F316" t="s">
        <v>105</v>
      </c>
      <c r="G316" t="s">
        <v>6</v>
      </c>
      <c r="H316" t="s">
        <v>87</v>
      </c>
      <c r="I316" t="s">
        <v>88</v>
      </c>
      <c r="J316" t="s">
        <v>46</v>
      </c>
      <c r="K316" t="s">
        <v>106</v>
      </c>
      <c r="L316" t="s">
        <v>1092</v>
      </c>
      <c r="M316" t="s">
        <v>75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171</v>
      </c>
      <c r="U316" t="s">
        <v>118</v>
      </c>
    </row>
    <row r="317" spans="1:21" x14ac:dyDescent="0.3">
      <c r="A317" t="s">
        <v>1093</v>
      </c>
      <c r="B317" s="3">
        <v>45475</v>
      </c>
      <c r="C317" s="3">
        <v>45481</v>
      </c>
      <c r="D317" t="s">
        <v>1094</v>
      </c>
      <c r="E317" t="s">
        <v>157</v>
      </c>
      <c r="F317" t="s">
        <v>42</v>
      </c>
      <c r="G317" t="s">
        <v>3</v>
      </c>
      <c r="H317" t="s">
        <v>372</v>
      </c>
      <c r="I317" t="s">
        <v>373</v>
      </c>
      <c r="J317" t="s">
        <v>46</v>
      </c>
      <c r="K317" t="s">
        <v>47</v>
      </c>
      <c r="L317" t="s">
        <v>1095</v>
      </c>
      <c r="M317" t="s">
        <v>75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127</v>
      </c>
      <c r="U317" t="s">
        <v>118</v>
      </c>
    </row>
    <row r="318" spans="1:21" x14ac:dyDescent="0.3">
      <c r="A318" t="s">
        <v>1096</v>
      </c>
      <c r="B318" s="3">
        <v>45338</v>
      </c>
      <c r="C318" s="3"/>
      <c r="D318" t="s">
        <v>1097</v>
      </c>
      <c r="E318" t="s">
        <v>41</v>
      </c>
      <c r="F318" t="s">
        <v>105</v>
      </c>
      <c r="G318" t="s">
        <v>3</v>
      </c>
      <c r="H318" t="s">
        <v>138</v>
      </c>
      <c r="I318" t="s">
        <v>139</v>
      </c>
      <c r="J318" t="s">
        <v>46</v>
      </c>
      <c r="K318" t="s">
        <v>106</v>
      </c>
      <c r="L318" t="s">
        <v>1098</v>
      </c>
      <c r="M318" t="s">
        <v>75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50</v>
      </c>
      <c r="U318" t="s">
        <v>83</v>
      </c>
    </row>
    <row r="319" spans="1:21" x14ac:dyDescent="0.3">
      <c r="A319" t="s">
        <v>1099</v>
      </c>
      <c r="B319" s="3">
        <v>45898</v>
      </c>
      <c r="C319" s="3">
        <v>45904</v>
      </c>
      <c r="D319" t="s">
        <v>1100</v>
      </c>
      <c r="E319" t="s">
        <v>94</v>
      </c>
      <c r="F319" t="s">
        <v>105</v>
      </c>
      <c r="G319" t="s">
        <v>5</v>
      </c>
      <c r="H319" t="s">
        <v>202</v>
      </c>
      <c r="I319" t="s">
        <v>203</v>
      </c>
      <c r="J319" t="s">
        <v>58</v>
      </c>
      <c r="K319" t="s">
        <v>59</v>
      </c>
      <c r="L319" t="s">
        <v>1101</v>
      </c>
      <c r="M319" t="s">
        <v>67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50</v>
      </c>
      <c r="U319" t="s">
        <v>51</v>
      </c>
    </row>
    <row r="320" spans="1:21" x14ac:dyDescent="0.3">
      <c r="A320" t="s">
        <v>1102</v>
      </c>
      <c r="B320" s="3">
        <v>45407</v>
      </c>
      <c r="C320" s="3">
        <v>45412</v>
      </c>
      <c r="D320" t="s">
        <v>1103</v>
      </c>
      <c r="E320" t="s">
        <v>54</v>
      </c>
      <c r="F320" t="s">
        <v>55</v>
      </c>
      <c r="G320" t="s">
        <v>5</v>
      </c>
      <c r="H320" t="s">
        <v>192</v>
      </c>
      <c r="I320" t="s">
        <v>193</v>
      </c>
      <c r="J320" t="s">
        <v>89</v>
      </c>
      <c r="K320" t="s">
        <v>187</v>
      </c>
      <c r="L320" t="s">
        <v>1104</v>
      </c>
      <c r="M320" t="s">
        <v>75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50</v>
      </c>
      <c r="U320" t="s">
        <v>51</v>
      </c>
    </row>
    <row r="321" spans="1:21" x14ac:dyDescent="0.3">
      <c r="A321" t="s">
        <v>1105</v>
      </c>
      <c r="B321" s="3">
        <v>45525</v>
      </c>
      <c r="C321" s="3"/>
      <c r="D321" t="s">
        <v>1106</v>
      </c>
      <c r="E321" t="s">
        <v>178</v>
      </c>
      <c r="F321" t="s">
        <v>42</v>
      </c>
      <c r="G321" t="s">
        <v>6</v>
      </c>
      <c r="H321" t="s">
        <v>197</v>
      </c>
      <c r="I321" t="s">
        <v>198</v>
      </c>
      <c r="J321" t="s">
        <v>46</v>
      </c>
      <c r="K321" t="s">
        <v>169</v>
      </c>
      <c r="L321" t="s">
        <v>1107</v>
      </c>
      <c r="M321" t="s">
        <v>67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50</v>
      </c>
      <c r="U321" t="s">
        <v>51</v>
      </c>
    </row>
    <row r="322" spans="1:21" x14ac:dyDescent="0.3">
      <c r="A322" t="s">
        <v>1108</v>
      </c>
      <c r="B322" s="3">
        <v>45394</v>
      </c>
      <c r="C322" s="3">
        <v>45455</v>
      </c>
      <c r="D322" t="s">
        <v>1109</v>
      </c>
      <c r="E322" t="s">
        <v>144</v>
      </c>
      <c r="F322" t="s">
        <v>110</v>
      </c>
      <c r="G322" t="s">
        <v>4</v>
      </c>
      <c r="H322" t="s">
        <v>114</v>
      </c>
      <c r="I322" t="s">
        <v>115</v>
      </c>
      <c r="J322" t="s">
        <v>46</v>
      </c>
      <c r="K322" t="s">
        <v>65</v>
      </c>
      <c r="L322" t="s">
        <v>1110</v>
      </c>
      <c r="M322" t="s">
        <v>49</v>
      </c>
      <c r="N322">
        <v>3</v>
      </c>
      <c r="O322">
        <v>876.14</v>
      </c>
      <c r="P322">
        <v>0.7</v>
      </c>
      <c r="Q322">
        <v>2628.42</v>
      </c>
      <c r="R322">
        <v>1541.54</v>
      </c>
      <c r="S322">
        <v>1086.8800000000001</v>
      </c>
      <c r="T322" t="s">
        <v>127</v>
      </c>
      <c r="U322" t="s">
        <v>118</v>
      </c>
    </row>
    <row r="323" spans="1:21" x14ac:dyDescent="0.3">
      <c r="A323" t="s">
        <v>1111</v>
      </c>
      <c r="B323" s="3"/>
      <c r="C323" s="3">
        <v>45473</v>
      </c>
      <c r="D323" t="s">
        <v>1112</v>
      </c>
      <c r="E323" t="s">
        <v>94</v>
      </c>
      <c r="F323" t="s">
        <v>55</v>
      </c>
      <c r="G323" t="s">
        <v>6</v>
      </c>
      <c r="H323" t="s">
        <v>207</v>
      </c>
      <c r="I323" t="s">
        <v>208</v>
      </c>
      <c r="J323" t="s">
        <v>89</v>
      </c>
      <c r="K323" t="s">
        <v>90</v>
      </c>
      <c r="L323" t="s">
        <v>1113</v>
      </c>
      <c r="M323" t="s">
        <v>61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171</v>
      </c>
      <c r="U323" t="s">
        <v>83</v>
      </c>
    </row>
    <row r="324" spans="1:21" x14ac:dyDescent="0.3">
      <c r="A324" t="s">
        <v>1114</v>
      </c>
      <c r="B324" s="3">
        <v>45608</v>
      </c>
      <c r="C324" s="3">
        <v>45608</v>
      </c>
      <c r="D324" t="s">
        <v>1115</v>
      </c>
      <c r="E324" t="s">
        <v>64</v>
      </c>
      <c r="F324" t="s">
        <v>42</v>
      </c>
      <c r="G324" t="s">
        <v>3</v>
      </c>
      <c r="H324" t="s">
        <v>152</v>
      </c>
      <c r="I324" t="s">
        <v>153</v>
      </c>
      <c r="J324" t="s">
        <v>89</v>
      </c>
      <c r="K324" t="s">
        <v>187</v>
      </c>
      <c r="L324" t="s">
        <v>1116</v>
      </c>
      <c r="M324" t="s">
        <v>49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50</v>
      </c>
      <c r="U324" t="s">
        <v>51</v>
      </c>
    </row>
    <row r="325" spans="1:21" x14ac:dyDescent="0.3">
      <c r="A325" t="s">
        <v>1117</v>
      </c>
      <c r="B325" s="3">
        <v>45347</v>
      </c>
      <c r="C325" s="3">
        <v>45351</v>
      </c>
      <c r="D325" t="s">
        <v>1118</v>
      </c>
      <c r="E325" t="s">
        <v>64</v>
      </c>
      <c r="F325" t="s">
        <v>55</v>
      </c>
      <c r="G325" t="s">
        <v>6</v>
      </c>
      <c r="H325" t="s">
        <v>207</v>
      </c>
      <c r="I325" t="s">
        <v>208</v>
      </c>
      <c r="J325" t="s">
        <v>58</v>
      </c>
      <c r="K325" t="s">
        <v>73</v>
      </c>
      <c r="L325" t="s">
        <v>166</v>
      </c>
      <c r="M325" t="s">
        <v>75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50</v>
      </c>
      <c r="U325" t="s">
        <v>51</v>
      </c>
    </row>
    <row r="326" spans="1:21" x14ac:dyDescent="0.3">
      <c r="A326" t="s">
        <v>1119</v>
      </c>
      <c r="B326" s="3">
        <v>45869</v>
      </c>
      <c r="C326" s="3">
        <v>45871</v>
      </c>
      <c r="D326" t="s">
        <v>1120</v>
      </c>
      <c r="E326" t="s">
        <v>157</v>
      </c>
      <c r="F326" t="s">
        <v>110</v>
      </c>
      <c r="G326" t="s">
        <v>5</v>
      </c>
      <c r="H326" t="s">
        <v>99</v>
      </c>
      <c r="I326" t="s">
        <v>100</v>
      </c>
      <c r="J326" t="s">
        <v>46</v>
      </c>
      <c r="K326" t="s">
        <v>106</v>
      </c>
      <c r="L326" t="s">
        <v>1121</v>
      </c>
      <c r="M326" t="s">
        <v>61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50</v>
      </c>
      <c r="U326" t="s">
        <v>118</v>
      </c>
    </row>
    <row r="327" spans="1:21" x14ac:dyDescent="0.3">
      <c r="A327" t="s">
        <v>1122</v>
      </c>
      <c r="B327" s="3"/>
      <c r="C327" s="3">
        <v>45922</v>
      </c>
      <c r="D327" t="s">
        <v>1123</v>
      </c>
      <c r="E327" t="s">
        <v>148</v>
      </c>
      <c r="F327" t="s">
        <v>110</v>
      </c>
      <c r="G327" t="s">
        <v>4</v>
      </c>
      <c r="H327" t="s">
        <v>114</v>
      </c>
      <c r="I327" t="s">
        <v>115</v>
      </c>
      <c r="J327" t="s">
        <v>89</v>
      </c>
      <c r="K327" t="s">
        <v>95</v>
      </c>
      <c r="L327" t="s">
        <v>1124</v>
      </c>
      <c r="M327" t="s">
        <v>49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50</v>
      </c>
      <c r="U327" t="s">
        <v>51</v>
      </c>
    </row>
    <row r="328" spans="1:21" x14ac:dyDescent="0.3">
      <c r="A328" t="s">
        <v>1125</v>
      </c>
      <c r="B328" s="3">
        <v>45860</v>
      </c>
      <c r="C328" s="3"/>
      <c r="D328" t="s">
        <v>1126</v>
      </c>
      <c r="E328" t="s">
        <v>148</v>
      </c>
      <c r="F328" t="s">
        <v>105</v>
      </c>
      <c r="G328" t="s">
        <v>4</v>
      </c>
      <c r="H328" t="s">
        <v>246</v>
      </c>
      <c r="I328" t="s">
        <v>247</v>
      </c>
      <c r="J328" t="s">
        <v>58</v>
      </c>
      <c r="K328" t="s">
        <v>73</v>
      </c>
      <c r="L328" t="s">
        <v>1127</v>
      </c>
      <c r="M328" t="s">
        <v>61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50</v>
      </c>
      <c r="U328" t="s">
        <v>51</v>
      </c>
    </row>
    <row r="329" spans="1:21" x14ac:dyDescent="0.3">
      <c r="A329" t="s">
        <v>1128</v>
      </c>
      <c r="B329" s="3">
        <v>45497</v>
      </c>
      <c r="C329" s="3">
        <v>45500</v>
      </c>
      <c r="D329" t="s">
        <v>1129</v>
      </c>
      <c r="E329" t="s">
        <v>64</v>
      </c>
      <c r="F329" t="s">
        <v>42</v>
      </c>
      <c r="G329" t="s">
        <v>6</v>
      </c>
      <c r="H329" t="s">
        <v>44</v>
      </c>
      <c r="I329" t="s">
        <v>125</v>
      </c>
      <c r="J329" t="s">
        <v>89</v>
      </c>
      <c r="K329" t="s">
        <v>90</v>
      </c>
      <c r="L329" t="s">
        <v>1130</v>
      </c>
      <c r="M329" t="s">
        <v>49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127</v>
      </c>
      <c r="U329" t="s">
        <v>83</v>
      </c>
    </row>
    <row r="330" spans="1:21" x14ac:dyDescent="0.3">
      <c r="A330" t="s">
        <v>1131</v>
      </c>
      <c r="B330" s="3">
        <v>45806</v>
      </c>
      <c r="C330" s="3">
        <v>45812</v>
      </c>
      <c r="D330" t="s">
        <v>1132</v>
      </c>
      <c r="E330" t="s">
        <v>178</v>
      </c>
      <c r="F330" t="s">
        <v>42</v>
      </c>
      <c r="G330" t="s">
        <v>6</v>
      </c>
      <c r="H330" t="s">
        <v>79</v>
      </c>
      <c r="I330" t="s">
        <v>80</v>
      </c>
      <c r="J330" t="s">
        <v>46</v>
      </c>
      <c r="K330" t="s">
        <v>140</v>
      </c>
      <c r="L330" t="s">
        <v>1133</v>
      </c>
      <c r="M330" t="s">
        <v>67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50</v>
      </c>
      <c r="U330" t="s">
        <v>51</v>
      </c>
    </row>
    <row r="331" spans="1:21" x14ac:dyDescent="0.3">
      <c r="A331" t="s">
        <v>1134</v>
      </c>
      <c r="B331" s="3">
        <v>45789</v>
      </c>
      <c r="C331" s="3">
        <v>45795</v>
      </c>
      <c r="D331" t="s">
        <v>1135</v>
      </c>
      <c r="E331" t="s">
        <v>94</v>
      </c>
      <c r="F331" t="s">
        <v>55</v>
      </c>
      <c r="G331" t="s">
        <v>6</v>
      </c>
      <c r="H331" t="s">
        <v>79</v>
      </c>
      <c r="I331" t="s">
        <v>80</v>
      </c>
      <c r="J331" t="s">
        <v>46</v>
      </c>
      <c r="K331" t="s">
        <v>140</v>
      </c>
      <c r="L331" t="s">
        <v>1136</v>
      </c>
      <c r="M331" t="s">
        <v>75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50</v>
      </c>
      <c r="U331" t="s">
        <v>51</v>
      </c>
    </row>
    <row r="332" spans="1:21" x14ac:dyDescent="0.3">
      <c r="A332" t="s">
        <v>1137</v>
      </c>
      <c r="B332" s="3"/>
      <c r="C332" s="3"/>
      <c r="D332" t="s">
        <v>1138</v>
      </c>
      <c r="E332" t="s">
        <v>70</v>
      </c>
      <c r="F332" t="s">
        <v>110</v>
      </c>
      <c r="G332" t="s">
        <v>3</v>
      </c>
      <c r="H332" t="s">
        <v>138</v>
      </c>
      <c r="I332" t="s">
        <v>139</v>
      </c>
      <c r="J332" t="s">
        <v>89</v>
      </c>
      <c r="K332" t="s">
        <v>90</v>
      </c>
      <c r="L332" t="s">
        <v>1139</v>
      </c>
      <c r="M332" t="s">
        <v>61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171</v>
      </c>
      <c r="U332" t="s">
        <v>83</v>
      </c>
    </row>
    <row r="333" spans="1:21" x14ac:dyDescent="0.3">
      <c r="A333" t="s">
        <v>1140</v>
      </c>
      <c r="B333" s="3">
        <v>45630</v>
      </c>
      <c r="C333" s="3">
        <v>45632</v>
      </c>
      <c r="D333" t="s">
        <v>1141</v>
      </c>
      <c r="E333" t="s">
        <v>148</v>
      </c>
      <c r="F333" t="s">
        <v>110</v>
      </c>
      <c r="G333" t="s">
        <v>4</v>
      </c>
      <c r="H333" t="s">
        <v>56</v>
      </c>
      <c r="I333" t="s">
        <v>57</v>
      </c>
      <c r="J333" t="s">
        <v>46</v>
      </c>
      <c r="K333" t="s">
        <v>169</v>
      </c>
      <c r="L333" t="s">
        <v>1142</v>
      </c>
      <c r="M333" t="s">
        <v>49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50</v>
      </c>
      <c r="U333" t="s">
        <v>118</v>
      </c>
    </row>
    <row r="334" spans="1:21" x14ac:dyDescent="0.3">
      <c r="A334" t="s">
        <v>1143</v>
      </c>
      <c r="B334" s="3">
        <v>45804</v>
      </c>
      <c r="C334" s="3">
        <v>45805</v>
      </c>
      <c r="D334" t="s">
        <v>1144</v>
      </c>
      <c r="E334" t="s">
        <v>144</v>
      </c>
      <c r="F334" t="s">
        <v>42</v>
      </c>
      <c r="G334" t="s">
        <v>5</v>
      </c>
      <c r="H334" t="s">
        <v>99</v>
      </c>
      <c r="I334" t="s">
        <v>100</v>
      </c>
      <c r="J334" t="s">
        <v>89</v>
      </c>
      <c r="K334" t="s">
        <v>1145</v>
      </c>
      <c r="L334" t="s">
        <v>1146</v>
      </c>
      <c r="M334" t="s">
        <v>49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50</v>
      </c>
      <c r="U334" t="s">
        <v>51</v>
      </c>
    </row>
    <row r="335" spans="1:21" x14ac:dyDescent="0.3">
      <c r="A335" t="s">
        <v>1147</v>
      </c>
      <c r="B335" s="3">
        <v>45830</v>
      </c>
      <c r="C335" s="3">
        <v>45835</v>
      </c>
      <c r="D335" t="s">
        <v>1148</v>
      </c>
      <c r="E335" t="s">
        <v>157</v>
      </c>
      <c r="F335" t="s">
        <v>110</v>
      </c>
      <c r="H335" t="s">
        <v>372</v>
      </c>
      <c r="I335" t="s">
        <v>373</v>
      </c>
      <c r="J335" t="s">
        <v>89</v>
      </c>
      <c r="K335" t="s">
        <v>187</v>
      </c>
      <c r="L335" t="s">
        <v>1149</v>
      </c>
      <c r="M335" t="s">
        <v>67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50</v>
      </c>
      <c r="U335" t="s">
        <v>51</v>
      </c>
    </row>
    <row r="336" spans="1:21" x14ac:dyDescent="0.3">
      <c r="A336" t="s">
        <v>1150</v>
      </c>
      <c r="B336" s="3">
        <v>45547</v>
      </c>
      <c r="C336" s="3">
        <v>45552</v>
      </c>
      <c r="D336" t="s">
        <v>1151</v>
      </c>
      <c r="E336" t="s">
        <v>78</v>
      </c>
      <c r="F336" t="s">
        <v>42</v>
      </c>
      <c r="G336" t="s">
        <v>4</v>
      </c>
      <c r="H336" t="s">
        <v>246</v>
      </c>
      <c r="I336" t="s">
        <v>247</v>
      </c>
      <c r="J336" t="s">
        <v>46</v>
      </c>
      <c r="K336" t="s">
        <v>140</v>
      </c>
      <c r="L336" t="s">
        <v>1152</v>
      </c>
      <c r="M336" t="s">
        <v>67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50</v>
      </c>
      <c r="U336" t="s">
        <v>51</v>
      </c>
    </row>
    <row r="337" spans="1:21" x14ac:dyDescent="0.3">
      <c r="A337" t="s">
        <v>1153</v>
      </c>
      <c r="B337" s="3"/>
      <c r="C337" s="3">
        <v>45826</v>
      </c>
      <c r="D337" t="s">
        <v>1154</v>
      </c>
      <c r="E337" t="s">
        <v>134</v>
      </c>
      <c r="F337" t="s">
        <v>110</v>
      </c>
      <c r="G337" t="s">
        <v>6</v>
      </c>
      <c r="H337" t="s">
        <v>87</v>
      </c>
      <c r="I337" t="s">
        <v>88</v>
      </c>
      <c r="J337" t="s">
        <v>46</v>
      </c>
      <c r="K337" t="s">
        <v>47</v>
      </c>
      <c r="L337" t="s">
        <v>1155</v>
      </c>
      <c r="M337" t="s">
        <v>67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50</v>
      </c>
      <c r="U337" t="s">
        <v>51</v>
      </c>
    </row>
    <row r="338" spans="1:21" x14ac:dyDescent="0.3">
      <c r="A338" t="s">
        <v>1156</v>
      </c>
      <c r="B338" s="3">
        <v>45368</v>
      </c>
      <c r="C338" s="3"/>
      <c r="D338" t="s">
        <v>904</v>
      </c>
      <c r="E338" t="s">
        <v>144</v>
      </c>
      <c r="F338" t="s">
        <v>42</v>
      </c>
      <c r="G338" t="s">
        <v>3</v>
      </c>
      <c r="H338" t="s">
        <v>44</v>
      </c>
      <c r="I338" t="s">
        <v>45</v>
      </c>
      <c r="J338" t="s">
        <v>89</v>
      </c>
      <c r="K338" t="s">
        <v>95</v>
      </c>
      <c r="L338" t="s">
        <v>1157</v>
      </c>
      <c r="M338" t="s">
        <v>67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50</v>
      </c>
      <c r="U338" t="s">
        <v>51</v>
      </c>
    </row>
    <row r="339" spans="1:21" x14ac:dyDescent="0.3">
      <c r="A339" t="s">
        <v>1158</v>
      </c>
      <c r="B339" s="3">
        <v>45516</v>
      </c>
      <c r="C339" s="3">
        <v>45522</v>
      </c>
      <c r="D339" t="s">
        <v>1159</v>
      </c>
      <c r="E339" t="s">
        <v>78</v>
      </c>
      <c r="F339" t="s">
        <v>42</v>
      </c>
      <c r="G339" t="s">
        <v>4</v>
      </c>
      <c r="H339" t="s">
        <v>182</v>
      </c>
      <c r="I339" t="s">
        <v>183</v>
      </c>
      <c r="J339" t="s">
        <v>46</v>
      </c>
      <c r="K339" t="s">
        <v>106</v>
      </c>
      <c r="L339" t="s">
        <v>1160</v>
      </c>
      <c r="M339" t="s">
        <v>61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50</v>
      </c>
      <c r="U339" t="s">
        <v>51</v>
      </c>
    </row>
    <row r="340" spans="1:21" x14ac:dyDescent="0.3">
      <c r="A340" t="s">
        <v>1161</v>
      </c>
      <c r="B340" s="3">
        <v>45634</v>
      </c>
      <c r="C340" s="3">
        <v>45516</v>
      </c>
      <c r="D340" t="s">
        <v>1162</v>
      </c>
      <c r="E340" t="s">
        <v>70</v>
      </c>
      <c r="F340" t="s">
        <v>55</v>
      </c>
      <c r="G340" t="s">
        <v>5</v>
      </c>
      <c r="H340" t="s">
        <v>99</v>
      </c>
      <c r="I340" t="s">
        <v>100</v>
      </c>
      <c r="J340" t="s">
        <v>89</v>
      </c>
      <c r="K340" t="s">
        <v>90</v>
      </c>
      <c r="L340" t="s">
        <v>1163</v>
      </c>
      <c r="M340" t="s">
        <v>67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50</v>
      </c>
      <c r="U340" t="s">
        <v>51</v>
      </c>
    </row>
    <row r="341" spans="1:21" x14ac:dyDescent="0.3">
      <c r="A341" t="s">
        <v>1164</v>
      </c>
      <c r="B341" s="3">
        <v>45708</v>
      </c>
      <c r="C341" s="3">
        <v>45710</v>
      </c>
      <c r="D341" t="s">
        <v>1165</v>
      </c>
      <c r="E341" t="s">
        <v>94</v>
      </c>
      <c r="F341" t="s">
        <v>105</v>
      </c>
      <c r="G341" t="s">
        <v>4</v>
      </c>
      <c r="H341" t="s">
        <v>246</v>
      </c>
      <c r="I341" t="s">
        <v>247</v>
      </c>
      <c r="J341" t="s">
        <v>58</v>
      </c>
      <c r="K341" t="s">
        <v>174</v>
      </c>
      <c r="L341" t="s">
        <v>1166</v>
      </c>
      <c r="M341" t="s">
        <v>75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50</v>
      </c>
      <c r="U341" t="s">
        <v>51</v>
      </c>
    </row>
    <row r="342" spans="1:21" x14ac:dyDescent="0.3">
      <c r="A342" t="s">
        <v>1167</v>
      </c>
      <c r="B342" s="3">
        <v>45312</v>
      </c>
      <c r="C342" s="3"/>
      <c r="D342" t="s">
        <v>1168</v>
      </c>
      <c r="E342" t="s">
        <v>94</v>
      </c>
      <c r="F342" t="s">
        <v>42</v>
      </c>
      <c r="G342" t="s">
        <v>5</v>
      </c>
      <c r="H342" t="s">
        <v>192</v>
      </c>
      <c r="I342" t="s">
        <v>193</v>
      </c>
      <c r="J342" t="s">
        <v>46</v>
      </c>
      <c r="K342" t="s">
        <v>169</v>
      </c>
      <c r="L342" t="s">
        <v>1169</v>
      </c>
      <c r="M342" t="s">
        <v>75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50</v>
      </c>
      <c r="U342" t="s">
        <v>51</v>
      </c>
    </row>
    <row r="343" spans="1:21" x14ac:dyDescent="0.3">
      <c r="A343" t="s">
        <v>1170</v>
      </c>
      <c r="B343" s="3">
        <v>45908</v>
      </c>
      <c r="C343" s="3">
        <v>45909</v>
      </c>
      <c r="D343" t="s">
        <v>1171</v>
      </c>
      <c r="E343" t="s">
        <v>157</v>
      </c>
      <c r="F343" t="s">
        <v>110</v>
      </c>
      <c r="G343" t="s">
        <v>6</v>
      </c>
      <c r="H343" t="s">
        <v>197</v>
      </c>
      <c r="I343" t="s">
        <v>198</v>
      </c>
      <c r="J343" t="s">
        <v>58</v>
      </c>
      <c r="K343" t="s">
        <v>81</v>
      </c>
      <c r="L343" t="s">
        <v>1172</v>
      </c>
      <c r="M343" t="s">
        <v>49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50</v>
      </c>
      <c r="U343" t="s">
        <v>51</v>
      </c>
    </row>
    <row r="344" spans="1:21" x14ac:dyDescent="0.3">
      <c r="A344" t="s">
        <v>1173</v>
      </c>
      <c r="B344" s="3">
        <v>45862</v>
      </c>
      <c r="C344" s="3">
        <v>45870</v>
      </c>
      <c r="D344" t="s">
        <v>1174</v>
      </c>
      <c r="E344" t="s">
        <v>284</v>
      </c>
      <c r="F344" t="s">
        <v>55</v>
      </c>
      <c r="G344" t="s">
        <v>4</v>
      </c>
      <c r="H344" t="s">
        <v>246</v>
      </c>
      <c r="I344" t="s">
        <v>247</v>
      </c>
      <c r="J344" t="s">
        <v>46</v>
      </c>
      <c r="K344" t="s">
        <v>169</v>
      </c>
      <c r="L344" t="s">
        <v>1175</v>
      </c>
      <c r="M344" t="s">
        <v>67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50</v>
      </c>
      <c r="U344" t="s">
        <v>51</v>
      </c>
    </row>
    <row r="345" spans="1:21" x14ac:dyDescent="0.3">
      <c r="A345" t="s">
        <v>1176</v>
      </c>
      <c r="B345" s="3">
        <v>45726</v>
      </c>
      <c r="C345" s="3">
        <v>45938</v>
      </c>
      <c r="D345" t="s">
        <v>1177</v>
      </c>
      <c r="E345" t="s">
        <v>144</v>
      </c>
      <c r="F345" t="s">
        <v>105</v>
      </c>
      <c r="G345" t="s">
        <v>6</v>
      </c>
      <c r="H345" t="s">
        <v>87</v>
      </c>
      <c r="I345" t="s">
        <v>88</v>
      </c>
      <c r="J345" t="s">
        <v>89</v>
      </c>
      <c r="K345" t="s">
        <v>294</v>
      </c>
      <c r="L345" t="s">
        <v>1178</v>
      </c>
      <c r="M345" t="s">
        <v>61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50</v>
      </c>
      <c r="U345" t="s">
        <v>51</v>
      </c>
    </row>
    <row r="346" spans="1:21" x14ac:dyDescent="0.3">
      <c r="A346" t="s">
        <v>1179</v>
      </c>
      <c r="B346" s="3">
        <v>45362</v>
      </c>
      <c r="C346" s="3">
        <v>45362</v>
      </c>
      <c r="D346" t="s">
        <v>1180</v>
      </c>
      <c r="E346" t="s">
        <v>130</v>
      </c>
      <c r="F346" t="s">
        <v>42</v>
      </c>
      <c r="G346" t="s">
        <v>3</v>
      </c>
      <c r="H346" t="s">
        <v>138</v>
      </c>
      <c r="I346" t="s">
        <v>139</v>
      </c>
      <c r="J346" t="s">
        <v>58</v>
      </c>
      <c r="K346" t="s">
        <v>174</v>
      </c>
      <c r="L346" t="s">
        <v>1181</v>
      </c>
      <c r="M346" t="s">
        <v>61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127</v>
      </c>
      <c r="U346" t="s">
        <v>118</v>
      </c>
    </row>
    <row r="347" spans="1:21" x14ac:dyDescent="0.3">
      <c r="A347" t="s">
        <v>1182</v>
      </c>
      <c r="B347" s="3">
        <v>45549</v>
      </c>
      <c r="C347" s="3">
        <v>45557</v>
      </c>
      <c r="D347" t="s">
        <v>1183</v>
      </c>
      <c r="E347" t="s">
        <v>41</v>
      </c>
      <c r="F347" t="s">
        <v>42</v>
      </c>
      <c r="G347" t="s">
        <v>6</v>
      </c>
      <c r="H347" t="s">
        <v>87</v>
      </c>
      <c r="I347" t="s">
        <v>88</v>
      </c>
      <c r="J347" t="s">
        <v>58</v>
      </c>
      <c r="K347" t="s">
        <v>73</v>
      </c>
      <c r="L347" t="s">
        <v>1184</v>
      </c>
      <c r="M347" t="s">
        <v>49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50</v>
      </c>
      <c r="U347" t="s">
        <v>51</v>
      </c>
    </row>
    <row r="348" spans="1:21" x14ac:dyDescent="0.3">
      <c r="A348" t="s">
        <v>1185</v>
      </c>
      <c r="B348" s="3">
        <v>45860</v>
      </c>
      <c r="C348" s="3">
        <v>45866</v>
      </c>
      <c r="D348" t="s">
        <v>1186</v>
      </c>
      <c r="E348" t="s">
        <v>134</v>
      </c>
      <c r="F348" t="s">
        <v>105</v>
      </c>
      <c r="G348" t="s">
        <v>5</v>
      </c>
      <c r="H348" t="s">
        <v>202</v>
      </c>
      <c r="I348" t="s">
        <v>203</v>
      </c>
      <c r="J348" t="s">
        <v>58</v>
      </c>
      <c r="K348" t="s">
        <v>81</v>
      </c>
      <c r="L348" t="s">
        <v>1187</v>
      </c>
      <c r="M348" t="s">
        <v>49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50</v>
      </c>
      <c r="U348" t="s">
        <v>51</v>
      </c>
    </row>
    <row r="349" spans="1:21" x14ac:dyDescent="0.3">
      <c r="A349" t="s">
        <v>1188</v>
      </c>
      <c r="B349" s="3">
        <v>45627</v>
      </c>
      <c r="C349" s="3">
        <v>45516</v>
      </c>
      <c r="D349" t="s">
        <v>1189</v>
      </c>
      <c r="E349" t="s">
        <v>144</v>
      </c>
      <c r="F349" t="s">
        <v>55</v>
      </c>
      <c r="G349" t="s">
        <v>6</v>
      </c>
      <c r="H349" t="s">
        <v>207</v>
      </c>
      <c r="I349" t="s">
        <v>208</v>
      </c>
      <c r="J349" t="s">
        <v>58</v>
      </c>
      <c r="K349" t="s">
        <v>81</v>
      </c>
      <c r="L349" t="s">
        <v>1190</v>
      </c>
      <c r="M349" t="s">
        <v>49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117</v>
      </c>
      <c r="U349" t="s">
        <v>118</v>
      </c>
    </row>
    <row r="350" spans="1:21" x14ac:dyDescent="0.3">
      <c r="A350" t="s">
        <v>1191</v>
      </c>
      <c r="B350" s="3">
        <v>45328</v>
      </c>
      <c r="C350" s="3">
        <v>45479</v>
      </c>
      <c r="D350" t="s">
        <v>1192</v>
      </c>
      <c r="E350" t="s">
        <v>144</v>
      </c>
      <c r="F350" t="s">
        <v>105</v>
      </c>
      <c r="G350" t="s">
        <v>5</v>
      </c>
      <c r="H350" t="s">
        <v>192</v>
      </c>
      <c r="I350" t="s">
        <v>193</v>
      </c>
      <c r="J350" t="s">
        <v>89</v>
      </c>
      <c r="K350" t="s">
        <v>187</v>
      </c>
      <c r="L350" t="s">
        <v>1193</v>
      </c>
      <c r="M350" t="s">
        <v>61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50</v>
      </c>
      <c r="U350" t="s">
        <v>51</v>
      </c>
    </row>
    <row r="351" spans="1:21" x14ac:dyDescent="0.3">
      <c r="A351" t="s">
        <v>1194</v>
      </c>
      <c r="B351" s="3">
        <v>45927</v>
      </c>
      <c r="C351" s="3"/>
      <c r="D351" t="s">
        <v>1195</v>
      </c>
      <c r="E351" t="s">
        <v>284</v>
      </c>
      <c r="F351" t="s">
        <v>110</v>
      </c>
      <c r="G351" t="s">
        <v>4</v>
      </c>
      <c r="H351" t="s">
        <v>246</v>
      </c>
      <c r="I351" t="s">
        <v>247</v>
      </c>
      <c r="J351" t="s">
        <v>58</v>
      </c>
      <c r="K351" t="s">
        <v>73</v>
      </c>
      <c r="L351" t="s">
        <v>1196</v>
      </c>
      <c r="M351" t="s">
        <v>49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50</v>
      </c>
      <c r="U351" t="s">
        <v>51</v>
      </c>
    </row>
    <row r="352" spans="1:21" x14ac:dyDescent="0.3">
      <c r="A352" t="s">
        <v>1197</v>
      </c>
      <c r="B352" s="3">
        <v>45298</v>
      </c>
      <c r="C352" s="3">
        <v>45305</v>
      </c>
      <c r="D352" t="s">
        <v>1198</v>
      </c>
      <c r="E352" t="s">
        <v>148</v>
      </c>
      <c r="F352" t="s">
        <v>55</v>
      </c>
      <c r="G352" t="s">
        <v>4</v>
      </c>
      <c r="H352" t="s">
        <v>246</v>
      </c>
      <c r="I352" t="s">
        <v>247</v>
      </c>
      <c r="J352" t="s">
        <v>58</v>
      </c>
      <c r="K352" t="s">
        <v>73</v>
      </c>
      <c r="L352" t="s">
        <v>1199</v>
      </c>
      <c r="M352" t="s">
        <v>49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117</v>
      </c>
      <c r="U352" t="s">
        <v>118</v>
      </c>
    </row>
    <row r="353" spans="1:21" x14ac:dyDescent="0.3">
      <c r="A353" t="s">
        <v>1200</v>
      </c>
      <c r="B353" s="3">
        <v>45800</v>
      </c>
      <c r="C353" s="3">
        <v>45804</v>
      </c>
      <c r="D353" t="s">
        <v>1201</v>
      </c>
      <c r="E353" t="s">
        <v>86</v>
      </c>
      <c r="F353" t="s">
        <v>55</v>
      </c>
      <c r="G353" t="s">
        <v>5</v>
      </c>
      <c r="H353" t="s">
        <v>71</v>
      </c>
      <c r="I353" t="s">
        <v>72</v>
      </c>
      <c r="J353" t="s">
        <v>46</v>
      </c>
      <c r="K353" t="s">
        <v>140</v>
      </c>
      <c r="L353" t="s">
        <v>1202</v>
      </c>
      <c r="M353" t="s">
        <v>67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127</v>
      </c>
      <c r="U353" t="s">
        <v>83</v>
      </c>
    </row>
    <row r="354" spans="1:21" x14ac:dyDescent="0.3">
      <c r="A354" t="s">
        <v>1203</v>
      </c>
      <c r="B354" s="3">
        <v>45884</v>
      </c>
      <c r="C354" s="3"/>
      <c r="D354" t="s">
        <v>1204</v>
      </c>
      <c r="E354" t="s">
        <v>178</v>
      </c>
      <c r="F354" t="s">
        <v>55</v>
      </c>
      <c r="G354" t="s">
        <v>4</v>
      </c>
      <c r="H354" t="s">
        <v>182</v>
      </c>
      <c r="I354" t="s">
        <v>183</v>
      </c>
      <c r="J354" t="s">
        <v>89</v>
      </c>
      <c r="K354" t="s">
        <v>95</v>
      </c>
      <c r="L354" t="s">
        <v>1205</v>
      </c>
      <c r="M354" t="s">
        <v>67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50</v>
      </c>
      <c r="U354" t="s">
        <v>51</v>
      </c>
    </row>
    <row r="355" spans="1:21" x14ac:dyDescent="0.3">
      <c r="A355" t="s">
        <v>1206</v>
      </c>
      <c r="B355" s="3">
        <v>45709</v>
      </c>
      <c r="C355" s="3">
        <v>45715</v>
      </c>
      <c r="D355" t="s">
        <v>1207</v>
      </c>
      <c r="E355" t="s">
        <v>78</v>
      </c>
      <c r="F355" t="s">
        <v>42</v>
      </c>
      <c r="G355" t="s">
        <v>3</v>
      </c>
      <c r="H355" t="s">
        <v>44</v>
      </c>
      <c r="I355" t="s">
        <v>45</v>
      </c>
      <c r="J355" t="s">
        <v>46</v>
      </c>
      <c r="K355" t="s">
        <v>65</v>
      </c>
      <c r="L355" t="s">
        <v>1208</v>
      </c>
      <c r="M355" t="s">
        <v>61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50</v>
      </c>
      <c r="U355" t="s">
        <v>51</v>
      </c>
    </row>
    <row r="356" spans="1:21" x14ac:dyDescent="0.3">
      <c r="A356" t="s">
        <v>1209</v>
      </c>
      <c r="B356" s="3">
        <v>45653</v>
      </c>
      <c r="C356" s="3">
        <v>45657</v>
      </c>
      <c r="D356" t="s">
        <v>1210</v>
      </c>
      <c r="E356" t="s">
        <v>284</v>
      </c>
      <c r="F356" t="s">
        <v>1211</v>
      </c>
      <c r="G356" t="s">
        <v>3</v>
      </c>
      <c r="H356" t="s">
        <v>138</v>
      </c>
      <c r="I356" t="s">
        <v>139</v>
      </c>
      <c r="J356" t="s">
        <v>58</v>
      </c>
      <c r="K356" t="s">
        <v>73</v>
      </c>
      <c r="L356" t="s">
        <v>1212</v>
      </c>
      <c r="M356" t="s">
        <v>75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127</v>
      </c>
      <c r="U356" t="s">
        <v>83</v>
      </c>
    </row>
    <row r="357" spans="1:21" x14ac:dyDescent="0.3">
      <c r="A357" t="s">
        <v>1213</v>
      </c>
      <c r="B357" s="3">
        <v>45424</v>
      </c>
      <c r="C357" s="3">
        <v>45421</v>
      </c>
      <c r="D357" t="s">
        <v>1214</v>
      </c>
      <c r="E357" t="s">
        <v>130</v>
      </c>
      <c r="F357" t="s">
        <v>105</v>
      </c>
      <c r="G357" t="s">
        <v>6</v>
      </c>
      <c r="H357" t="s">
        <v>44</v>
      </c>
      <c r="I357" t="s">
        <v>125</v>
      </c>
      <c r="J357" t="s">
        <v>58</v>
      </c>
      <c r="K357" t="s">
        <v>59</v>
      </c>
      <c r="L357" t="s">
        <v>1215</v>
      </c>
      <c r="M357" t="s">
        <v>75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127</v>
      </c>
      <c r="U357" t="s">
        <v>83</v>
      </c>
    </row>
    <row r="358" spans="1:21" x14ac:dyDescent="0.3">
      <c r="A358" t="s">
        <v>1216</v>
      </c>
      <c r="B358" s="3">
        <v>45835</v>
      </c>
      <c r="C358" s="3">
        <v>45837</v>
      </c>
      <c r="D358" t="s">
        <v>1217</v>
      </c>
      <c r="E358" t="s">
        <v>157</v>
      </c>
      <c r="F358" t="s">
        <v>110</v>
      </c>
      <c r="G358" t="s">
        <v>5</v>
      </c>
      <c r="H358" t="s">
        <v>71</v>
      </c>
      <c r="I358" t="s">
        <v>72</v>
      </c>
      <c r="J358" t="s">
        <v>58</v>
      </c>
      <c r="K358" t="s">
        <v>81</v>
      </c>
      <c r="L358" t="s">
        <v>1218</v>
      </c>
      <c r="M358" t="s">
        <v>67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127</v>
      </c>
      <c r="U358" t="s">
        <v>118</v>
      </c>
    </row>
    <row r="359" spans="1:21" x14ac:dyDescent="0.3">
      <c r="A359" t="s">
        <v>1219</v>
      </c>
      <c r="B359" s="3">
        <v>45678</v>
      </c>
      <c r="C359" s="3"/>
      <c r="D359" t="s">
        <v>1220</v>
      </c>
      <c r="E359" t="s">
        <v>54</v>
      </c>
      <c r="F359" t="s">
        <v>110</v>
      </c>
      <c r="G359" t="s">
        <v>5</v>
      </c>
      <c r="H359" t="s">
        <v>99</v>
      </c>
      <c r="I359" t="s">
        <v>100</v>
      </c>
      <c r="J359" t="s">
        <v>89</v>
      </c>
      <c r="K359" t="s">
        <v>294</v>
      </c>
      <c r="L359" t="s">
        <v>1221</v>
      </c>
      <c r="M359" t="s">
        <v>49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50</v>
      </c>
      <c r="U359" t="s">
        <v>83</v>
      </c>
    </row>
    <row r="360" spans="1:21" x14ac:dyDescent="0.3">
      <c r="A360" t="s">
        <v>1222</v>
      </c>
      <c r="B360" s="3">
        <v>45908</v>
      </c>
      <c r="C360" s="3">
        <v>45876</v>
      </c>
      <c r="D360" t="s">
        <v>1223</v>
      </c>
      <c r="E360" t="s">
        <v>86</v>
      </c>
      <c r="F360" t="s">
        <v>110</v>
      </c>
      <c r="G360" t="s">
        <v>6</v>
      </c>
      <c r="H360" t="s">
        <v>197</v>
      </c>
      <c r="I360" t="s">
        <v>198</v>
      </c>
      <c r="J360" t="s">
        <v>58</v>
      </c>
      <c r="K360" t="s">
        <v>174</v>
      </c>
      <c r="L360" t="s">
        <v>1224</v>
      </c>
      <c r="M360" t="s">
        <v>49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127</v>
      </c>
      <c r="U360" t="s">
        <v>118</v>
      </c>
    </row>
    <row r="361" spans="1:21" x14ac:dyDescent="0.3">
      <c r="A361" t="s">
        <v>1225</v>
      </c>
      <c r="B361" s="3">
        <v>45525</v>
      </c>
      <c r="C361" s="3">
        <v>45526</v>
      </c>
      <c r="D361" t="s">
        <v>1226</v>
      </c>
      <c r="E361" t="s">
        <v>64</v>
      </c>
      <c r="F361" t="s">
        <v>42</v>
      </c>
      <c r="G361" t="s">
        <v>5</v>
      </c>
      <c r="H361" t="s">
        <v>265</v>
      </c>
      <c r="I361" t="s">
        <v>266</v>
      </c>
      <c r="J361" t="s">
        <v>89</v>
      </c>
      <c r="K361" t="s">
        <v>187</v>
      </c>
      <c r="L361" t="s">
        <v>1227</v>
      </c>
      <c r="M361" t="s">
        <v>61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50</v>
      </c>
      <c r="U361" t="s">
        <v>51</v>
      </c>
    </row>
    <row r="362" spans="1:21" x14ac:dyDescent="0.3">
      <c r="A362" t="s">
        <v>1228</v>
      </c>
      <c r="B362" s="3">
        <v>45460</v>
      </c>
      <c r="C362" s="3">
        <v>45463</v>
      </c>
      <c r="D362" t="s">
        <v>1229</v>
      </c>
      <c r="E362" t="s">
        <v>148</v>
      </c>
      <c r="F362" t="s">
        <v>55</v>
      </c>
      <c r="G362" t="s">
        <v>6</v>
      </c>
      <c r="H362" t="s">
        <v>197</v>
      </c>
      <c r="I362" t="s">
        <v>198</v>
      </c>
      <c r="J362" t="s">
        <v>58</v>
      </c>
      <c r="K362" t="s">
        <v>73</v>
      </c>
      <c r="L362" t="s">
        <v>1230</v>
      </c>
      <c r="M362" t="s">
        <v>75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117</v>
      </c>
      <c r="U362" t="s">
        <v>83</v>
      </c>
    </row>
    <row r="363" spans="1:21" x14ac:dyDescent="0.3">
      <c r="A363" t="s">
        <v>1231</v>
      </c>
      <c r="B363" s="3">
        <v>45748</v>
      </c>
      <c r="C363" s="3">
        <v>45749</v>
      </c>
      <c r="D363" t="s">
        <v>1232</v>
      </c>
      <c r="E363" t="s">
        <v>157</v>
      </c>
      <c r="F363" t="s">
        <v>105</v>
      </c>
      <c r="G363" t="s">
        <v>4</v>
      </c>
      <c r="H363" t="s">
        <v>56</v>
      </c>
      <c r="I363" t="s">
        <v>57</v>
      </c>
      <c r="J363" t="s">
        <v>58</v>
      </c>
      <c r="K363" t="s">
        <v>81</v>
      </c>
      <c r="L363" t="s">
        <v>1233</v>
      </c>
      <c r="M363" t="s">
        <v>49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127</v>
      </c>
      <c r="U363" t="s">
        <v>118</v>
      </c>
    </row>
    <row r="364" spans="1:21" x14ac:dyDescent="0.3">
      <c r="A364" t="s">
        <v>1234</v>
      </c>
      <c r="B364" s="3">
        <v>45527</v>
      </c>
      <c r="C364" s="3">
        <v>45529</v>
      </c>
      <c r="D364" t="s">
        <v>1235</v>
      </c>
      <c r="E364" t="s">
        <v>86</v>
      </c>
      <c r="F364" t="s">
        <v>42</v>
      </c>
      <c r="G364" t="s">
        <v>6</v>
      </c>
      <c r="H364" t="s">
        <v>207</v>
      </c>
      <c r="I364" t="s">
        <v>208</v>
      </c>
      <c r="J364" t="s">
        <v>89</v>
      </c>
      <c r="K364" t="s">
        <v>294</v>
      </c>
      <c r="L364" t="s">
        <v>1236</v>
      </c>
      <c r="M364" t="s">
        <v>61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50</v>
      </c>
      <c r="U364" t="s">
        <v>51</v>
      </c>
    </row>
    <row r="365" spans="1:21" x14ac:dyDescent="0.3">
      <c r="A365" t="s">
        <v>1237</v>
      </c>
      <c r="B365" s="3">
        <v>45845</v>
      </c>
      <c r="C365" s="3">
        <v>45998</v>
      </c>
      <c r="D365" t="s">
        <v>1238</v>
      </c>
      <c r="E365" t="s">
        <v>178</v>
      </c>
      <c r="F365" t="s">
        <v>105</v>
      </c>
      <c r="G365" t="s">
        <v>4</v>
      </c>
      <c r="H365" t="s">
        <v>114</v>
      </c>
      <c r="I365" t="s">
        <v>115</v>
      </c>
      <c r="J365" t="s">
        <v>58</v>
      </c>
      <c r="K365" t="s">
        <v>59</v>
      </c>
      <c r="L365" t="s">
        <v>1239</v>
      </c>
      <c r="M365" t="s">
        <v>49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50</v>
      </c>
      <c r="U365" t="s">
        <v>51</v>
      </c>
    </row>
    <row r="366" spans="1:21" x14ac:dyDescent="0.3">
      <c r="A366" t="s">
        <v>1240</v>
      </c>
      <c r="B366" s="3"/>
      <c r="C366" s="3">
        <v>45740</v>
      </c>
      <c r="D366" t="s">
        <v>1241</v>
      </c>
      <c r="E366" t="s">
        <v>144</v>
      </c>
      <c r="F366" t="s">
        <v>55</v>
      </c>
      <c r="G366" t="s">
        <v>5</v>
      </c>
      <c r="H366" t="s">
        <v>99</v>
      </c>
      <c r="I366" t="s">
        <v>100</v>
      </c>
      <c r="J366" t="s">
        <v>58</v>
      </c>
      <c r="K366" t="s">
        <v>81</v>
      </c>
      <c r="L366" t="s">
        <v>1242</v>
      </c>
      <c r="M366" t="s">
        <v>49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50</v>
      </c>
      <c r="U366" t="s">
        <v>51</v>
      </c>
    </row>
    <row r="367" spans="1:21" x14ac:dyDescent="0.3">
      <c r="A367" t="s">
        <v>1243</v>
      </c>
      <c r="B367" s="3">
        <v>45458</v>
      </c>
      <c r="C367" s="3">
        <v>45464</v>
      </c>
      <c r="D367" t="s">
        <v>1244</v>
      </c>
      <c r="E367" t="s">
        <v>104</v>
      </c>
      <c r="F367" t="s">
        <v>105</v>
      </c>
      <c r="G367" t="s">
        <v>6</v>
      </c>
      <c r="H367" t="s">
        <v>207</v>
      </c>
      <c r="I367" t="s">
        <v>208</v>
      </c>
      <c r="J367" t="s">
        <v>89</v>
      </c>
      <c r="K367" t="s">
        <v>90</v>
      </c>
      <c r="L367" t="s">
        <v>1245</v>
      </c>
      <c r="M367" t="s">
        <v>67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50</v>
      </c>
      <c r="U367" t="s">
        <v>51</v>
      </c>
    </row>
    <row r="368" spans="1:21" x14ac:dyDescent="0.3">
      <c r="A368" t="s">
        <v>1246</v>
      </c>
      <c r="B368" s="3">
        <v>45673</v>
      </c>
      <c r="C368" s="3">
        <v>45679</v>
      </c>
      <c r="D368" t="s">
        <v>1247</v>
      </c>
      <c r="E368" t="s">
        <v>148</v>
      </c>
      <c r="F368" t="s">
        <v>105</v>
      </c>
      <c r="G368" t="s">
        <v>3</v>
      </c>
      <c r="H368" t="s">
        <v>44</v>
      </c>
      <c r="I368" t="s">
        <v>45</v>
      </c>
      <c r="J368" t="s">
        <v>58</v>
      </c>
      <c r="K368" t="s">
        <v>59</v>
      </c>
      <c r="L368" t="s">
        <v>1248</v>
      </c>
      <c r="M368" t="s">
        <v>61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50</v>
      </c>
      <c r="U368" t="s">
        <v>51</v>
      </c>
    </row>
    <row r="369" spans="1:21" x14ac:dyDescent="0.3">
      <c r="A369" t="s">
        <v>1249</v>
      </c>
      <c r="B369" s="3">
        <v>45366</v>
      </c>
      <c r="C369" s="3"/>
      <c r="D369" t="s">
        <v>1250</v>
      </c>
      <c r="E369" t="s">
        <v>157</v>
      </c>
      <c r="F369" t="s">
        <v>42</v>
      </c>
      <c r="G369" t="s">
        <v>3</v>
      </c>
      <c r="H369" t="s">
        <v>372</v>
      </c>
      <c r="I369" t="s">
        <v>373</v>
      </c>
      <c r="J369" t="s">
        <v>46</v>
      </c>
      <c r="K369" t="s">
        <v>65</v>
      </c>
      <c r="L369" t="s">
        <v>1251</v>
      </c>
      <c r="M369" t="s">
        <v>75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171</v>
      </c>
      <c r="U369" t="s">
        <v>83</v>
      </c>
    </row>
    <row r="370" spans="1:21" x14ac:dyDescent="0.3">
      <c r="A370" t="s">
        <v>1252</v>
      </c>
      <c r="B370" s="3">
        <v>45844</v>
      </c>
      <c r="C370" s="3">
        <v>45844</v>
      </c>
      <c r="D370" t="s">
        <v>1253</v>
      </c>
      <c r="E370" t="s">
        <v>144</v>
      </c>
      <c r="F370" t="s">
        <v>110</v>
      </c>
      <c r="G370" t="s">
        <v>3</v>
      </c>
      <c r="H370" t="s">
        <v>44</v>
      </c>
      <c r="I370" t="s">
        <v>45</v>
      </c>
      <c r="J370" t="s">
        <v>89</v>
      </c>
      <c r="K370" t="s">
        <v>90</v>
      </c>
      <c r="L370" t="s">
        <v>1254</v>
      </c>
      <c r="M370" t="s">
        <v>61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117</v>
      </c>
      <c r="U370" t="s">
        <v>118</v>
      </c>
    </row>
    <row r="371" spans="1:21" x14ac:dyDescent="0.3">
      <c r="A371" t="s">
        <v>1255</v>
      </c>
      <c r="B371" s="3">
        <v>45680</v>
      </c>
      <c r="C371" s="3"/>
      <c r="D371" t="s">
        <v>1256</v>
      </c>
      <c r="E371" t="s">
        <v>130</v>
      </c>
      <c r="F371" t="s">
        <v>42</v>
      </c>
      <c r="G371" t="s">
        <v>3</v>
      </c>
      <c r="H371" t="s">
        <v>372</v>
      </c>
      <c r="I371" t="s">
        <v>373</v>
      </c>
      <c r="J371" t="s">
        <v>46</v>
      </c>
      <c r="K371" t="s">
        <v>106</v>
      </c>
      <c r="L371" t="s">
        <v>1257</v>
      </c>
      <c r="M371" t="s">
        <v>75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50</v>
      </c>
      <c r="U371" t="s">
        <v>51</v>
      </c>
    </row>
    <row r="372" spans="1:21" x14ac:dyDescent="0.3">
      <c r="A372" t="s">
        <v>1258</v>
      </c>
      <c r="B372" s="3"/>
      <c r="C372" s="3">
        <v>45525</v>
      </c>
      <c r="D372" t="s">
        <v>1259</v>
      </c>
      <c r="E372" t="s">
        <v>78</v>
      </c>
      <c r="F372" t="s">
        <v>55</v>
      </c>
      <c r="G372" t="s">
        <v>6</v>
      </c>
      <c r="H372" t="s">
        <v>44</v>
      </c>
      <c r="I372" t="s">
        <v>125</v>
      </c>
      <c r="J372" t="s">
        <v>89</v>
      </c>
      <c r="K372" t="s">
        <v>95</v>
      </c>
      <c r="L372" t="s">
        <v>1260</v>
      </c>
      <c r="M372" t="s">
        <v>67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50</v>
      </c>
      <c r="U372" t="s">
        <v>51</v>
      </c>
    </row>
    <row r="373" spans="1:21" x14ac:dyDescent="0.3">
      <c r="A373" t="s">
        <v>1261</v>
      </c>
      <c r="B373" s="3">
        <v>45313</v>
      </c>
      <c r="C373" s="3">
        <v>45315</v>
      </c>
      <c r="D373" t="s">
        <v>1262</v>
      </c>
      <c r="E373" t="s">
        <v>178</v>
      </c>
      <c r="F373" t="s">
        <v>110</v>
      </c>
      <c r="G373" t="s">
        <v>6</v>
      </c>
      <c r="H373" t="s">
        <v>79</v>
      </c>
      <c r="I373" t="s">
        <v>80</v>
      </c>
      <c r="J373" t="s">
        <v>46</v>
      </c>
      <c r="K373" t="s">
        <v>65</v>
      </c>
      <c r="L373" t="s">
        <v>1263</v>
      </c>
      <c r="M373" t="s">
        <v>75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117</v>
      </c>
      <c r="U373" t="s">
        <v>83</v>
      </c>
    </row>
    <row r="374" spans="1:21" x14ac:dyDescent="0.3">
      <c r="A374" t="s">
        <v>1264</v>
      </c>
      <c r="B374" s="3">
        <v>45885</v>
      </c>
      <c r="C374" s="3">
        <v>45887</v>
      </c>
      <c r="D374" t="s">
        <v>674</v>
      </c>
      <c r="E374" t="s">
        <v>284</v>
      </c>
      <c r="F374" t="s">
        <v>42</v>
      </c>
      <c r="G374" t="s">
        <v>4</v>
      </c>
      <c r="H374" t="s">
        <v>246</v>
      </c>
      <c r="I374" t="s">
        <v>247</v>
      </c>
      <c r="J374" t="s">
        <v>58</v>
      </c>
      <c r="K374" t="s">
        <v>81</v>
      </c>
      <c r="L374" t="s">
        <v>1265</v>
      </c>
      <c r="M374" t="s">
        <v>61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50</v>
      </c>
      <c r="U374" t="s">
        <v>51</v>
      </c>
    </row>
    <row r="375" spans="1:21" x14ac:dyDescent="0.3">
      <c r="A375" t="s">
        <v>1266</v>
      </c>
      <c r="B375" s="3">
        <v>45760</v>
      </c>
      <c r="C375" s="3">
        <v>45760</v>
      </c>
      <c r="D375" t="s">
        <v>1267</v>
      </c>
      <c r="E375" t="s">
        <v>148</v>
      </c>
      <c r="F375" t="s">
        <v>55</v>
      </c>
      <c r="G375" t="s">
        <v>3</v>
      </c>
      <c r="H375" t="s">
        <v>152</v>
      </c>
      <c r="I375" t="s">
        <v>153</v>
      </c>
      <c r="J375" t="s">
        <v>46</v>
      </c>
      <c r="K375" t="s">
        <v>140</v>
      </c>
      <c r="L375" t="s">
        <v>1268</v>
      </c>
      <c r="M375" t="s">
        <v>49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50</v>
      </c>
      <c r="U375" t="s">
        <v>51</v>
      </c>
    </row>
    <row r="376" spans="1:21" x14ac:dyDescent="0.3">
      <c r="A376" t="s">
        <v>1269</v>
      </c>
      <c r="B376" s="3">
        <v>45715</v>
      </c>
      <c r="C376" s="3">
        <v>45716</v>
      </c>
      <c r="D376" t="s">
        <v>1270</v>
      </c>
      <c r="E376" t="s">
        <v>104</v>
      </c>
      <c r="F376" t="s">
        <v>55</v>
      </c>
      <c r="G376" t="s">
        <v>3</v>
      </c>
      <c r="H376" t="s">
        <v>152</v>
      </c>
      <c r="I376" t="s">
        <v>153</v>
      </c>
      <c r="J376" t="s">
        <v>46</v>
      </c>
      <c r="K376" t="s">
        <v>106</v>
      </c>
      <c r="L376" t="s">
        <v>1271</v>
      </c>
      <c r="M376" t="s">
        <v>75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50</v>
      </c>
      <c r="U376" t="s">
        <v>51</v>
      </c>
    </row>
    <row r="377" spans="1:21" x14ac:dyDescent="0.3">
      <c r="A377" t="s">
        <v>1272</v>
      </c>
      <c r="B377" s="3">
        <v>45657</v>
      </c>
      <c r="C377" s="3">
        <v>45661</v>
      </c>
      <c r="D377" t="s">
        <v>1273</v>
      </c>
      <c r="E377" t="s">
        <v>86</v>
      </c>
      <c r="F377" t="s">
        <v>42</v>
      </c>
      <c r="G377" t="s">
        <v>3</v>
      </c>
      <c r="H377" t="s">
        <v>372</v>
      </c>
      <c r="I377" t="s">
        <v>373</v>
      </c>
      <c r="J377" t="s">
        <v>58</v>
      </c>
      <c r="K377" t="s">
        <v>81</v>
      </c>
      <c r="L377" t="s">
        <v>1274</v>
      </c>
      <c r="M377" t="s">
        <v>61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50</v>
      </c>
      <c r="U377" t="s">
        <v>51</v>
      </c>
    </row>
    <row r="378" spans="1:21" x14ac:dyDescent="0.3">
      <c r="A378" t="s">
        <v>1275</v>
      </c>
      <c r="B378" s="3">
        <v>45655</v>
      </c>
      <c r="C378" s="3">
        <v>45657</v>
      </c>
      <c r="D378" t="s">
        <v>1276</v>
      </c>
      <c r="E378" t="s">
        <v>64</v>
      </c>
      <c r="F378" t="s">
        <v>55</v>
      </c>
      <c r="G378" t="s">
        <v>4</v>
      </c>
      <c r="H378" t="s">
        <v>161</v>
      </c>
      <c r="I378" t="s">
        <v>162</v>
      </c>
      <c r="J378" t="s">
        <v>58</v>
      </c>
      <c r="K378" t="s">
        <v>81</v>
      </c>
      <c r="L378" t="s">
        <v>1277</v>
      </c>
      <c r="M378" t="s">
        <v>67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50</v>
      </c>
      <c r="U378" t="s">
        <v>51</v>
      </c>
    </row>
    <row r="379" spans="1:21" x14ac:dyDescent="0.3">
      <c r="A379" t="s">
        <v>1278</v>
      </c>
      <c r="B379" s="3">
        <v>45801</v>
      </c>
      <c r="C379" s="3">
        <v>45807</v>
      </c>
      <c r="D379" t="s">
        <v>1279</v>
      </c>
      <c r="E379" t="s">
        <v>284</v>
      </c>
      <c r="F379" t="s">
        <v>55</v>
      </c>
      <c r="G379" t="s">
        <v>4</v>
      </c>
      <c r="H379" t="s">
        <v>56</v>
      </c>
      <c r="I379" t="s">
        <v>57</v>
      </c>
      <c r="J379" t="s">
        <v>46</v>
      </c>
      <c r="K379" t="s">
        <v>1280</v>
      </c>
      <c r="L379" t="s">
        <v>1281</v>
      </c>
      <c r="M379" t="s">
        <v>61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50</v>
      </c>
      <c r="U379" t="s">
        <v>51</v>
      </c>
    </row>
    <row r="380" spans="1:21" x14ac:dyDescent="0.3">
      <c r="A380" t="s">
        <v>1282</v>
      </c>
      <c r="B380" s="3">
        <v>45799</v>
      </c>
      <c r="C380" s="3">
        <v>45799</v>
      </c>
      <c r="D380" t="s">
        <v>1283</v>
      </c>
      <c r="E380" t="s">
        <v>54</v>
      </c>
      <c r="F380" t="s">
        <v>42</v>
      </c>
      <c r="G380" t="s">
        <v>6</v>
      </c>
      <c r="H380" t="s">
        <v>207</v>
      </c>
      <c r="I380" t="s">
        <v>208</v>
      </c>
      <c r="J380" t="s">
        <v>89</v>
      </c>
      <c r="K380" t="s">
        <v>90</v>
      </c>
      <c r="L380" t="s">
        <v>1284</v>
      </c>
      <c r="M380" t="s">
        <v>75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50</v>
      </c>
      <c r="U380" t="s">
        <v>51</v>
      </c>
    </row>
    <row r="381" spans="1:21" x14ac:dyDescent="0.3">
      <c r="A381" t="s">
        <v>1285</v>
      </c>
      <c r="B381" s="3"/>
      <c r="C381" s="3">
        <v>45558</v>
      </c>
      <c r="D381" t="s">
        <v>1286</v>
      </c>
      <c r="E381" t="s">
        <v>54</v>
      </c>
      <c r="F381" t="s">
        <v>55</v>
      </c>
      <c r="G381" t="s">
        <v>5</v>
      </c>
      <c r="H381" t="s">
        <v>202</v>
      </c>
      <c r="I381" t="s">
        <v>203</v>
      </c>
      <c r="J381" t="s">
        <v>46</v>
      </c>
      <c r="K381" t="s">
        <v>47</v>
      </c>
      <c r="L381" t="s">
        <v>1287</v>
      </c>
      <c r="M381" t="s">
        <v>75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50</v>
      </c>
      <c r="U381" t="s">
        <v>51</v>
      </c>
    </row>
    <row r="382" spans="1:21" x14ac:dyDescent="0.3">
      <c r="A382" t="s">
        <v>1288</v>
      </c>
      <c r="B382" s="3">
        <v>45389</v>
      </c>
      <c r="C382" s="3">
        <v>45396</v>
      </c>
      <c r="D382" t="s">
        <v>1289</v>
      </c>
      <c r="E382" t="s">
        <v>86</v>
      </c>
      <c r="F382" t="s">
        <v>42</v>
      </c>
      <c r="G382" t="s">
        <v>6</v>
      </c>
      <c r="H382" t="s">
        <v>79</v>
      </c>
      <c r="I382" t="s">
        <v>80</v>
      </c>
      <c r="J382" t="s">
        <v>58</v>
      </c>
      <c r="K382" t="s">
        <v>174</v>
      </c>
      <c r="L382" t="s">
        <v>1290</v>
      </c>
      <c r="M382" t="s">
        <v>61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50</v>
      </c>
      <c r="U382" t="s">
        <v>118</v>
      </c>
    </row>
    <row r="383" spans="1:21" x14ac:dyDescent="0.3">
      <c r="A383" t="s">
        <v>1291</v>
      </c>
      <c r="B383" s="3">
        <v>45919</v>
      </c>
      <c r="C383" s="3">
        <v>45923</v>
      </c>
      <c r="D383" t="s">
        <v>1292</v>
      </c>
      <c r="E383" t="s">
        <v>70</v>
      </c>
      <c r="F383" t="s">
        <v>1293</v>
      </c>
      <c r="G383" t="s">
        <v>3</v>
      </c>
      <c r="H383" t="s">
        <v>372</v>
      </c>
      <c r="I383" t="s">
        <v>373</v>
      </c>
      <c r="J383" t="s">
        <v>46</v>
      </c>
      <c r="K383" t="s">
        <v>169</v>
      </c>
      <c r="L383" t="s">
        <v>1294</v>
      </c>
      <c r="M383" t="s">
        <v>75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171</v>
      </c>
      <c r="U383" t="s">
        <v>83</v>
      </c>
    </row>
    <row r="384" spans="1:21" x14ac:dyDescent="0.3">
      <c r="A384" t="s">
        <v>1295</v>
      </c>
      <c r="B384" s="3">
        <v>45720</v>
      </c>
      <c r="C384" s="3">
        <v>45872</v>
      </c>
      <c r="D384" t="s">
        <v>173</v>
      </c>
      <c r="E384" t="s">
        <v>70</v>
      </c>
      <c r="F384" t="s">
        <v>55</v>
      </c>
      <c r="G384" t="s">
        <v>4</v>
      </c>
      <c r="H384" t="s">
        <v>161</v>
      </c>
      <c r="I384" t="s">
        <v>162</v>
      </c>
      <c r="J384" t="s">
        <v>1296</v>
      </c>
      <c r="K384" t="s">
        <v>187</v>
      </c>
      <c r="L384" t="s">
        <v>1297</v>
      </c>
      <c r="M384" t="s">
        <v>67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50</v>
      </c>
      <c r="U384" t="s">
        <v>51</v>
      </c>
    </row>
    <row r="385" spans="1:21" x14ac:dyDescent="0.3">
      <c r="A385" t="s">
        <v>1298</v>
      </c>
      <c r="B385" s="3">
        <v>45836</v>
      </c>
      <c r="C385" s="3">
        <v>45843</v>
      </c>
      <c r="D385" t="s">
        <v>1299</v>
      </c>
      <c r="E385" t="s">
        <v>86</v>
      </c>
      <c r="F385" t="s">
        <v>105</v>
      </c>
      <c r="G385" t="s">
        <v>4</v>
      </c>
      <c r="H385" t="s">
        <v>114</v>
      </c>
      <c r="I385" t="s">
        <v>115</v>
      </c>
      <c r="J385" t="s">
        <v>46</v>
      </c>
      <c r="K385" t="s">
        <v>65</v>
      </c>
      <c r="L385" t="s">
        <v>1300</v>
      </c>
      <c r="M385" t="s">
        <v>67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50</v>
      </c>
      <c r="U385" t="s">
        <v>83</v>
      </c>
    </row>
    <row r="386" spans="1:21" x14ac:dyDescent="0.3">
      <c r="A386" t="s">
        <v>1301</v>
      </c>
      <c r="B386" s="3">
        <v>45366</v>
      </c>
      <c r="C386" s="3">
        <v>45371</v>
      </c>
      <c r="D386" t="s">
        <v>1302</v>
      </c>
      <c r="E386" t="s">
        <v>157</v>
      </c>
      <c r="F386" t="s">
        <v>42</v>
      </c>
      <c r="G386" t="s">
        <v>4</v>
      </c>
      <c r="H386" t="s">
        <v>246</v>
      </c>
      <c r="I386" t="s">
        <v>247</v>
      </c>
      <c r="J386" t="s">
        <v>89</v>
      </c>
      <c r="K386" t="s">
        <v>95</v>
      </c>
      <c r="L386" t="s">
        <v>1303</v>
      </c>
      <c r="M386" t="s">
        <v>75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50</v>
      </c>
      <c r="U386" t="s">
        <v>118</v>
      </c>
    </row>
    <row r="387" spans="1:21" x14ac:dyDescent="0.3">
      <c r="A387" t="s">
        <v>1304</v>
      </c>
      <c r="B387" s="3">
        <v>45832</v>
      </c>
      <c r="C387" s="3">
        <v>45838</v>
      </c>
      <c r="D387" t="s">
        <v>1305</v>
      </c>
      <c r="E387" t="s">
        <v>70</v>
      </c>
      <c r="F387" t="s">
        <v>42</v>
      </c>
      <c r="G387" t="s">
        <v>3</v>
      </c>
      <c r="H387" t="s">
        <v>254</v>
      </c>
      <c r="I387" t="s">
        <v>255</v>
      </c>
      <c r="J387" t="s">
        <v>46</v>
      </c>
      <c r="K387" t="s">
        <v>106</v>
      </c>
      <c r="L387" t="s">
        <v>1306</v>
      </c>
      <c r="M387" t="s">
        <v>75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50</v>
      </c>
      <c r="U387" t="s">
        <v>51</v>
      </c>
    </row>
    <row r="388" spans="1:21" x14ac:dyDescent="0.3">
      <c r="A388" t="s">
        <v>1307</v>
      </c>
      <c r="B388" s="3">
        <v>45993</v>
      </c>
      <c r="C388" s="3">
        <v>45702</v>
      </c>
      <c r="D388" t="s">
        <v>1308</v>
      </c>
      <c r="E388" t="s">
        <v>148</v>
      </c>
      <c r="F388" t="s">
        <v>42</v>
      </c>
      <c r="G388" t="s">
        <v>6</v>
      </c>
      <c r="H388" t="s">
        <v>79</v>
      </c>
      <c r="I388" t="s">
        <v>80</v>
      </c>
      <c r="J388" t="s">
        <v>58</v>
      </c>
      <c r="K388" t="s">
        <v>73</v>
      </c>
      <c r="L388" t="s">
        <v>1309</v>
      </c>
      <c r="M388" t="s">
        <v>49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50</v>
      </c>
      <c r="U388" t="s">
        <v>51</v>
      </c>
    </row>
    <row r="389" spans="1:21" x14ac:dyDescent="0.3">
      <c r="A389" t="s">
        <v>1310</v>
      </c>
      <c r="B389" s="3">
        <v>45879</v>
      </c>
      <c r="C389" s="3"/>
      <c r="D389" t="s">
        <v>1311</v>
      </c>
      <c r="E389" t="s">
        <v>130</v>
      </c>
      <c r="F389" t="s">
        <v>55</v>
      </c>
      <c r="G389" t="s">
        <v>6</v>
      </c>
      <c r="H389" t="s">
        <v>87</v>
      </c>
      <c r="I389" t="s">
        <v>88</v>
      </c>
      <c r="J389" t="s">
        <v>58</v>
      </c>
      <c r="K389" t="s">
        <v>81</v>
      </c>
      <c r="L389" t="s">
        <v>1312</v>
      </c>
      <c r="M389" t="s">
        <v>75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127</v>
      </c>
      <c r="U389" t="s">
        <v>83</v>
      </c>
    </row>
    <row r="390" spans="1:21" x14ac:dyDescent="0.3">
      <c r="A390" t="s">
        <v>1313</v>
      </c>
      <c r="B390" s="3">
        <v>45425</v>
      </c>
      <c r="C390" s="3">
        <v>45430</v>
      </c>
      <c r="D390" t="s">
        <v>1314</v>
      </c>
      <c r="E390" t="s">
        <v>64</v>
      </c>
      <c r="F390" t="s">
        <v>55</v>
      </c>
      <c r="G390" t="s">
        <v>6</v>
      </c>
      <c r="H390" t="s">
        <v>197</v>
      </c>
      <c r="I390" t="s">
        <v>198</v>
      </c>
      <c r="J390" t="s">
        <v>58</v>
      </c>
      <c r="K390" t="s">
        <v>81</v>
      </c>
      <c r="L390" t="s">
        <v>1315</v>
      </c>
      <c r="M390" t="s">
        <v>75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50</v>
      </c>
      <c r="U390" t="s">
        <v>51</v>
      </c>
    </row>
    <row r="391" spans="1:21" x14ac:dyDescent="0.3">
      <c r="A391" t="s">
        <v>1316</v>
      </c>
      <c r="B391" s="3">
        <v>45387</v>
      </c>
      <c r="C391" s="3">
        <v>45395</v>
      </c>
      <c r="D391" t="s">
        <v>1317</v>
      </c>
      <c r="E391" t="s">
        <v>178</v>
      </c>
      <c r="F391" t="s">
        <v>105</v>
      </c>
      <c r="G391" t="s">
        <v>6</v>
      </c>
      <c r="H391" t="s">
        <v>197</v>
      </c>
      <c r="I391" t="s">
        <v>198</v>
      </c>
      <c r="J391" t="s">
        <v>89</v>
      </c>
      <c r="K391" t="s">
        <v>294</v>
      </c>
      <c r="L391" t="s">
        <v>1318</v>
      </c>
      <c r="M391" t="s">
        <v>49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127</v>
      </c>
      <c r="U391" t="s">
        <v>83</v>
      </c>
    </row>
    <row r="392" spans="1:21" x14ac:dyDescent="0.3">
      <c r="A392" t="s">
        <v>1319</v>
      </c>
      <c r="B392" s="3">
        <v>45602</v>
      </c>
      <c r="C392" s="3">
        <v>45607</v>
      </c>
      <c r="D392" t="s">
        <v>1320</v>
      </c>
      <c r="E392" t="s">
        <v>64</v>
      </c>
      <c r="F392" t="s">
        <v>42</v>
      </c>
      <c r="G392" t="s">
        <v>6</v>
      </c>
      <c r="H392" t="s">
        <v>197</v>
      </c>
      <c r="I392" t="s">
        <v>198</v>
      </c>
      <c r="J392" t="s">
        <v>58</v>
      </c>
      <c r="K392" t="s">
        <v>73</v>
      </c>
      <c r="L392" t="s">
        <v>1321</v>
      </c>
      <c r="M392" t="s">
        <v>75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50</v>
      </c>
      <c r="U392" t="s">
        <v>51</v>
      </c>
    </row>
    <row r="393" spans="1:21" x14ac:dyDescent="0.3">
      <c r="A393" t="s">
        <v>1322</v>
      </c>
      <c r="B393" s="3">
        <v>45702</v>
      </c>
      <c r="C393" s="3">
        <v>45702</v>
      </c>
      <c r="D393" t="s">
        <v>1323</v>
      </c>
      <c r="E393" t="s">
        <v>178</v>
      </c>
      <c r="F393" t="s">
        <v>42</v>
      </c>
      <c r="G393" t="s">
        <v>5</v>
      </c>
      <c r="H393" t="s">
        <v>192</v>
      </c>
      <c r="I393" t="s">
        <v>193</v>
      </c>
      <c r="J393" t="s">
        <v>46</v>
      </c>
      <c r="K393" t="s">
        <v>140</v>
      </c>
      <c r="L393" t="s">
        <v>1324</v>
      </c>
      <c r="M393" t="s">
        <v>67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50</v>
      </c>
      <c r="U393" t="s">
        <v>51</v>
      </c>
    </row>
    <row r="394" spans="1:21" x14ac:dyDescent="0.3">
      <c r="A394" t="s">
        <v>1325</v>
      </c>
      <c r="B394" s="3"/>
      <c r="C394" s="3">
        <v>45344</v>
      </c>
      <c r="D394" t="s">
        <v>1326</v>
      </c>
      <c r="E394" t="s">
        <v>104</v>
      </c>
      <c r="F394" t="s">
        <v>55</v>
      </c>
      <c r="G394" t="s">
        <v>5</v>
      </c>
      <c r="H394" t="s">
        <v>202</v>
      </c>
      <c r="I394" t="s">
        <v>203</v>
      </c>
      <c r="J394" t="s">
        <v>58</v>
      </c>
      <c r="K394" t="s">
        <v>73</v>
      </c>
      <c r="L394" t="s">
        <v>1327</v>
      </c>
      <c r="M394" t="s">
        <v>61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50</v>
      </c>
      <c r="U394" t="s">
        <v>51</v>
      </c>
    </row>
    <row r="395" spans="1:21" x14ac:dyDescent="0.3">
      <c r="A395" t="s">
        <v>1328</v>
      </c>
      <c r="B395" s="3">
        <v>45527</v>
      </c>
      <c r="C395" s="3"/>
      <c r="D395" t="s">
        <v>1329</v>
      </c>
      <c r="E395" t="s">
        <v>54</v>
      </c>
      <c r="F395" t="s">
        <v>105</v>
      </c>
      <c r="G395" t="s">
        <v>3</v>
      </c>
      <c r="H395" t="s">
        <v>152</v>
      </c>
      <c r="I395" t="s">
        <v>153</v>
      </c>
      <c r="J395" t="s">
        <v>46</v>
      </c>
      <c r="K395" t="s">
        <v>106</v>
      </c>
      <c r="L395" t="s">
        <v>1330</v>
      </c>
      <c r="M395" t="s">
        <v>61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50</v>
      </c>
      <c r="U395" t="s">
        <v>51</v>
      </c>
    </row>
    <row r="396" spans="1:21" x14ac:dyDescent="0.3">
      <c r="A396" t="s">
        <v>1331</v>
      </c>
      <c r="B396" s="3">
        <v>45385</v>
      </c>
      <c r="C396" s="3">
        <v>45386</v>
      </c>
      <c r="D396" t="s">
        <v>1332</v>
      </c>
      <c r="E396" t="s">
        <v>284</v>
      </c>
      <c r="F396" t="s">
        <v>42</v>
      </c>
      <c r="G396" t="s">
        <v>6</v>
      </c>
      <c r="H396" t="s">
        <v>79</v>
      </c>
      <c r="I396" t="s">
        <v>80</v>
      </c>
      <c r="J396" t="s">
        <v>58</v>
      </c>
      <c r="K396" t="s">
        <v>73</v>
      </c>
      <c r="L396" t="s">
        <v>1333</v>
      </c>
      <c r="M396" t="s">
        <v>67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50</v>
      </c>
      <c r="U396" t="s">
        <v>51</v>
      </c>
    </row>
    <row r="397" spans="1:21" x14ac:dyDescent="0.3">
      <c r="A397" t="s">
        <v>1334</v>
      </c>
      <c r="B397" s="3">
        <v>45449</v>
      </c>
      <c r="C397" s="3">
        <v>45479</v>
      </c>
      <c r="D397" t="s">
        <v>1335</v>
      </c>
      <c r="E397" t="s">
        <v>134</v>
      </c>
      <c r="F397" t="s">
        <v>110</v>
      </c>
      <c r="G397" t="s">
        <v>5</v>
      </c>
      <c r="H397" t="s">
        <v>265</v>
      </c>
      <c r="I397" t="s">
        <v>266</v>
      </c>
      <c r="J397" t="s">
        <v>58</v>
      </c>
      <c r="K397" t="s">
        <v>59</v>
      </c>
      <c r="L397" t="s">
        <v>1336</v>
      </c>
      <c r="M397" t="s">
        <v>61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50</v>
      </c>
      <c r="U397" t="s">
        <v>51</v>
      </c>
    </row>
    <row r="398" spans="1:21" x14ac:dyDescent="0.3">
      <c r="A398" t="s">
        <v>1337</v>
      </c>
      <c r="B398" s="3">
        <v>45761</v>
      </c>
      <c r="C398" s="3">
        <v>45769</v>
      </c>
      <c r="D398" t="s">
        <v>1338</v>
      </c>
      <c r="E398" t="s">
        <v>104</v>
      </c>
      <c r="F398" t="s">
        <v>55</v>
      </c>
      <c r="G398" t="s">
        <v>5</v>
      </c>
      <c r="H398" t="s">
        <v>192</v>
      </c>
      <c r="I398" t="s">
        <v>193</v>
      </c>
      <c r="J398" t="s">
        <v>89</v>
      </c>
      <c r="K398" t="s">
        <v>294</v>
      </c>
      <c r="L398" t="s">
        <v>1339</v>
      </c>
      <c r="M398" t="s">
        <v>75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50</v>
      </c>
      <c r="U398" t="s">
        <v>51</v>
      </c>
    </row>
    <row r="399" spans="1:21" x14ac:dyDescent="0.3">
      <c r="A399" t="s">
        <v>1340</v>
      </c>
      <c r="B399" s="3">
        <v>45817</v>
      </c>
      <c r="C399" s="3">
        <v>45818</v>
      </c>
      <c r="D399" t="s">
        <v>1341</v>
      </c>
      <c r="E399" t="s">
        <v>148</v>
      </c>
      <c r="F399" t="s">
        <v>55</v>
      </c>
      <c r="G399" t="s">
        <v>3</v>
      </c>
      <c r="H399" t="s">
        <v>152</v>
      </c>
      <c r="I399" t="s">
        <v>153</v>
      </c>
      <c r="J399" t="s">
        <v>58</v>
      </c>
      <c r="K399" t="s">
        <v>59</v>
      </c>
      <c r="L399" t="s">
        <v>1342</v>
      </c>
      <c r="M399" t="s">
        <v>49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50</v>
      </c>
      <c r="U399" t="s">
        <v>51</v>
      </c>
    </row>
    <row r="400" spans="1:21" x14ac:dyDescent="0.3">
      <c r="A400" t="s">
        <v>1343</v>
      </c>
      <c r="B400" s="3">
        <v>45492</v>
      </c>
      <c r="C400" s="3">
        <v>45499</v>
      </c>
      <c r="D400" t="s">
        <v>1344</v>
      </c>
      <c r="E400" t="s">
        <v>86</v>
      </c>
      <c r="F400" t="s">
        <v>1345</v>
      </c>
      <c r="G400" t="s">
        <v>3</v>
      </c>
      <c r="H400" t="s">
        <v>138</v>
      </c>
      <c r="I400" t="s">
        <v>139</v>
      </c>
      <c r="J400" t="s">
        <v>89</v>
      </c>
      <c r="K400" t="s">
        <v>294</v>
      </c>
      <c r="L400" t="s">
        <v>1346</v>
      </c>
      <c r="M400" t="s">
        <v>61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50</v>
      </c>
      <c r="U400" t="s">
        <v>51</v>
      </c>
    </row>
    <row r="401" spans="1:21" x14ac:dyDescent="0.3">
      <c r="A401" t="s">
        <v>1347</v>
      </c>
      <c r="B401" s="3"/>
      <c r="C401" s="3">
        <v>45776</v>
      </c>
      <c r="D401" t="s">
        <v>1348</v>
      </c>
      <c r="E401" t="s">
        <v>178</v>
      </c>
      <c r="F401" t="s">
        <v>55</v>
      </c>
      <c r="G401" t="s">
        <v>5</v>
      </c>
      <c r="H401" t="s">
        <v>99</v>
      </c>
      <c r="I401" t="s">
        <v>100</v>
      </c>
      <c r="J401" t="s">
        <v>46</v>
      </c>
      <c r="K401" t="s">
        <v>47</v>
      </c>
      <c r="L401" t="s">
        <v>1349</v>
      </c>
      <c r="M401" t="s">
        <v>61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50</v>
      </c>
      <c r="U401" t="s">
        <v>51</v>
      </c>
    </row>
    <row r="402" spans="1:21" x14ac:dyDescent="0.3">
      <c r="A402" t="s">
        <v>1350</v>
      </c>
      <c r="B402" s="3">
        <v>45814</v>
      </c>
      <c r="C402" s="3">
        <v>45819</v>
      </c>
      <c r="D402" t="s">
        <v>1351</v>
      </c>
      <c r="E402" t="s">
        <v>148</v>
      </c>
      <c r="F402" t="s">
        <v>55</v>
      </c>
      <c r="G402" t="s">
        <v>3</v>
      </c>
      <c r="H402" t="s">
        <v>152</v>
      </c>
      <c r="I402" t="s">
        <v>153</v>
      </c>
      <c r="J402" t="s">
        <v>46</v>
      </c>
      <c r="K402" t="s">
        <v>47</v>
      </c>
      <c r="L402" t="s">
        <v>1352</v>
      </c>
      <c r="M402" t="s">
        <v>61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50</v>
      </c>
      <c r="U402" t="s">
        <v>51</v>
      </c>
    </row>
    <row r="403" spans="1:21" x14ac:dyDescent="0.3">
      <c r="A403" t="s">
        <v>1353</v>
      </c>
      <c r="B403" s="3">
        <v>45725</v>
      </c>
      <c r="C403" s="3">
        <v>45732</v>
      </c>
      <c r="D403" t="s">
        <v>1354</v>
      </c>
      <c r="E403" t="s">
        <v>70</v>
      </c>
      <c r="F403" t="s">
        <v>55</v>
      </c>
      <c r="G403" t="s">
        <v>4</v>
      </c>
      <c r="H403" t="s">
        <v>246</v>
      </c>
      <c r="I403" t="s">
        <v>247</v>
      </c>
      <c r="J403" t="s">
        <v>58</v>
      </c>
      <c r="K403" t="s">
        <v>59</v>
      </c>
      <c r="L403" t="s">
        <v>1355</v>
      </c>
      <c r="M403" t="s">
        <v>61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50</v>
      </c>
      <c r="U403" t="s">
        <v>51</v>
      </c>
    </row>
    <row r="404" spans="1:21" x14ac:dyDescent="0.3">
      <c r="A404" t="s">
        <v>1356</v>
      </c>
      <c r="B404" s="3">
        <v>45373</v>
      </c>
      <c r="C404" s="3"/>
      <c r="D404" t="s">
        <v>1357</v>
      </c>
      <c r="E404" t="s">
        <v>130</v>
      </c>
      <c r="F404" t="s">
        <v>55</v>
      </c>
      <c r="G404" t="s">
        <v>5</v>
      </c>
      <c r="H404" t="s">
        <v>192</v>
      </c>
      <c r="I404" t="s">
        <v>193</v>
      </c>
      <c r="J404" t="s">
        <v>58</v>
      </c>
      <c r="K404" t="s">
        <v>59</v>
      </c>
      <c r="L404" t="s">
        <v>1358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50</v>
      </c>
      <c r="U404" t="s">
        <v>51</v>
      </c>
    </row>
    <row r="405" spans="1:21" x14ac:dyDescent="0.3">
      <c r="A405" t="s">
        <v>1359</v>
      </c>
      <c r="B405" s="3"/>
      <c r="C405" s="3">
        <v>45569</v>
      </c>
      <c r="D405" t="s">
        <v>1360</v>
      </c>
      <c r="E405" t="s">
        <v>70</v>
      </c>
      <c r="F405" t="s">
        <v>55</v>
      </c>
      <c r="G405" t="s">
        <v>5</v>
      </c>
      <c r="H405" t="s">
        <v>202</v>
      </c>
      <c r="I405" t="s">
        <v>203</v>
      </c>
      <c r="J405" t="s">
        <v>46</v>
      </c>
      <c r="K405" t="s">
        <v>1361</v>
      </c>
      <c r="L405" t="s">
        <v>1362</v>
      </c>
      <c r="M405" t="s">
        <v>61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50</v>
      </c>
      <c r="U405" t="s">
        <v>118</v>
      </c>
    </row>
    <row r="406" spans="1:21" x14ac:dyDescent="0.3">
      <c r="A406" t="s">
        <v>1363</v>
      </c>
      <c r="B406" s="3">
        <v>45318</v>
      </c>
      <c r="C406" s="3">
        <v>45353</v>
      </c>
      <c r="D406" t="s">
        <v>1364</v>
      </c>
      <c r="E406" t="s">
        <v>104</v>
      </c>
      <c r="F406" t="s">
        <v>105</v>
      </c>
      <c r="G406" t="s">
        <v>6</v>
      </c>
      <c r="H406" t="s">
        <v>44</v>
      </c>
      <c r="I406" t="s">
        <v>125</v>
      </c>
      <c r="J406" t="s">
        <v>58</v>
      </c>
      <c r="K406" t="s">
        <v>81</v>
      </c>
      <c r="L406" t="s">
        <v>1365</v>
      </c>
      <c r="M406" t="s">
        <v>61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50</v>
      </c>
      <c r="U406" t="s">
        <v>715</v>
      </c>
    </row>
    <row r="407" spans="1:21" x14ac:dyDescent="0.3">
      <c r="A407" t="s">
        <v>1366</v>
      </c>
      <c r="B407" s="3"/>
      <c r="C407" s="3">
        <v>45559</v>
      </c>
      <c r="D407" t="s">
        <v>1367</v>
      </c>
      <c r="E407" t="s">
        <v>104</v>
      </c>
      <c r="F407" t="s">
        <v>110</v>
      </c>
      <c r="G407" t="s">
        <v>6</v>
      </c>
      <c r="H407" t="s">
        <v>197</v>
      </c>
      <c r="I407" t="s">
        <v>198</v>
      </c>
      <c r="J407" t="s">
        <v>58</v>
      </c>
      <c r="K407" t="s">
        <v>174</v>
      </c>
      <c r="L407" t="s">
        <v>1368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50</v>
      </c>
      <c r="U407" t="s">
        <v>51</v>
      </c>
    </row>
    <row r="408" spans="1:21" x14ac:dyDescent="0.3">
      <c r="A408" t="s">
        <v>1369</v>
      </c>
      <c r="B408" s="3">
        <v>45713</v>
      </c>
      <c r="C408" s="3">
        <v>45713</v>
      </c>
      <c r="D408" t="s">
        <v>1370</v>
      </c>
      <c r="E408" t="s">
        <v>284</v>
      </c>
      <c r="F408" t="s">
        <v>55</v>
      </c>
      <c r="G408" t="s">
        <v>6</v>
      </c>
      <c r="H408" t="s">
        <v>207</v>
      </c>
      <c r="I408" t="s">
        <v>208</v>
      </c>
      <c r="J408" t="s">
        <v>58</v>
      </c>
      <c r="K408" t="s">
        <v>73</v>
      </c>
      <c r="L408" t="s">
        <v>1371</v>
      </c>
      <c r="M408" t="s">
        <v>75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127</v>
      </c>
      <c r="U408" t="s">
        <v>118</v>
      </c>
    </row>
    <row r="409" spans="1:21" x14ac:dyDescent="0.3">
      <c r="A409" t="s">
        <v>1372</v>
      </c>
      <c r="B409" s="3">
        <v>45424</v>
      </c>
      <c r="C409" s="3">
        <v>45425</v>
      </c>
      <c r="D409" t="s">
        <v>1373</v>
      </c>
      <c r="E409" t="s">
        <v>134</v>
      </c>
      <c r="F409" t="s">
        <v>105</v>
      </c>
      <c r="G409" t="s">
        <v>6</v>
      </c>
      <c r="H409" t="s">
        <v>207</v>
      </c>
      <c r="I409" t="s">
        <v>208</v>
      </c>
      <c r="J409" t="s">
        <v>46</v>
      </c>
      <c r="K409" t="s">
        <v>106</v>
      </c>
      <c r="L409" t="s">
        <v>1374</v>
      </c>
      <c r="M409" t="s">
        <v>49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50</v>
      </c>
      <c r="U409" t="s">
        <v>51</v>
      </c>
    </row>
    <row r="410" spans="1:21" x14ac:dyDescent="0.3">
      <c r="A410" t="s">
        <v>1375</v>
      </c>
      <c r="B410" s="3">
        <v>45665</v>
      </c>
      <c r="C410" s="3">
        <v>45724</v>
      </c>
      <c r="D410" t="s">
        <v>1376</v>
      </c>
      <c r="E410" t="s">
        <v>148</v>
      </c>
      <c r="F410" t="s">
        <v>42</v>
      </c>
      <c r="G410" t="s">
        <v>6</v>
      </c>
      <c r="H410" t="s">
        <v>79</v>
      </c>
      <c r="I410" t="s">
        <v>80</v>
      </c>
      <c r="J410" t="s">
        <v>58</v>
      </c>
      <c r="K410" t="s">
        <v>81</v>
      </c>
      <c r="L410" t="s">
        <v>1377</v>
      </c>
      <c r="M410" t="s">
        <v>67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171</v>
      </c>
      <c r="U410" t="s">
        <v>118</v>
      </c>
    </row>
    <row r="411" spans="1:21" x14ac:dyDescent="0.3">
      <c r="A411" t="s">
        <v>1378</v>
      </c>
      <c r="B411" s="3">
        <v>45701</v>
      </c>
      <c r="C411" s="3">
        <v>45703</v>
      </c>
      <c r="D411" t="s">
        <v>1379</v>
      </c>
      <c r="E411" t="s">
        <v>41</v>
      </c>
      <c r="F411" t="s">
        <v>42</v>
      </c>
      <c r="G411" t="s">
        <v>4</v>
      </c>
      <c r="H411" t="s">
        <v>182</v>
      </c>
      <c r="I411" t="s">
        <v>183</v>
      </c>
      <c r="J411" t="s">
        <v>89</v>
      </c>
      <c r="K411" t="s">
        <v>90</v>
      </c>
      <c r="L411" t="s">
        <v>1380</v>
      </c>
      <c r="M411" t="s">
        <v>61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117</v>
      </c>
      <c r="U411" t="s">
        <v>118</v>
      </c>
    </row>
    <row r="412" spans="1:21" x14ac:dyDescent="0.3">
      <c r="A412" t="s">
        <v>1381</v>
      </c>
      <c r="B412" s="3">
        <v>45394</v>
      </c>
      <c r="C412" s="3">
        <v>45402</v>
      </c>
      <c r="D412" t="s">
        <v>1382</v>
      </c>
      <c r="E412" t="s">
        <v>178</v>
      </c>
      <c r="F412" t="s">
        <v>42</v>
      </c>
      <c r="G412" t="s">
        <v>6</v>
      </c>
      <c r="H412" t="s">
        <v>207</v>
      </c>
      <c r="I412" t="s">
        <v>208</v>
      </c>
      <c r="J412" t="s">
        <v>58</v>
      </c>
      <c r="K412" t="s">
        <v>59</v>
      </c>
      <c r="L412" t="s">
        <v>1383</v>
      </c>
      <c r="M412" t="s">
        <v>67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50</v>
      </c>
      <c r="U412" t="s">
        <v>51</v>
      </c>
    </row>
    <row r="413" spans="1:21" x14ac:dyDescent="0.3">
      <c r="A413" t="s">
        <v>1384</v>
      </c>
      <c r="B413" s="3">
        <v>45892</v>
      </c>
      <c r="C413" s="3">
        <v>45897</v>
      </c>
      <c r="D413" t="s">
        <v>1385</v>
      </c>
      <c r="E413" t="s">
        <v>70</v>
      </c>
      <c r="F413" t="s">
        <v>110</v>
      </c>
      <c r="G413" t="s">
        <v>6</v>
      </c>
      <c r="H413" t="s">
        <v>44</v>
      </c>
      <c r="I413" t="s">
        <v>125</v>
      </c>
      <c r="J413" t="s">
        <v>58</v>
      </c>
      <c r="K413" t="s">
        <v>59</v>
      </c>
      <c r="L413" t="s">
        <v>1386</v>
      </c>
      <c r="M413" t="s">
        <v>67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171</v>
      </c>
      <c r="U413" t="s">
        <v>118</v>
      </c>
    </row>
    <row r="414" spans="1:21" x14ac:dyDescent="0.3">
      <c r="A414" t="s">
        <v>1387</v>
      </c>
      <c r="B414" s="3">
        <v>45313</v>
      </c>
      <c r="C414" s="3">
        <v>45321</v>
      </c>
      <c r="D414" t="s">
        <v>1388</v>
      </c>
      <c r="E414" t="s">
        <v>64</v>
      </c>
      <c r="F414" t="s">
        <v>105</v>
      </c>
      <c r="G414" t="s">
        <v>5</v>
      </c>
      <c r="H414" t="s">
        <v>192</v>
      </c>
      <c r="I414" t="s">
        <v>193</v>
      </c>
      <c r="J414" t="s">
        <v>58</v>
      </c>
      <c r="K414" t="s">
        <v>81</v>
      </c>
      <c r="L414" t="s">
        <v>1389</v>
      </c>
      <c r="M414" t="s">
        <v>61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50</v>
      </c>
      <c r="U414" t="s">
        <v>51</v>
      </c>
    </row>
    <row r="415" spans="1:21" x14ac:dyDescent="0.3">
      <c r="A415" t="s">
        <v>1390</v>
      </c>
      <c r="B415" s="3">
        <v>45882</v>
      </c>
      <c r="C415" s="3">
        <v>45886</v>
      </c>
      <c r="D415" t="s">
        <v>1391</v>
      </c>
      <c r="E415" t="s">
        <v>94</v>
      </c>
      <c r="F415" t="s">
        <v>110</v>
      </c>
      <c r="G415" t="s">
        <v>6</v>
      </c>
      <c r="H415" t="s">
        <v>87</v>
      </c>
      <c r="I415" t="s">
        <v>88</v>
      </c>
      <c r="J415" t="s">
        <v>89</v>
      </c>
      <c r="K415" t="s">
        <v>90</v>
      </c>
      <c r="L415" t="s">
        <v>1392</v>
      </c>
      <c r="M415" t="s">
        <v>49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127</v>
      </c>
      <c r="U415" t="s">
        <v>83</v>
      </c>
    </row>
    <row r="416" spans="1:21" x14ac:dyDescent="0.3">
      <c r="A416" t="s">
        <v>1393</v>
      </c>
      <c r="B416" s="3">
        <v>45533</v>
      </c>
      <c r="C416" s="3"/>
      <c r="D416" t="s">
        <v>1394</v>
      </c>
      <c r="E416" t="s">
        <v>70</v>
      </c>
      <c r="F416" t="s">
        <v>110</v>
      </c>
      <c r="G416" t="s">
        <v>4</v>
      </c>
      <c r="H416" t="s">
        <v>182</v>
      </c>
      <c r="I416" t="s">
        <v>183</v>
      </c>
      <c r="J416" t="s">
        <v>46</v>
      </c>
      <c r="K416" t="s">
        <v>140</v>
      </c>
      <c r="L416" t="s">
        <v>1395</v>
      </c>
      <c r="M416" t="s">
        <v>67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50</v>
      </c>
      <c r="U416" t="s">
        <v>51</v>
      </c>
    </row>
    <row r="417" spans="1:21" x14ac:dyDescent="0.3">
      <c r="A417" t="s">
        <v>1396</v>
      </c>
      <c r="B417" s="3"/>
      <c r="C417" s="3">
        <v>45318</v>
      </c>
      <c r="D417" t="s">
        <v>1397</v>
      </c>
      <c r="E417" t="s">
        <v>144</v>
      </c>
      <c r="F417" t="s">
        <v>105</v>
      </c>
      <c r="G417" t="s">
        <v>5</v>
      </c>
      <c r="H417" t="s">
        <v>192</v>
      </c>
      <c r="I417" t="s">
        <v>193</v>
      </c>
      <c r="J417" t="s">
        <v>46</v>
      </c>
      <c r="K417" t="s">
        <v>140</v>
      </c>
      <c r="L417" t="s">
        <v>1398</v>
      </c>
      <c r="M417" t="s">
        <v>61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50</v>
      </c>
      <c r="U417" t="s">
        <v>118</v>
      </c>
    </row>
    <row r="418" spans="1:21" x14ac:dyDescent="0.3">
      <c r="A418" t="s">
        <v>1399</v>
      </c>
      <c r="B418" s="3">
        <v>45665</v>
      </c>
      <c r="C418" s="3">
        <v>45673</v>
      </c>
      <c r="D418" t="s">
        <v>1400</v>
      </c>
      <c r="E418" t="s">
        <v>94</v>
      </c>
      <c r="F418" t="s">
        <v>42</v>
      </c>
      <c r="G418" t="s">
        <v>5</v>
      </c>
      <c r="H418" t="s">
        <v>71</v>
      </c>
      <c r="I418" t="s">
        <v>72</v>
      </c>
      <c r="J418" t="s">
        <v>545</v>
      </c>
      <c r="K418" t="s">
        <v>73</v>
      </c>
      <c r="L418" t="s">
        <v>1401</v>
      </c>
      <c r="M418" t="s">
        <v>67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50</v>
      </c>
      <c r="U418" t="s">
        <v>51</v>
      </c>
    </row>
    <row r="419" spans="1:21" x14ac:dyDescent="0.3">
      <c r="A419" t="s">
        <v>1402</v>
      </c>
      <c r="B419" s="3"/>
      <c r="C419" s="3">
        <v>45779</v>
      </c>
      <c r="D419" t="s">
        <v>1403</v>
      </c>
      <c r="E419" t="s">
        <v>54</v>
      </c>
      <c r="F419" t="s">
        <v>42</v>
      </c>
      <c r="G419" t="s">
        <v>6</v>
      </c>
      <c r="H419" t="s">
        <v>197</v>
      </c>
      <c r="I419" t="s">
        <v>198</v>
      </c>
      <c r="J419" t="s">
        <v>46</v>
      </c>
      <c r="K419" t="s">
        <v>65</v>
      </c>
      <c r="L419" t="s">
        <v>1404</v>
      </c>
      <c r="M419" t="s">
        <v>67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50</v>
      </c>
      <c r="U419" t="s">
        <v>51</v>
      </c>
    </row>
    <row r="420" spans="1:21" x14ac:dyDescent="0.3">
      <c r="A420" t="s">
        <v>1405</v>
      </c>
      <c r="B420" s="3">
        <v>45546</v>
      </c>
      <c r="C420" s="3"/>
      <c r="D420" t="s">
        <v>1406</v>
      </c>
      <c r="E420" t="s">
        <v>148</v>
      </c>
      <c r="F420" t="s">
        <v>105</v>
      </c>
      <c r="G420" t="s">
        <v>4</v>
      </c>
      <c r="H420" t="s">
        <v>56</v>
      </c>
      <c r="I420" t="s">
        <v>57</v>
      </c>
      <c r="J420" t="s">
        <v>89</v>
      </c>
      <c r="K420" t="s">
        <v>95</v>
      </c>
      <c r="L420" t="s">
        <v>1407</v>
      </c>
      <c r="M420" t="s">
        <v>75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171</v>
      </c>
      <c r="U420" t="s">
        <v>83</v>
      </c>
    </row>
    <row r="421" spans="1:21" x14ac:dyDescent="0.3">
      <c r="A421" t="s">
        <v>1408</v>
      </c>
      <c r="B421" s="3">
        <v>45926</v>
      </c>
      <c r="C421" s="3"/>
      <c r="D421" t="s">
        <v>1409</v>
      </c>
      <c r="E421" t="s">
        <v>148</v>
      </c>
      <c r="F421" t="s">
        <v>110</v>
      </c>
      <c r="G421" t="s">
        <v>3</v>
      </c>
      <c r="H421" t="s">
        <v>254</v>
      </c>
      <c r="I421" t="s">
        <v>255</v>
      </c>
      <c r="J421" t="s">
        <v>89</v>
      </c>
      <c r="K421" t="s">
        <v>187</v>
      </c>
      <c r="L421" t="s">
        <v>1410</v>
      </c>
      <c r="M421" t="s">
        <v>61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50</v>
      </c>
      <c r="U421" t="s">
        <v>51</v>
      </c>
    </row>
    <row r="422" spans="1:21" x14ac:dyDescent="0.3">
      <c r="A422" t="s">
        <v>1411</v>
      </c>
      <c r="B422" s="3">
        <v>45734</v>
      </c>
      <c r="C422" s="3">
        <v>45735</v>
      </c>
      <c r="D422" t="s">
        <v>1412</v>
      </c>
      <c r="E422" t="s">
        <v>64</v>
      </c>
      <c r="F422" t="s">
        <v>105</v>
      </c>
      <c r="G422" t="s">
        <v>5</v>
      </c>
      <c r="H422" t="s">
        <v>265</v>
      </c>
      <c r="I422" t="s">
        <v>266</v>
      </c>
      <c r="J422" t="s">
        <v>89</v>
      </c>
      <c r="K422" t="s">
        <v>294</v>
      </c>
      <c r="L422" t="s">
        <v>1413</v>
      </c>
      <c r="M422" t="s">
        <v>75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127</v>
      </c>
      <c r="U422" t="s">
        <v>83</v>
      </c>
    </row>
    <row r="423" spans="1:21" x14ac:dyDescent="0.3">
      <c r="A423" t="s">
        <v>1414</v>
      </c>
      <c r="B423" s="3"/>
      <c r="C423" s="3">
        <v>45827</v>
      </c>
      <c r="D423" t="s">
        <v>1415</v>
      </c>
      <c r="E423" t="s">
        <v>157</v>
      </c>
      <c r="F423" t="s">
        <v>55</v>
      </c>
      <c r="G423" t="s">
        <v>3</v>
      </c>
      <c r="H423" t="s">
        <v>372</v>
      </c>
      <c r="I423" t="s">
        <v>373</v>
      </c>
      <c r="J423" t="s">
        <v>46</v>
      </c>
      <c r="K423" t="s">
        <v>169</v>
      </c>
      <c r="L423" t="s">
        <v>1416</v>
      </c>
      <c r="M423" t="s">
        <v>61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127</v>
      </c>
      <c r="U423" t="s">
        <v>118</v>
      </c>
    </row>
    <row r="424" spans="1:21" x14ac:dyDescent="0.3">
      <c r="A424" t="s">
        <v>1417</v>
      </c>
      <c r="B424" s="3">
        <v>45725</v>
      </c>
      <c r="C424" s="3">
        <v>45906</v>
      </c>
      <c r="D424" t="s">
        <v>1418</v>
      </c>
      <c r="E424" t="s">
        <v>284</v>
      </c>
      <c r="F424" t="s">
        <v>42</v>
      </c>
      <c r="G424" t="s">
        <v>6</v>
      </c>
      <c r="H424" t="s">
        <v>87</v>
      </c>
      <c r="I424" t="s">
        <v>88</v>
      </c>
      <c r="J424" t="s">
        <v>89</v>
      </c>
      <c r="K424" t="s">
        <v>95</v>
      </c>
      <c r="L424" t="s">
        <v>1419</v>
      </c>
      <c r="M424" t="s">
        <v>61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50</v>
      </c>
      <c r="U424" t="s">
        <v>51</v>
      </c>
    </row>
    <row r="425" spans="1:21" x14ac:dyDescent="0.3">
      <c r="A425" t="s">
        <v>1420</v>
      </c>
      <c r="B425" s="3">
        <v>45342</v>
      </c>
      <c r="C425" s="3">
        <v>45349</v>
      </c>
      <c r="D425" t="s">
        <v>1421</v>
      </c>
      <c r="E425" t="s">
        <v>178</v>
      </c>
      <c r="F425" t="s">
        <v>42</v>
      </c>
      <c r="G425" t="s">
        <v>5</v>
      </c>
      <c r="H425" t="s">
        <v>202</v>
      </c>
      <c r="I425" t="s">
        <v>203</v>
      </c>
      <c r="J425" t="s">
        <v>89</v>
      </c>
      <c r="K425" t="s">
        <v>90</v>
      </c>
      <c r="L425" t="s">
        <v>1422</v>
      </c>
      <c r="M425" t="s">
        <v>1423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50</v>
      </c>
      <c r="U425" t="s">
        <v>51</v>
      </c>
    </row>
    <row r="426" spans="1:21" x14ac:dyDescent="0.3">
      <c r="A426" t="s">
        <v>1424</v>
      </c>
      <c r="B426" s="3"/>
      <c r="C426" s="3">
        <v>45472</v>
      </c>
      <c r="D426" t="s">
        <v>1425</v>
      </c>
      <c r="E426" t="s">
        <v>94</v>
      </c>
      <c r="F426" t="s">
        <v>105</v>
      </c>
      <c r="G426" t="s">
        <v>3</v>
      </c>
      <c r="H426" t="s">
        <v>138</v>
      </c>
      <c r="I426" t="s">
        <v>139</v>
      </c>
      <c r="J426" t="s">
        <v>89</v>
      </c>
      <c r="K426" t="s">
        <v>187</v>
      </c>
      <c r="L426" t="s">
        <v>1426</v>
      </c>
      <c r="M426" t="s">
        <v>75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50</v>
      </c>
      <c r="U426" t="s">
        <v>51</v>
      </c>
    </row>
    <row r="427" spans="1:21" x14ac:dyDescent="0.3">
      <c r="A427" t="s">
        <v>1427</v>
      </c>
      <c r="B427" s="3">
        <v>45561</v>
      </c>
      <c r="C427" s="3"/>
      <c r="D427" t="s">
        <v>1428</v>
      </c>
      <c r="E427" t="s">
        <v>64</v>
      </c>
      <c r="F427" t="s">
        <v>110</v>
      </c>
      <c r="G427" t="s">
        <v>3</v>
      </c>
      <c r="H427" t="s">
        <v>372</v>
      </c>
      <c r="I427" t="s">
        <v>373</v>
      </c>
      <c r="J427" t="s">
        <v>46</v>
      </c>
      <c r="K427" t="s">
        <v>106</v>
      </c>
      <c r="L427" t="s">
        <v>1429</v>
      </c>
      <c r="M427" t="s">
        <v>67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117</v>
      </c>
      <c r="U427" t="s">
        <v>83</v>
      </c>
    </row>
    <row r="428" spans="1:21" x14ac:dyDescent="0.3">
      <c r="A428" t="s">
        <v>1430</v>
      </c>
      <c r="B428" s="3">
        <v>45473</v>
      </c>
      <c r="C428" s="3">
        <v>45474</v>
      </c>
      <c r="D428" t="s">
        <v>1431</v>
      </c>
      <c r="E428" t="s">
        <v>104</v>
      </c>
      <c r="F428" t="s">
        <v>42</v>
      </c>
      <c r="G428" t="s">
        <v>3</v>
      </c>
      <c r="H428" t="s">
        <v>254</v>
      </c>
      <c r="I428" t="s">
        <v>255</v>
      </c>
      <c r="J428" t="s">
        <v>89</v>
      </c>
      <c r="K428" t="s">
        <v>95</v>
      </c>
      <c r="L428" t="s">
        <v>1432</v>
      </c>
      <c r="M428" t="s">
        <v>61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50</v>
      </c>
      <c r="U428" t="s">
        <v>51</v>
      </c>
    </row>
    <row r="429" spans="1:21" x14ac:dyDescent="0.3">
      <c r="A429" t="s">
        <v>1433</v>
      </c>
      <c r="B429" s="3">
        <v>45769</v>
      </c>
      <c r="C429" s="3">
        <v>45771</v>
      </c>
      <c r="D429" t="s">
        <v>1434</v>
      </c>
      <c r="E429" t="s">
        <v>64</v>
      </c>
      <c r="F429" t="s">
        <v>105</v>
      </c>
      <c r="H429" t="s">
        <v>246</v>
      </c>
      <c r="I429" t="s">
        <v>247</v>
      </c>
      <c r="J429" t="s">
        <v>89</v>
      </c>
      <c r="K429" t="s">
        <v>90</v>
      </c>
      <c r="L429" t="s">
        <v>1435</v>
      </c>
      <c r="M429" t="s">
        <v>231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50</v>
      </c>
      <c r="U429" t="s">
        <v>51</v>
      </c>
    </row>
    <row r="430" spans="1:21" x14ac:dyDescent="0.3">
      <c r="A430" t="s">
        <v>1436</v>
      </c>
      <c r="B430" s="3">
        <v>45731</v>
      </c>
      <c r="C430" s="3">
        <v>45738</v>
      </c>
      <c r="D430" t="s">
        <v>1437</v>
      </c>
      <c r="E430" t="s">
        <v>41</v>
      </c>
      <c r="F430" t="s">
        <v>55</v>
      </c>
      <c r="G430" t="s">
        <v>4</v>
      </c>
      <c r="H430" t="s">
        <v>114</v>
      </c>
      <c r="I430" t="s">
        <v>115</v>
      </c>
      <c r="J430" t="s">
        <v>89</v>
      </c>
      <c r="K430" t="s">
        <v>187</v>
      </c>
      <c r="L430" t="s">
        <v>1438</v>
      </c>
      <c r="M430" t="s">
        <v>61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127</v>
      </c>
      <c r="U430" t="s">
        <v>83</v>
      </c>
    </row>
    <row r="431" spans="1:21" x14ac:dyDescent="0.3">
      <c r="A431" t="s">
        <v>1439</v>
      </c>
      <c r="B431" s="3">
        <v>45717</v>
      </c>
      <c r="C431" s="3">
        <v>45724</v>
      </c>
      <c r="D431" t="s">
        <v>1440</v>
      </c>
      <c r="E431" t="s">
        <v>94</v>
      </c>
      <c r="F431" t="s">
        <v>110</v>
      </c>
      <c r="G431" t="s">
        <v>3</v>
      </c>
      <c r="H431" t="s">
        <v>44</v>
      </c>
      <c r="I431" t="s">
        <v>45</v>
      </c>
      <c r="J431" t="s">
        <v>89</v>
      </c>
      <c r="K431" t="s">
        <v>95</v>
      </c>
      <c r="L431" t="s">
        <v>1441</v>
      </c>
      <c r="M431" t="s">
        <v>61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50</v>
      </c>
      <c r="U431" t="s">
        <v>51</v>
      </c>
    </row>
    <row r="432" spans="1:21" x14ac:dyDescent="0.3">
      <c r="A432" t="s">
        <v>1442</v>
      </c>
      <c r="B432" s="3">
        <v>45534</v>
      </c>
      <c r="C432" s="3">
        <v>45537</v>
      </c>
      <c r="D432" t="s">
        <v>1443</v>
      </c>
      <c r="E432" t="s">
        <v>94</v>
      </c>
      <c r="F432" t="s">
        <v>55</v>
      </c>
      <c r="G432" t="s">
        <v>3</v>
      </c>
      <c r="H432" t="s">
        <v>254</v>
      </c>
      <c r="I432" t="s">
        <v>255</v>
      </c>
      <c r="J432" t="s">
        <v>1444</v>
      </c>
      <c r="K432" t="s">
        <v>47</v>
      </c>
      <c r="L432" t="s">
        <v>1445</v>
      </c>
      <c r="M432" t="s">
        <v>49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50</v>
      </c>
      <c r="U432" t="s">
        <v>51</v>
      </c>
    </row>
    <row r="433" spans="1:21" x14ac:dyDescent="0.3">
      <c r="A433" t="s">
        <v>1446</v>
      </c>
      <c r="B433" s="3">
        <v>45332</v>
      </c>
      <c r="C433" s="3"/>
      <c r="D433" t="s">
        <v>1447</v>
      </c>
      <c r="E433" t="s">
        <v>41</v>
      </c>
      <c r="F433" t="s">
        <v>110</v>
      </c>
      <c r="G433" t="s">
        <v>6</v>
      </c>
      <c r="H433" t="s">
        <v>207</v>
      </c>
      <c r="I433" t="s">
        <v>208</v>
      </c>
      <c r="J433" t="s">
        <v>89</v>
      </c>
      <c r="K433" t="s">
        <v>294</v>
      </c>
      <c r="L433" t="s">
        <v>1448</v>
      </c>
      <c r="M433" t="s">
        <v>61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50</v>
      </c>
      <c r="U433" t="s">
        <v>51</v>
      </c>
    </row>
    <row r="434" spans="1:21" x14ac:dyDescent="0.3">
      <c r="A434" t="s">
        <v>1449</v>
      </c>
      <c r="B434" s="3"/>
      <c r="C434" s="3">
        <v>45537</v>
      </c>
      <c r="D434" t="s">
        <v>1450</v>
      </c>
      <c r="E434" t="s">
        <v>130</v>
      </c>
      <c r="F434" t="s">
        <v>55</v>
      </c>
      <c r="G434" t="s">
        <v>6</v>
      </c>
      <c r="H434" t="s">
        <v>79</v>
      </c>
      <c r="I434" t="s">
        <v>80</v>
      </c>
      <c r="J434" t="s">
        <v>58</v>
      </c>
      <c r="K434" t="s">
        <v>174</v>
      </c>
      <c r="L434" t="s">
        <v>1451</v>
      </c>
      <c r="M434" t="s">
        <v>75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50</v>
      </c>
      <c r="U434" t="s">
        <v>51</v>
      </c>
    </row>
    <row r="435" spans="1:21" x14ac:dyDescent="0.3">
      <c r="A435" t="s">
        <v>1452</v>
      </c>
      <c r="B435" s="3"/>
      <c r="C435" s="3">
        <v>45402</v>
      </c>
      <c r="D435" t="s">
        <v>1453</v>
      </c>
      <c r="E435" t="s">
        <v>130</v>
      </c>
      <c r="F435" t="s">
        <v>105</v>
      </c>
      <c r="G435" t="s">
        <v>5</v>
      </c>
      <c r="H435" t="s">
        <v>202</v>
      </c>
      <c r="I435" t="s">
        <v>203</v>
      </c>
      <c r="J435" t="s">
        <v>46</v>
      </c>
      <c r="K435" t="s">
        <v>65</v>
      </c>
      <c r="L435" t="s">
        <v>1454</v>
      </c>
      <c r="M435" t="s">
        <v>49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117</v>
      </c>
      <c r="U435" t="s">
        <v>118</v>
      </c>
    </row>
    <row r="436" spans="1:21" x14ac:dyDescent="0.3">
      <c r="A436" t="s">
        <v>1455</v>
      </c>
      <c r="B436" s="3">
        <v>45965</v>
      </c>
      <c r="C436" s="3">
        <v>45762</v>
      </c>
      <c r="D436" t="s">
        <v>1456</v>
      </c>
      <c r="E436" t="s">
        <v>54</v>
      </c>
      <c r="F436" t="s">
        <v>110</v>
      </c>
      <c r="G436" t="s">
        <v>3</v>
      </c>
      <c r="H436" t="s">
        <v>152</v>
      </c>
      <c r="I436" t="s">
        <v>153</v>
      </c>
      <c r="J436" t="s">
        <v>89</v>
      </c>
      <c r="K436" t="s">
        <v>90</v>
      </c>
      <c r="L436" t="s">
        <v>1457</v>
      </c>
      <c r="M436" t="s">
        <v>49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50</v>
      </c>
      <c r="U436" t="s">
        <v>51</v>
      </c>
    </row>
    <row r="437" spans="1:21" x14ac:dyDescent="0.3">
      <c r="A437" t="s">
        <v>1458</v>
      </c>
      <c r="B437" s="3">
        <v>45759</v>
      </c>
      <c r="C437" s="3">
        <v>45767</v>
      </c>
      <c r="D437" t="s">
        <v>1459</v>
      </c>
      <c r="E437" t="s">
        <v>284</v>
      </c>
      <c r="F437" t="s">
        <v>110</v>
      </c>
      <c r="G437" t="s">
        <v>3</v>
      </c>
      <c r="H437" t="s">
        <v>372</v>
      </c>
      <c r="I437" t="s">
        <v>373</v>
      </c>
      <c r="J437" t="s">
        <v>89</v>
      </c>
      <c r="K437" t="s">
        <v>294</v>
      </c>
      <c r="L437" t="s">
        <v>1460</v>
      </c>
      <c r="M437" t="s">
        <v>75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50</v>
      </c>
      <c r="U437" t="s">
        <v>83</v>
      </c>
    </row>
    <row r="438" spans="1:21" x14ac:dyDescent="0.3">
      <c r="A438" t="s">
        <v>1461</v>
      </c>
      <c r="B438" s="3">
        <v>45459</v>
      </c>
      <c r="C438" s="3">
        <v>45464</v>
      </c>
      <c r="D438" t="s">
        <v>1462</v>
      </c>
      <c r="E438" t="s">
        <v>94</v>
      </c>
      <c r="F438" t="s">
        <v>42</v>
      </c>
      <c r="G438" t="s">
        <v>5</v>
      </c>
      <c r="H438" t="s">
        <v>202</v>
      </c>
      <c r="I438" t="s">
        <v>203</v>
      </c>
      <c r="J438" t="s">
        <v>58</v>
      </c>
      <c r="K438" t="s">
        <v>73</v>
      </c>
      <c r="L438" t="s">
        <v>1463</v>
      </c>
      <c r="M438" t="s">
        <v>61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50</v>
      </c>
      <c r="U438" t="s">
        <v>118</v>
      </c>
    </row>
    <row r="439" spans="1:21" x14ac:dyDescent="0.3">
      <c r="A439" t="s">
        <v>1464</v>
      </c>
      <c r="B439" s="3">
        <v>45337</v>
      </c>
      <c r="C439" s="3">
        <v>45340</v>
      </c>
      <c r="D439" t="s">
        <v>1465</v>
      </c>
      <c r="E439" t="s">
        <v>104</v>
      </c>
      <c r="F439" t="s">
        <v>55</v>
      </c>
      <c r="G439" t="s">
        <v>5</v>
      </c>
      <c r="H439" t="s">
        <v>202</v>
      </c>
      <c r="I439" t="s">
        <v>203</v>
      </c>
      <c r="J439" t="s">
        <v>89</v>
      </c>
      <c r="K439" t="s">
        <v>1466</v>
      </c>
      <c r="L439" t="s">
        <v>1467</v>
      </c>
      <c r="M439" t="s">
        <v>61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171</v>
      </c>
      <c r="U439" t="s">
        <v>118</v>
      </c>
    </row>
    <row r="440" spans="1:21" x14ac:dyDescent="0.3">
      <c r="A440" t="s">
        <v>1468</v>
      </c>
      <c r="B440" s="3">
        <v>45784</v>
      </c>
      <c r="C440" s="3">
        <v>45782</v>
      </c>
      <c r="D440" t="s">
        <v>1469</v>
      </c>
      <c r="E440" t="s">
        <v>94</v>
      </c>
      <c r="F440" t="s">
        <v>105</v>
      </c>
      <c r="G440" t="s">
        <v>4</v>
      </c>
      <c r="H440" t="s">
        <v>246</v>
      </c>
      <c r="I440" t="s">
        <v>247</v>
      </c>
      <c r="J440" t="s">
        <v>89</v>
      </c>
      <c r="K440" t="s">
        <v>187</v>
      </c>
      <c r="L440" t="s">
        <v>1470</v>
      </c>
      <c r="M440" t="s">
        <v>75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50</v>
      </c>
      <c r="U440" t="s">
        <v>51</v>
      </c>
    </row>
    <row r="441" spans="1:21" x14ac:dyDescent="0.3">
      <c r="A441" t="s">
        <v>1471</v>
      </c>
      <c r="B441" s="3">
        <v>45838</v>
      </c>
      <c r="C441" s="3">
        <v>45841</v>
      </c>
      <c r="D441" t="s">
        <v>1472</v>
      </c>
      <c r="E441" t="s">
        <v>144</v>
      </c>
      <c r="F441" t="s">
        <v>110</v>
      </c>
      <c r="G441" t="s">
        <v>6</v>
      </c>
      <c r="H441" t="s">
        <v>207</v>
      </c>
      <c r="I441" t="s">
        <v>208</v>
      </c>
      <c r="J441" t="s">
        <v>46</v>
      </c>
      <c r="K441" t="s">
        <v>140</v>
      </c>
      <c r="L441" t="s">
        <v>1473</v>
      </c>
      <c r="M441" t="s">
        <v>61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117</v>
      </c>
      <c r="U441" t="s">
        <v>118</v>
      </c>
    </row>
    <row r="442" spans="1:21" x14ac:dyDescent="0.3">
      <c r="A442" t="s">
        <v>1474</v>
      </c>
      <c r="B442" s="3">
        <v>45326</v>
      </c>
      <c r="C442" s="3">
        <v>45508</v>
      </c>
      <c r="D442" t="s">
        <v>290</v>
      </c>
      <c r="E442" t="s">
        <v>86</v>
      </c>
      <c r="F442" t="s">
        <v>105</v>
      </c>
      <c r="G442" t="s">
        <v>4</v>
      </c>
      <c r="H442" t="s">
        <v>56</v>
      </c>
      <c r="I442" t="s">
        <v>57</v>
      </c>
      <c r="J442" t="s">
        <v>89</v>
      </c>
      <c r="K442" t="s">
        <v>294</v>
      </c>
      <c r="L442" t="s">
        <v>1475</v>
      </c>
      <c r="M442" t="s">
        <v>49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50</v>
      </c>
      <c r="U442" t="s">
        <v>51</v>
      </c>
    </row>
    <row r="443" spans="1:21" x14ac:dyDescent="0.3">
      <c r="A443" t="s">
        <v>1476</v>
      </c>
      <c r="B443" s="3">
        <v>45568</v>
      </c>
      <c r="C443" s="3">
        <v>45568</v>
      </c>
      <c r="D443" t="s">
        <v>1477</v>
      </c>
      <c r="E443" t="s">
        <v>41</v>
      </c>
      <c r="F443" t="s">
        <v>42</v>
      </c>
      <c r="G443" t="s">
        <v>4</v>
      </c>
      <c r="H443" t="s">
        <v>161</v>
      </c>
      <c r="I443" t="s">
        <v>162</v>
      </c>
      <c r="J443" t="s">
        <v>58</v>
      </c>
      <c r="K443" t="s">
        <v>174</v>
      </c>
      <c r="L443" t="s">
        <v>1478</v>
      </c>
      <c r="M443" t="s">
        <v>75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50</v>
      </c>
      <c r="U443" t="s">
        <v>83</v>
      </c>
    </row>
    <row r="444" spans="1:21" x14ac:dyDescent="0.3">
      <c r="A444" t="s">
        <v>1479</v>
      </c>
      <c r="B444" s="3">
        <v>45669</v>
      </c>
      <c r="C444" s="3">
        <v>45676</v>
      </c>
      <c r="D444" t="s">
        <v>1480</v>
      </c>
      <c r="E444" t="s">
        <v>144</v>
      </c>
      <c r="F444" t="s">
        <v>42</v>
      </c>
      <c r="G444" t="s">
        <v>4</v>
      </c>
      <c r="H444" t="s">
        <v>246</v>
      </c>
      <c r="I444" t="s">
        <v>247</v>
      </c>
      <c r="J444" t="s">
        <v>58</v>
      </c>
      <c r="K444" t="s">
        <v>59</v>
      </c>
      <c r="L444" t="s">
        <v>1481</v>
      </c>
      <c r="M444" t="s">
        <v>67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50</v>
      </c>
      <c r="U444" t="s">
        <v>51</v>
      </c>
    </row>
    <row r="445" spans="1:21" x14ac:dyDescent="0.3">
      <c r="A445" t="s">
        <v>1482</v>
      </c>
      <c r="B445" s="3">
        <v>45386</v>
      </c>
      <c r="C445" s="3">
        <v>45389</v>
      </c>
      <c r="D445" t="s">
        <v>1483</v>
      </c>
      <c r="E445" t="s">
        <v>157</v>
      </c>
      <c r="F445" t="s">
        <v>110</v>
      </c>
      <c r="G445" t="s">
        <v>4</v>
      </c>
      <c r="H445" t="s">
        <v>56</v>
      </c>
      <c r="I445" t="s">
        <v>57</v>
      </c>
      <c r="J445" t="s">
        <v>58</v>
      </c>
      <c r="K445" t="s">
        <v>73</v>
      </c>
      <c r="L445" t="s">
        <v>1484</v>
      </c>
      <c r="M445" t="s">
        <v>67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50</v>
      </c>
      <c r="U445" t="s">
        <v>51</v>
      </c>
    </row>
    <row r="446" spans="1:21" x14ac:dyDescent="0.3">
      <c r="A446" t="s">
        <v>1485</v>
      </c>
      <c r="B446" s="3">
        <v>45881</v>
      </c>
      <c r="C446" s="3">
        <v>45885</v>
      </c>
      <c r="D446" t="s">
        <v>1486</v>
      </c>
      <c r="E446" t="s">
        <v>78</v>
      </c>
      <c r="F446" t="s">
        <v>42</v>
      </c>
      <c r="G446" t="s">
        <v>4</v>
      </c>
      <c r="H446" t="s">
        <v>182</v>
      </c>
      <c r="I446" t="s">
        <v>183</v>
      </c>
      <c r="J446" t="s">
        <v>89</v>
      </c>
      <c r="K446" t="s">
        <v>90</v>
      </c>
      <c r="L446" t="s">
        <v>1487</v>
      </c>
      <c r="M446" t="s">
        <v>61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50</v>
      </c>
      <c r="U446" t="s">
        <v>51</v>
      </c>
    </row>
    <row r="447" spans="1:21" x14ac:dyDescent="0.3">
      <c r="A447" t="s">
        <v>1488</v>
      </c>
      <c r="B447" s="3">
        <v>45540</v>
      </c>
      <c r="C447" s="3">
        <v>45417</v>
      </c>
      <c r="D447" t="s">
        <v>1489</v>
      </c>
      <c r="E447" t="s">
        <v>70</v>
      </c>
      <c r="F447" t="s">
        <v>42</v>
      </c>
      <c r="G447" t="s">
        <v>4</v>
      </c>
      <c r="H447" t="s">
        <v>182</v>
      </c>
      <c r="I447" t="s">
        <v>183</v>
      </c>
      <c r="J447" t="s">
        <v>58</v>
      </c>
      <c r="K447" t="s">
        <v>174</v>
      </c>
      <c r="L447" t="s">
        <v>1490</v>
      </c>
      <c r="M447" t="s">
        <v>61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50</v>
      </c>
      <c r="U447" t="s">
        <v>51</v>
      </c>
    </row>
    <row r="448" spans="1:21" x14ac:dyDescent="0.3">
      <c r="A448" t="s">
        <v>1491</v>
      </c>
      <c r="B448" s="3">
        <v>45918</v>
      </c>
      <c r="C448" s="3">
        <v>45919</v>
      </c>
      <c r="D448" t="s">
        <v>1492</v>
      </c>
      <c r="E448" t="s">
        <v>148</v>
      </c>
      <c r="F448" t="s">
        <v>110</v>
      </c>
      <c r="G448" t="s">
        <v>5</v>
      </c>
      <c r="H448" t="s">
        <v>99</v>
      </c>
      <c r="I448" t="s">
        <v>100</v>
      </c>
      <c r="J448" t="s">
        <v>46</v>
      </c>
      <c r="K448" t="s">
        <v>140</v>
      </c>
      <c r="L448" t="s">
        <v>1493</v>
      </c>
      <c r="M448" t="s">
        <v>61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50</v>
      </c>
      <c r="U448" t="s">
        <v>51</v>
      </c>
    </row>
    <row r="449" spans="1:21" x14ac:dyDescent="0.3">
      <c r="A449" t="s">
        <v>1494</v>
      </c>
      <c r="B449" s="3">
        <v>45879</v>
      </c>
      <c r="C449" s="3">
        <v>45879</v>
      </c>
      <c r="D449" t="s">
        <v>1495</v>
      </c>
      <c r="E449" t="s">
        <v>157</v>
      </c>
      <c r="F449" t="s">
        <v>110</v>
      </c>
      <c r="G449" t="s">
        <v>5</v>
      </c>
      <c r="H449" t="s">
        <v>71</v>
      </c>
      <c r="I449" t="s">
        <v>72</v>
      </c>
      <c r="J449" t="s">
        <v>58</v>
      </c>
      <c r="K449" t="s">
        <v>174</v>
      </c>
      <c r="L449" t="s">
        <v>1496</v>
      </c>
      <c r="M449" t="s">
        <v>75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127</v>
      </c>
      <c r="U449" t="s">
        <v>118</v>
      </c>
    </row>
    <row r="450" spans="1:21" x14ac:dyDescent="0.3">
      <c r="A450" t="s">
        <v>1497</v>
      </c>
      <c r="B450" s="3"/>
      <c r="C450" s="3">
        <v>45309</v>
      </c>
      <c r="D450" t="s">
        <v>1498</v>
      </c>
      <c r="E450" t="s">
        <v>54</v>
      </c>
      <c r="F450" t="s">
        <v>55</v>
      </c>
      <c r="G450" t="s">
        <v>5</v>
      </c>
      <c r="H450" t="s">
        <v>99</v>
      </c>
      <c r="I450" t="s">
        <v>100</v>
      </c>
      <c r="J450" t="s">
        <v>58</v>
      </c>
      <c r="K450" t="s">
        <v>81</v>
      </c>
      <c r="L450" t="s">
        <v>1499</v>
      </c>
      <c r="M450" t="s">
        <v>67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50</v>
      </c>
      <c r="U450" t="s">
        <v>51</v>
      </c>
    </row>
    <row r="451" spans="1:21" x14ac:dyDescent="0.3">
      <c r="A451" t="s">
        <v>1500</v>
      </c>
      <c r="B451" s="3">
        <v>45449</v>
      </c>
      <c r="C451" s="3">
        <v>45456</v>
      </c>
      <c r="D451" t="s">
        <v>1391</v>
      </c>
      <c r="E451" t="s">
        <v>104</v>
      </c>
      <c r="F451" t="s">
        <v>105</v>
      </c>
      <c r="G451" t="s">
        <v>4</v>
      </c>
      <c r="H451" t="s">
        <v>182</v>
      </c>
      <c r="I451" t="s">
        <v>183</v>
      </c>
      <c r="J451" t="s">
        <v>89</v>
      </c>
      <c r="K451" t="s">
        <v>294</v>
      </c>
      <c r="L451" t="s">
        <v>1501</v>
      </c>
      <c r="M451" t="s">
        <v>49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50</v>
      </c>
      <c r="U451" t="s">
        <v>51</v>
      </c>
    </row>
    <row r="452" spans="1:21" x14ac:dyDescent="0.3">
      <c r="A452" t="s">
        <v>1502</v>
      </c>
      <c r="B452" s="3">
        <v>45997</v>
      </c>
      <c r="C452" s="3">
        <v>45827</v>
      </c>
      <c r="D452" t="s">
        <v>1503</v>
      </c>
      <c r="E452" t="s">
        <v>78</v>
      </c>
      <c r="F452" t="s">
        <v>105</v>
      </c>
      <c r="G452" t="s">
        <v>3</v>
      </c>
      <c r="H452" t="s">
        <v>372</v>
      </c>
      <c r="I452" t="s">
        <v>373</v>
      </c>
      <c r="J452" t="s">
        <v>58</v>
      </c>
      <c r="K452" t="s">
        <v>81</v>
      </c>
      <c r="L452" t="s">
        <v>1504</v>
      </c>
      <c r="M452" t="s">
        <v>75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50</v>
      </c>
      <c r="U452" t="s">
        <v>51</v>
      </c>
    </row>
    <row r="453" spans="1:21" x14ac:dyDescent="0.3">
      <c r="A453" t="s">
        <v>1505</v>
      </c>
      <c r="B453" s="3">
        <v>45375</v>
      </c>
      <c r="C453" s="3">
        <v>45377</v>
      </c>
      <c r="D453" t="s">
        <v>1506</v>
      </c>
      <c r="E453" t="s">
        <v>157</v>
      </c>
      <c r="F453" t="s">
        <v>55</v>
      </c>
      <c r="G453" t="s">
        <v>3</v>
      </c>
      <c r="H453" t="s">
        <v>254</v>
      </c>
      <c r="I453" t="s">
        <v>255</v>
      </c>
      <c r="J453" t="s">
        <v>46</v>
      </c>
      <c r="K453" t="s">
        <v>47</v>
      </c>
      <c r="L453" t="s">
        <v>1507</v>
      </c>
      <c r="M453" t="s">
        <v>49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50</v>
      </c>
      <c r="U453" t="s">
        <v>83</v>
      </c>
    </row>
    <row r="454" spans="1:21" x14ac:dyDescent="0.3">
      <c r="A454" t="s">
        <v>1508</v>
      </c>
      <c r="B454" s="3">
        <v>45422</v>
      </c>
      <c r="C454" s="3">
        <v>45428</v>
      </c>
      <c r="D454" t="s">
        <v>1509</v>
      </c>
      <c r="E454" t="s">
        <v>178</v>
      </c>
      <c r="F454" t="s">
        <v>110</v>
      </c>
      <c r="G454" t="s">
        <v>4</v>
      </c>
      <c r="H454" t="s">
        <v>246</v>
      </c>
      <c r="I454" t="s">
        <v>247</v>
      </c>
      <c r="J454" t="s">
        <v>89</v>
      </c>
      <c r="K454" t="s">
        <v>90</v>
      </c>
      <c r="L454" t="s">
        <v>1510</v>
      </c>
      <c r="M454" t="s">
        <v>49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50</v>
      </c>
      <c r="U454" t="s">
        <v>51</v>
      </c>
    </row>
    <row r="455" spans="1:21" x14ac:dyDescent="0.3">
      <c r="A455" t="s">
        <v>1511</v>
      </c>
      <c r="B455" s="3">
        <v>45721</v>
      </c>
      <c r="C455" s="3">
        <v>45788</v>
      </c>
      <c r="D455" t="s">
        <v>1512</v>
      </c>
      <c r="E455" t="s">
        <v>157</v>
      </c>
      <c r="F455" t="s">
        <v>343</v>
      </c>
      <c r="G455" t="s">
        <v>6</v>
      </c>
      <c r="H455" t="s">
        <v>87</v>
      </c>
      <c r="I455" t="s">
        <v>88</v>
      </c>
      <c r="J455" t="s">
        <v>46</v>
      </c>
      <c r="K455" t="s">
        <v>106</v>
      </c>
      <c r="L455" t="s">
        <v>1513</v>
      </c>
      <c r="M455" t="s">
        <v>61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50</v>
      </c>
      <c r="U455" t="s">
        <v>51</v>
      </c>
    </row>
    <row r="456" spans="1:21" x14ac:dyDescent="0.3">
      <c r="A456" t="s">
        <v>1514</v>
      </c>
      <c r="B456" s="3">
        <v>45739</v>
      </c>
      <c r="C456" s="3">
        <v>45744</v>
      </c>
      <c r="D456" t="s">
        <v>1515</v>
      </c>
      <c r="E456" t="s">
        <v>86</v>
      </c>
      <c r="F456" t="s">
        <v>55</v>
      </c>
      <c r="G456" t="s">
        <v>3</v>
      </c>
      <c r="H456" t="s">
        <v>44</v>
      </c>
      <c r="I456" t="s">
        <v>45</v>
      </c>
      <c r="J456" t="s">
        <v>58</v>
      </c>
      <c r="K456" t="s">
        <v>73</v>
      </c>
      <c r="L456" t="s">
        <v>1516</v>
      </c>
      <c r="M456" t="s">
        <v>75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50</v>
      </c>
      <c r="U456" t="s">
        <v>51</v>
      </c>
    </row>
    <row r="457" spans="1:21" x14ac:dyDescent="0.3">
      <c r="A457" t="s">
        <v>1517</v>
      </c>
      <c r="B457" s="3">
        <v>45491</v>
      </c>
      <c r="C457" s="3">
        <v>45495</v>
      </c>
      <c r="D457" t="s">
        <v>1518</v>
      </c>
      <c r="E457" t="s">
        <v>94</v>
      </c>
      <c r="F457" t="s">
        <v>55</v>
      </c>
      <c r="G457" t="s">
        <v>5</v>
      </c>
      <c r="H457" t="s">
        <v>71</v>
      </c>
      <c r="I457" t="s">
        <v>72</v>
      </c>
      <c r="J457" t="s">
        <v>46</v>
      </c>
      <c r="K457" t="s">
        <v>65</v>
      </c>
      <c r="L457" t="s">
        <v>1519</v>
      </c>
      <c r="M457" t="s">
        <v>75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50</v>
      </c>
      <c r="U457" t="s">
        <v>51</v>
      </c>
    </row>
    <row r="458" spans="1:21" x14ac:dyDescent="0.3">
      <c r="A458" t="s">
        <v>1520</v>
      </c>
      <c r="B458" s="3">
        <v>45342</v>
      </c>
      <c r="C458" s="3">
        <v>45342</v>
      </c>
      <c r="D458" t="s">
        <v>1521</v>
      </c>
      <c r="E458" t="s">
        <v>94</v>
      </c>
      <c r="F458" t="s">
        <v>105</v>
      </c>
      <c r="G458" t="s">
        <v>3</v>
      </c>
      <c r="H458" t="s">
        <v>152</v>
      </c>
      <c r="I458" t="s">
        <v>153</v>
      </c>
      <c r="J458" t="s">
        <v>89</v>
      </c>
      <c r="K458" t="s">
        <v>90</v>
      </c>
      <c r="L458" t="s">
        <v>1522</v>
      </c>
      <c r="M458" t="s">
        <v>61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50</v>
      </c>
      <c r="U458" t="s">
        <v>118</v>
      </c>
    </row>
    <row r="459" spans="1:21" x14ac:dyDescent="0.3">
      <c r="A459" t="s">
        <v>1523</v>
      </c>
      <c r="B459" s="3">
        <v>45387</v>
      </c>
      <c r="C459" s="3">
        <v>45416</v>
      </c>
      <c r="D459" t="s">
        <v>1524</v>
      </c>
      <c r="E459" t="s">
        <v>54</v>
      </c>
      <c r="F459" t="s">
        <v>55</v>
      </c>
      <c r="G459" t="s">
        <v>6</v>
      </c>
      <c r="H459" t="s">
        <v>207</v>
      </c>
      <c r="I459" t="s">
        <v>208</v>
      </c>
      <c r="J459" t="s">
        <v>58</v>
      </c>
      <c r="K459" t="s">
        <v>59</v>
      </c>
      <c r="L459" t="s">
        <v>1525</v>
      </c>
      <c r="M459" t="s">
        <v>75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50</v>
      </c>
      <c r="U459" t="s">
        <v>51</v>
      </c>
    </row>
    <row r="460" spans="1:21" x14ac:dyDescent="0.3">
      <c r="A460" t="s">
        <v>1526</v>
      </c>
      <c r="B460" s="3">
        <v>45332</v>
      </c>
      <c r="C460" s="3">
        <v>45598</v>
      </c>
      <c r="D460" t="s">
        <v>1527</v>
      </c>
      <c r="E460" t="s">
        <v>41</v>
      </c>
      <c r="F460" t="s">
        <v>105</v>
      </c>
      <c r="G460" t="s">
        <v>3</v>
      </c>
      <c r="H460" t="s">
        <v>44</v>
      </c>
      <c r="I460" t="s">
        <v>45</v>
      </c>
      <c r="J460" t="s">
        <v>89</v>
      </c>
      <c r="K460" t="s">
        <v>187</v>
      </c>
      <c r="L460" t="s">
        <v>1528</v>
      </c>
      <c r="M460" t="s">
        <v>49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50</v>
      </c>
      <c r="U460" t="s">
        <v>51</v>
      </c>
    </row>
    <row r="461" spans="1:21" x14ac:dyDescent="0.3">
      <c r="A461" t="s">
        <v>1529</v>
      </c>
      <c r="B461" s="3"/>
      <c r="C461" s="3">
        <v>45386</v>
      </c>
      <c r="D461" t="s">
        <v>1530</v>
      </c>
      <c r="E461" t="s">
        <v>78</v>
      </c>
      <c r="F461" t="s">
        <v>110</v>
      </c>
      <c r="G461" t="s">
        <v>6</v>
      </c>
      <c r="H461" t="s">
        <v>207</v>
      </c>
      <c r="I461" t="s">
        <v>208</v>
      </c>
      <c r="J461" t="s">
        <v>46</v>
      </c>
      <c r="K461" t="s">
        <v>47</v>
      </c>
      <c r="L461" t="s">
        <v>1531</v>
      </c>
      <c r="M461" t="s">
        <v>67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50</v>
      </c>
      <c r="U461" t="s">
        <v>51</v>
      </c>
    </row>
    <row r="462" spans="1:21" x14ac:dyDescent="0.3">
      <c r="A462" t="s">
        <v>1532</v>
      </c>
      <c r="B462" s="3">
        <v>45930</v>
      </c>
      <c r="C462" s="3">
        <v>45936</v>
      </c>
      <c r="D462" t="s">
        <v>1533</v>
      </c>
      <c r="E462" t="s">
        <v>144</v>
      </c>
      <c r="F462" t="s">
        <v>105</v>
      </c>
      <c r="H462" t="s">
        <v>44</v>
      </c>
      <c r="I462" t="s">
        <v>45</v>
      </c>
      <c r="J462" t="s">
        <v>89</v>
      </c>
      <c r="K462" t="s">
        <v>95</v>
      </c>
      <c r="L462" t="s">
        <v>1534</v>
      </c>
      <c r="M462" t="s">
        <v>49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50</v>
      </c>
      <c r="U462" t="s">
        <v>51</v>
      </c>
    </row>
    <row r="463" spans="1:21" x14ac:dyDescent="0.3">
      <c r="A463" t="s">
        <v>1535</v>
      </c>
      <c r="B463" s="3"/>
      <c r="C463" s="3"/>
      <c r="D463" t="s">
        <v>1536</v>
      </c>
      <c r="E463" t="s">
        <v>94</v>
      </c>
      <c r="F463" t="s">
        <v>105</v>
      </c>
      <c r="G463" t="s">
        <v>5</v>
      </c>
      <c r="H463" t="s">
        <v>99</v>
      </c>
      <c r="I463" t="s">
        <v>100</v>
      </c>
      <c r="J463" t="s">
        <v>46</v>
      </c>
      <c r="K463" t="s">
        <v>47</v>
      </c>
      <c r="L463" t="s">
        <v>1537</v>
      </c>
      <c r="M463" t="s">
        <v>75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50</v>
      </c>
      <c r="U463" t="s">
        <v>51</v>
      </c>
    </row>
    <row r="464" spans="1:21" x14ac:dyDescent="0.3">
      <c r="A464" t="s">
        <v>1538</v>
      </c>
      <c r="B464" s="3"/>
      <c r="C464" s="3">
        <v>45560</v>
      </c>
      <c r="D464" t="s">
        <v>1539</v>
      </c>
      <c r="E464" t="s">
        <v>144</v>
      </c>
      <c r="F464" t="s">
        <v>110</v>
      </c>
      <c r="G464" t="s">
        <v>3</v>
      </c>
      <c r="H464" t="s">
        <v>372</v>
      </c>
      <c r="I464" t="s">
        <v>373</v>
      </c>
      <c r="J464" t="s">
        <v>46</v>
      </c>
      <c r="K464" t="s">
        <v>169</v>
      </c>
      <c r="L464" t="s">
        <v>1540</v>
      </c>
      <c r="M464" t="s">
        <v>67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50</v>
      </c>
      <c r="U464" t="s">
        <v>51</v>
      </c>
    </row>
    <row r="465" spans="1:21" x14ac:dyDescent="0.3">
      <c r="A465" t="s">
        <v>1541</v>
      </c>
      <c r="B465" s="3">
        <v>45695</v>
      </c>
      <c r="C465" s="3">
        <v>45696</v>
      </c>
      <c r="D465" t="s">
        <v>1542</v>
      </c>
      <c r="E465" t="s">
        <v>70</v>
      </c>
      <c r="F465" t="s">
        <v>105</v>
      </c>
      <c r="G465" t="s">
        <v>6</v>
      </c>
      <c r="H465" t="s">
        <v>87</v>
      </c>
      <c r="I465" t="s">
        <v>88</v>
      </c>
      <c r="J465" t="s">
        <v>89</v>
      </c>
      <c r="K465" t="s">
        <v>187</v>
      </c>
      <c r="L465" t="s">
        <v>1543</v>
      </c>
      <c r="M465" t="s">
        <v>75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50</v>
      </c>
      <c r="U465" t="s">
        <v>51</v>
      </c>
    </row>
    <row r="466" spans="1:21" x14ac:dyDescent="0.3">
      <c r="A466" t="s">
        <v>1544</v>
      </c>
      <c r="B466" s="3">
        <v>45727</v>
      </c>
      <c r="C466" s="3"/>
      <c r="D466" t="s">
        <v>1545</v>
      </c>
      <c r="E466" t="s">
        <v>70</v>
      </c>
      <c r="F466" t="s">
        <v>105</v>
      </c>
      <c r="G466" t="s">
        <v>4</v>
      </c>
      <c r="H466" t="s">
        <v>161</v>
      </c>
      <c r="I466" t="s">
        <v>162</v>
      </c>
      <c r="J466" t="s">
        <v>46</v>
      </c>
      <c r="K466" t="s">
        <v>47</v>
      </c>
      <c r="L466" t="s">
        <v>1546</v>
      </c>
      <c r="M466" t="s">
        <v>61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127</v>
      </c>
      <c r="U466" t="s">
        <v>83</v>
      </c>
    </row>
    <row r="467" spans="1:21" x14ac:dyDescent="0.3">
      <c r="A467" t="s">
        <v>1547</v>
      </c>
      <c r="B467" s="3">
        <v>45320</v>
      </c>
      <c r="C467" s="3">
        <v>45328</v>
      </c>
      <c r="D467" t="s">
        <v>1548</v>
      </c>
      <c r="E467" t="s">
        <v>144</v>
      </c>
      <c r="F467" t="s">
        <v>55</v>
      </c>
      <c r="G467" t="s">
        <v>6</v>
      </c>
      <c r="H467" t="s">
        <v>87</v>
      </c>
      <c r="I467" t="s">
        <v>88</v>
      </c>
      <c r="J467" t="s">
        <v>46</v>
      </c>
      <c r="K467" t="s">
        <v>106</v>
      </c>
      <c r="L467" t="s">
        <v>1549</v>
      </c>
      <c r="M467" t="s">
        <v>75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50</v>
      </c>
      <c r="U467" t="s">
        <v>51</v>
      </c>
    </row>
    <row r="468" spans="1:21" x14ac:dyDescent="0.3">
      <c r="A468" t="s">
        <v>1550</v>
      </c>
      <c r="B468" s="3">
        <v>45295</v>
      </c>
      <c r="C468" s="3">
        <v>45505</v>
      </c>
      <c r="D468" t="s">
        <v>1551</v>
      </c>
      <c r="E468" t="s">
        <v>54</v>
      </c>
      <c r="F468" t="s">
        <v>55</v>
      </c>
      <c r="G468" t="s">
        <v>4</v>
      </c>
      <c r="H468" t="s">
        <v>161</v>
      </c>
      <c r="I468" t="s">
        <v>162</v>
      </c>
      <c r="J468" t="s">
        <v>89</v>
      </c>
      <c r="K468" t="s">
        <v>90</v>
      </c>
      <c r="L468" t="s">
        <v>1552</v>
      </c>
      <c r="M468" t="s">
        <v>61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50</v>
      </c>
      <c r="U468" t="s">
        <v>51</v>
      </c>
    </row>
    <row r="469" spans="1:21" x14ac:dyDescent="0.3">
      <c r="A469" t="s">
        <v>1553</v>
      </c>
      <c r="B469" s="3">
        <v>45524</v>
      </c>
      <c r="C469" s="3">
        <v>45525</v>
      </c>
      <c r="D469" t="s">
        <v>1554</v>
      </c>
      <c r="E469" t="s">
        <v>104</v>
      </c>
      <c r="F469" t="s">
        <v>105</v>
      </c>
      <c r="G469" t="s">
        <v>4</v>
      </c>
      <c r="H469" t="s">
        <v>56</v>
      </c>
      <c r="I469" t="s">
        <v>57</v>
      </c>
      <c r="J469" t="s">
        <v>89</v>
      </c>
      <c r="K469" t="s">
        <v>95</v>
      </c>
      <c r="L469" t="s">
        <v>1555</v>
      </c>
      <c r="M469" t="s">
        <v>67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117</v>
      </c>
      <c r="U469" t="s">
        <v>83</v>
      </c>
    </row>
    <row r="470" spans="1:21" x14ac:dyDescent="0.3">
      <c r="A470" t="s">
        <v>1556</v>
      </c>
      <c r="B470" s="3">
        <v>45666</v>
      </c>
      <c r="C470" s="3">
        <v>45664</v>
      </c>
      <c r="D470" t="s">
        <v>1557</v>
      </c>
      <c r="E470" t="s">
        <v>144</v>
      </c>
      <c r="F470" t="s">
        <v>110</v>
      </c>
      <c r="G470" t="s">
        <v>4</v>
      </c>
      <c r="H470" t="s">
        <v>114</v>
      </c>
      <c r="I470" t="s">
        <v>115</v>
      </c>
      <c r="J470" t="s">
        <v>46</v>
      </c>
      <c r="K470" t="s">
        <v>169</v>
      </c>
      <c r="L470" t="s">
        <v>1558</v>
      </c>
      <c r="M470" t="s">
        <v>49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50</v>
      </c>
      <c r="U470" t="s">
        <v>51</v>
      </c>
    </row>
    <row r="471" spans="1:21" x14ac:dyDescent="0.3">
      <c r="A471" t="s">
        <v>1559</v>
      </c>
      <c r="B471" s="3">
        <v>45310</v>
      </c>
      <c r="C471" s="3"/>
      <c r="D471" t="s">
        <v>1560</v>
      </c>
      <c r="E471" t="s">
        <v>104</v>
      </c>
      <c r="F471" t="s">
        <v>105</v>
      </c>
      <c r="G471" t="s">
        <v>6</v>
      </c>
      <c r="H471" t="s">
        <v>207</v>
      </c>
      <c r="I471" t="s">
        <v>208</v>
      </c>
      <c r="J471" t="s">
        <v>89</v>
      </c>
      <c r="K471" t="s">
        <v>95</v>
      </c>
      <c r="L471" t="s">
        <v>1561</v>
      </c>
      <c r="M471" t="s">
        <v>67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50</v>
      </c>
      <c r="U471" t="s">
        <v>51</v>
      </c>
    </row>
    <row r="472" spans="1:21" x14ac:dyDescent="0.3">
      <c r="A472" t="s">
        <v>1562</v>
      </c>
      <c r="B472" s="3">
        <v>45501</v>
      </c>
      <c r="C472" s="3"/>
      <c r="D472" t="s">
        <v>1563</v>
      </c>
      <c r="E472" t="s">
        <v>104</v>
      </c>
      <c r="F472" t="s">
        <v>42</v>
      </c>
      <c r="G472" t="s">
        <v>3</v>
      </c>
      <c r="H472" t="s">
        <v>44</v>
      </c>
      <c r="I472" t="s">
        <v>45</v>
      </c>
      <c r="J472" t="s">
        <v>58</v>
      </c>
      <c r="K472" t="s">
        <v>59</v>
      </c>
      <c r="L472" t="s">
        <v>1564</v>
      </c>
      <c r="M472" t="s">
        <v>61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50</v>
      </c>
      <c r="U472" t="s">
        <v>51</v>
      </c>
    </row>
    <row r="473" spans="1:21" x14ac:dyDescent="0.3">
      <c r="A473" t="s">
        <v>1565</v>
      </c>
      <c r="B473" s="3">
        <v>45333</v>
      </c>
      <c r="C473" s="3"/>
      <c r="D473" t="s">
        <v>1566</v>
      </c>
      <c r="E473" t="s">
        <v>284</v>
      </c>
      <c r="F473" t="s">
        <v>42</v>
      </c>
      <c r="G473" t="s">
        <v>5</v>
      </c>
      <c r="H473" t="s">
        <v>71</v>
      </c>
      <c r="I473" t="s">
        <v>72</v>
      </c>
      <c r="J473" t="s">
        <v>46</v>
      </c>
      <c r="K473" t="s">
        <v>169</v>
      </c>
      <c r="L473" t="s">
        <v>1567</v>
      </c>
      <c r="M473" t="s">
        <v>75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50</v>
      </c>
      <c r="U473" t="s">
        <v>51</v>
      </c>
    </row>
    <row r="474" spans="1:21" x14ac:dyDescent="0.3">
      <c r="A474" t="s">
        <v>1568</v>
      </c>
      <c r="B474" s="3">
        <v>45353</v>
      </c>
      <c r="C474" s="3">
        <v>45476</v>
      </c>
      <c r="D474" t="s">
        <v>1569</v>
      </c>
      <c r="E474" t="s">
        <v>157</v>
      </c>
      <c r="F474" t="s">
        <v>105</v>
      </c>
      <c r="G474" t="s">
        <v>4</v>
      </c>
      <c r="H474" t="s">
        <v>56</v>
      </c>
      <c r="I474" t="s">
        <v>57</v>
      </c>
      <c r="J474" t="s">
        <v>46</v>
      </c>
      <c r="K474" t="s">
        <v>140</v>
      </c>
      <c r="L474" t="s">
        <v>1570</v>
      </c>
      <c r="M474" t="s">
        <v>75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50</v>
      </c>
      <c r="U474" t="s">
        <v>51</v>
      </c>
    </row>
    <row r="475" spans="1:21" x14ac:dyDescent="0.3">
      <c r="A475" t="s">
        <v>1571</v>
      </c>
      <c r="B475" s="3">
        <v>45609</v>
      </c>
      <c r="C475" s="3">
        <v>45609</v>
      </c>
      <c r="D475" t="s">
        <v>1572</v>
      </c>
      <c r="E475" t="s">
        <v>130</v>
      </c>
      <c r="F475" t="s">
        <v>42</v>
      </c>
      <c r="G475" t="s">
        <v>6</v>
      </c>
      <c r="H475" t="s">
        <v>207</v>
      </c>
      <c r="I475" t="s">
        <v>208</v>
      </c>
      <c r="J475" t="s">
        <v>89</v>
      </c>
      <c r="K475" t="s">
        <v>95</v>
      </c>
      <c r="L475" t="s">
        <v>1573</v>
      </c>
      <c r="M475" t="s">
        <v>75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50</v>
      </c>
      <c r="U475" t="s">
        <v>51</v>
      </c>
    </row>
    <row r="476" spans="1:21" x14ac:dyDescent="0.3">
      <c r="A476" t="s">
        <v>1574</v>
      </c>
      <c r="B476" s="3">
        <v>45446</v>
      </c>
      <c r="C476" s="3">
        <v>45453</v>
      </c>
      <c r="D476" t="s">
        <v>1575</v>
      </c>
      <c r="E476" t="s">
        <v>178</v>
      </c>
      <c r="F476" t="s">
        <v>105</v>
      </c>
      <c r="G476" t="s">
        <v>3</v>
      </c>
      <c r="H476" t="s">
        <v>138</v>
      </c>
      <c r="I476" t="s">
        <v>139</v>
      </c>
      <c r="J476" t="s">
        <v>58</v>
      </c>
      <c r="K476" t="s">
        <v>73</v>
      </c>
      <c r="L476" t="s">
        <v>1576</v>
      </c>
      <c r="M476" t="s">
        <v>75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50</v>
      </c>
      <c r="U476" t="s">
        <v>51</v>
      </c>
    </row>
    <row r="477" spans="1:21" x14ac:dyDescent="0.3">
      <c r="A477" t="s">
        <v>1577</v>
      </c>
      <c r="B477" s="3">
        <v>45660</v>
      </c>
      <c r="C477" s="3">
        <v>45724</v>
      </c>
      <c r="D477" t="s">
        <v>1578</v>
      </c>
      <c r="E477" t="s">
        <v>86</v>
      </c>
      <c r="F477" t="s">
        <v>42</v>
      </c>
      <c r="G477" t="s">
        <v>4</v>
      </c>
      <c r="H477" t="s">
        <v>114</v>
      </c>
      <c r="I477" t="s">
        <v>115</v>
      </c>
      <c r="J477" t="s">
        <v>58</v>
      </c>
      <c r="K477" t="s">
        <v>81</v>
      </c>
      <c r="L477" t="s">
        <v>1579</v>
      </c>
      <c r="M477" t="s">
        <v>61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127</v>
      </c>
      <c r="U477" t="s">
        <v>118</v>
      </c>
    </row>
    <row r="478" spans="1:21" x14ac:dyDescent="0.3">
      <c r="A478" t="s">
        <v>1580</v>
      </c>
      <c r="B478" s="3">
        <v>45478</v>
      </c>
      <c r="C478" s="3"/>
      <c r="D478" t="s">
        <v>1581</v>
      </c>
      <c r="E478" t="s">
        <v>148</v>
      </c>
      <c r="F478" t="s">
        <v>55</v>
      </c>
      <c r="G478" t="s">
        <v>3</v>
      </c>
      <c r="H478" t="s">
        <v>44</v>
      </c>
      <c r="I478" t="s">
        <v>45</v>
      </c>
      <c r="J478" t="s">
        <v>46</v>
      </c>
      <c r="K478" t="s">
        <v>140</v>
      </c>
      <c r="L478" t="s">
        <v>1582</v>
      </c>
      <c r="M478" t="s">
        <v>67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50</v>
      </c>
      <c r="U478" t="s">
        <v>51</v>
      </c>
    </row>
    <row r="479" spans="1:21" x14ac:dyDescent="0.3">
      <c r="A479" t="s">
        <v>1583</v>
      </c>
      <c r="B479" s="3"/>
      <c r="C479" s="3">
        <v>45897</v>
      </c>
      <c r="D479" t="s">
        <v>1584</v>
      </c>
      <c r="E479" t="s">
        <v>86</v>
      </c>
      <c r="F479" t="s">
        <v>105</v>
      </c>
      <c r="G479" t="s">
        <v>6</v>
      </c>
      <c r="H479" t="s">
        <v>197</v>
      </c>
      <c r="I479" t="s">
        <v>198</v>
      </c>
      <c r="J479" t="s">
        <v>58</v>
      </c>
      <c r="K479" t="s">
        <v>81</v>
      </c>
      <c r="L479" t="s">
        <v>1585</v>
      </c>
      <c r="M479" t="s">
        <v>75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50</v>
      </c>
      <c r="U479" t="s">
        <v>83</v>
      </c>
    </row>
    <row r="480" spans="1:21" x14ac:dyDescent="0.3">
      <c r="A480" t="s">
        <v>1586</v>
      </c>
      <c r="B480" s="3">
        <v>45541</v>
      </c>
      <c r="C480" s="3">
        <v>45456</v>
      </c>
      <c r="D480" t="s">
        <v>1587</v>
      </c>
      <c r="E480" t="s">
        <v>54</v>
      </c>
      <c r="F480" t="s">
        <v>110</v>
      </c>
      <c r="H480" t="s">
        <v>152</v>
      </c>
      <c r="I480" t="s">
        <v>153</v>
      </c>
      <c r="J480" t="s">
        <v>89</v>
      </c>
      <c r="K480" t="s">
        <v>294</v>
      </c>
      <c r="L480" t="s">
        <v>1588</v>
      </c>
      <c r="M480" t="s">
        <v>61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117</v>
      </c>
      <c r="U480" t="s">
        <v>118</v>
      </c>
    </row>
    <row r="481" spans="1:21" x14ac:dyDescent="0.3">
      <c r="A481" t="s">
        <v>1589</v>
      </c>
      <c r="B481" s="3">
        <v>45345</v>
      </c>
      <c r="C481" s="3">
        <v>45342</v>
      </c>
      <c r="D481" t="s">
        <v>1590</v>
      </c>
      <c r="E481" t="s">
        <v>70</v>
      </c>
      <c r="F481" t="s">
        <v>105</v>
      </c>
      <c r="G481" t="s">
        <v>4</v>
      </c>
      <c r="H481" t="s">
        <v>56</v>
      </c>
      <c r="I481" t="s">
        <v>57</v>
      </c>
      <c r="J481" t="s">
        <v>58</v>
      </c>
      <c r="K481" t="s">
        <v>81</v>
      </c>
      <c r="L481" t="s">
        <v>1591</v>
      </c>
      <c r="M481" t="s">
        <v>49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50</v>
      </c>
      <c r="U481" t="s">
        <v>51</v>
      </c>
    </row>
    <row r="482" spans="1:21" x14ac:dyDescent="0.3">
      <c r="A482" t="s">
        <v>1592</v>
      </c>
      <c r="B482" s="3">
        <v>45662</v>
      </c>
      <c r="C482" s="3">
        <v>45666</v>
      </c>
      <c r="D482" t="s">
        <v>1593</v>
      </c>
      <c r="E482" t="s">
        <v>94</v>
      </c>
      <c r="F482" t="s">
        <v>55</v>
      </c>
      <c r="G482" t="s">
        <v>5</v>
      </c>
      <c r="H482" t="s">
        <v>265</v>
      </c>
      <c r="I482" t="s">
        <v>266</v>
      </c>
      <c r="J482" t="s">
        <v>46</v>
      </c>
      <c r="K482" t="s">
        <v>140</v>
      </c>
      <c r="L482" t="s">
        <v>1594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50</v>
      </c>
      <c r="U482" t="s">
        <v>51</v>
      </c>
    </row>
    <row r="483" spans="1:21" x14ac:dyDescent="0.3">
      <c r="A483" t="s">
        <v>1595</v>
      </c>
      <c r="B483" s="3">
        <v>45813</v>
      </c>
      <c r="C483" s="3"/>
      <c r="D483" t="s">
        <v>1596</v>
      </c>
      <c r="E483" t="s">
        <v>64</v>
      </c>
      <c r="F483" t="s">
        <v>42</v>
      </c>
      <c r="G483" t="s">
        <v>3</v>
      </c>
      <c r="H483" t="s">
        <v>152</v>
      </c>
      <c r="I483" t="s">
        <v>153</v>
      </c>
      <c r="J483" t="s">
        <v>89</v>
      </c>
      <c r="K483" t="s">
        <v>294</v>
      </c>
      <c r="L483" t="s">
        <v>1597</v>
      </c>
      <c r="M483" t="s">
        <v>61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4263.1499999999996</v>
      </c>
      <c r="T483" t="s">
        <v>50</v>
      </c>
      <c r="U483" t="s">
        <v>51</v>
      </c>
    </row>
    <row r="484" spans="1:21" x14ac:dyDescent="0.3">
      <c r="A484" t="s">
        <v>1598</v>
      </c>
      <c r="B484" s="3"/>
      <c r="C484" s="3"/>
      <c r="D484" t="s">
        <v>1599</v>
      </c>
      <c r="E484" t="s">
        <v>130</v>
      </c>
      <c r="F484" t="s">
        <v>42</v>
      </c>
      <c r="G484" t="s">
        <v>5</v>
      </c>
      <c r="H484" t="s">
        <v>192</v>
      </c>
      <c r="I484" t="s">
        <v>193</v>
      </c>
      <c r="J484" t="s">
        <v>89</v>
      </c>
      <c r="K484" t="s">
        <v>90</v>
      </c>
      <c r="L484" t="s">
        <v>1600</v>
      </c>
      <c r="M484" t="s">
        <v>49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50</v>
      </c>
      <c r="U484" t="s">
        <v>51</v>
      </c>
    </row>
    <row r="485" spans="1:21" x14ac:dyDescent="0.3">
      <c r="A485" t="s">
        <v>1601</v>
      </c>
      <c r="B485" s="3">
        <v>45651</v>
      </c>
      <c r="C485" s="3">
        <v>45651</v>
      </c>
      <c r="D485" t="s">
        <v>1602</v>
      </c>
      <c r="E485" t="s">
        <v>54</v>
      </c>
      <c r="F485" t="s">
        <v>105</v>
      </c>
      <c r="G485" t="s">
        <v>4</v>
      </c>
      <c r="H485" t="s">
        <v>161</v>
      </c>
      <c r="I485" t="s">
        <v>162</v>
      </c>
      <c r="J485" t="s">
        <v>89</v>
      </c>
      <c r="K485" t="s">
        <v>95</v>
      </c>
      <c r="L485" t="s">
        <v>1603</v>
      </c>
      <c r="M485" t="s">
        <v>75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50</v>
      </c>
      <c r="U485" t="s">
        <v>51</v>
      </c>
    </row>
    <row r="486" spans="1:21" x14ac:dyDescent="0.3">
      <c r="A486" t="s">
        <v>1604</v>
      </c>
      <c r="B486" s="3">
        <v>45654</v>
      </c>
      <c r="C486" s="3"/>
      <c r="D486" t="s">
        <v>1605</v>
      </c>
      <c r="E486" t="s">
        <v>54</v>
      </c>
      <c r="F486" t="s">
        <v>55</v>
      </c>
      <c r="G486" t="s">
        <v>5</v>
      </c>
      <c r="H486" t="s">
        <v>99</v>
      </c>
      <c r="I486" t="s">
        <v>100</v>
      </c>
      <c r="J486" t="s">
        <v>58</v>
      </c>
      <c r="K486" t="s">
        <v>73</v>
      </c>
      <c r="L486" t="s">
        <v>1606</v>
      </c>
      <c r="M486" t="s">
        <v>67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50</v>
      </c>
      <c r="U486" t="s">
        <v>51</v>
      </c>
    </row>
    <row r="487" spans="1:21" x14ac:dyDescent="0.3">
      <c r="A487" t="s">
        <v>1607</v>
      </c>
      <c r="B487" s="3">
        <v>45679</v>
      </c>
      <c r="C487" s="3">
        <v>45680</v>
      </c>
      <c r="D487" t="s">
        <v>1608</v>
      </c>
      <c r="E487" t="s">
        <v>134</v>
      </c>
      <c r="F487" t="s">
        <v>105</v>
      </c>
      <c r="G487" t="s">
        <v>6</v>
      </c>
      <c r="H487" t="s">
        <v>207</v>
      </c>
      <c r="I487" t="s">
        <v>208</v>
      </c>
      <c r="J487" t="s">
        <v>58</v>
      </c>
      <c r="K487" t="s">
        <v>174</v>
      </c>
      <c r="L487" t="s">
        <v>1609</v>
      </c>
      <c r="M487" t="s">
        <v>75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50</v>
      </c>
      <c r="U487" t="s">
        <v>51</v>
      </c>
    </row>
    <row r="488" spans="1:21" x14ac:dyDescent="0.3">
      <c r="A488" t="s">
        <v>1610</v>
      </c>
      <c r="B488" s="3">
        <v>45830</v>
      </c>
      <c r="C488" s="3"/>
      <c r="D488" t="s">
        <v>1611</v>
      </c>
      <c r="E488" t="s">
        <v>134</v>
      </c>
      <c r="F488" t="s">
        <v>105</v>
      </c>
      <c r="G488" t="s">
        <v>6</v>
      </c>
      <c r="H488" t="s">
        <v>207</v>
      </c>
      <c r="I488" t="s">
        <v>208</v>
      </c>
      <c r="J488" t="s">
        <v>58</v>
      </c>
      <c r="K488" t="s">
        <v>59</v>
      </c>
      <c r="L488" t="s">
        <v>1612</v>
      </c>
      <c r="M488" t="s">
        <v>75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50</v>
      </c>
      <c r="U488" t="s">
        <v>51</v>
      </c>
    </row>
    <row r="489" spans="1:21" x14ac:dyDescent="0.3">
      <c r="A489" t="s">
        <v>1613</v>
      </c>
      <c r="B489" s="3">
        <v>45818</v>
      </c>
      <c r="C489" s="3"/>
      <c r="D489" t="s">
        <v>1614</v>
      </c>
      <c r="E489" t="s">
        <v>134</v>
      </c>
      <c r="F489" t="s">
        <v>105</v>
      </c>
      <c r="G489" t="s">
        <v>5</v>
      </c>
      <c r="H489" t="s">
        <v>71</v>
      </c>
      <c r="I489" t="s">
        <v>72</v>
      </c>
      <c r="J489" t="s">
        <v>58</v>
      </c>
      <c r="K489" t="s">
        <v>73</v>
      </c>
      <c r="L489" t="s">
        <v>1615</v>
      </c>
      <c r="M489" t="s">
        <v>75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117</v>
      </c>
      <c r="U489" t="s">
        <v>118</v>
      </c>
    </row>
    <row r="490" spans="1:21" x14ac:dyDescent="0.3">
      <c r="A490" t="s">
        <v>1616</v>
      </c>
      <c r="B490" s="3">
        <v>45579</v>
      </c>
      <c r="C490" s="3">
        <v>45585</v>
      </c>
      <c r="D490" t="s">
        <v>1617</v>
      </c>
      <c r="E490" t="s">
        <v>104</v>
      </c>
      <c r="F490" t="s">
        <v>55</v>
      </c>
      <c r="G490" t="s">
        <v>1618</v>
      </c>
      <c r="H490" t="s">
        <v>44</v>
      </c>
      <c r="I490" t="s">
        <v>45</v>
      </c>
      <c r="J490" t="s">
        <v>58</v>
      </c>
      <c r="K490" t="s">
        <v>59</v>
      </c>
      <c r="L490" t="s">
        <v>1619</v>
      </c>
      <c r="M490" t="s">
        <v>61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50</v>
      </c>
      <c r="U490" t="s">
        <v>51</v>
      </c>
    </row>
    <row r="491" spans="1:21" x14ac:dyDescent="0.3">
      <c r="A491" t="s">
        <v>1620</v>
      </c>
      <c r="B491" s="3">
        <v>45329</v>
      </c>
      <c r="C491" s="3">
        <v>45334</v>
      </c>
      <c r="D491" t="s">
        <v>1621</v>
      </c>
      <c r="E491" t="s">
        <v>70</v>
      </c>
      <c r="F491" t="s">
        <v>110</v>
      </c>
      <c r="G491" t="s">
        <v>4</v>
      </c>
      <c r="H491" t="s">
        <v>114</v>
      </c>
      <c r="I491" t="s">
        <v>115</v>
      </c>
      <c r="J491" t="s">
        <v>89</v>
      </c>
      <c r="K491" t="s">
        <v>90</v>
      </c>
      <c r="L491" t="s">
        <v>1622</v>
      </c>
      <c r="M491" t="s">
        <v>49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50</v>
      </c>
      <c r="U491" t="s">
        <v>51</v>
      </c>
    </row>
    <row r="492" spans="1:21" x14ac:dyDescent="0.3">
      <c r="A492" t="s">
        <v>1623</v>
      </c>
      <c r="B492" s="3">
        <v>45551</v>
      </c>
      <c r="C492" s="3"/>
      <c r="D492" t="s">
        <v>1624</v>
      </c>
      <c r="E492" t="s">
        <v>104</v>
      </c>
      <c r="F492" t="s">
        <v>42</v>
      </c>
      <c r="G492" t="s">
        <v>6</v>
      </c>
      <c r="H492" t="s">
        <v>44</v>
      </c>
      <c r="I492" t="s">
        <v>125</v>
      </c>
      <c r="J492" t="s">
        <v>46</v>
      </c>
      <c r="K492" t="s">
        <v>169</v>
      </c>
      <c r="L492" t="s">
        <v>1625</v>
      </c>
      <c r="M492" t="s">
        <v>67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50</v>
      </c>
      <c r="U492" t="s">
        <v>51</v>
      </c>
    </row>
    <row r="493" spans="1:21" x14ac:dyDescent="0.3">
      <c r="A493" t="s">
        <v>1626</v>
      </c>
      <c r="B493" s="3">
        <v>45776</v>
      </c>
      <c r="C493" s="3">
        <v>45777</v>
      </c>
      <c r="D493" t="s">
        <v>1627</v>
      </c>
      <c r="E493" t="s">
        <v>54</v>
      </c>
      <c r="F493" t="s">
        <v>105</v>
      </c>
      <c r="G493" t="s">
        <v>5</v>
      </c>
      <c r="H493" t="s">
        <v>202</v>
      </c>
      <c r="I493" t="s">
        <v>203</v>
      </c>
      <c r="J493" t="s">
        <v>89</v>
      </c>
      <c r="K493" t="s">
        <v>90</v>
      </c>
      <c r="L493" t="s">
        <v>1628</v>
      </c>
      <c r="M493" t="s">
        <v>75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50</v>
      </c>
      <c r="U493" t="s">
        <v>51</v>
      </c>
    </row>
    <row r="494" spans="1:21" x14ac:dyDescent="0.3">
      <c r="A494" t="s">
        <v>1629</v>
      </c>
      <c r="B494" s="3">
        <v>45836</v>
      </c>
      <c r="C494" s="3">
        <v>45695</v>
      </c>
      <c r="D494" t="s">
        <v>1630</v>
      </c>
      <c r="E494" t="s">
        <v>78</v>
      </c>
      <c r="F494" t="s">
        <v>105</v>
      </c>
      <c r="G494" t="s">
        <v>5</v>
      </c>
      <c r="H494" t="s">
        <v>99</v>
      </c>
      <c r="I494" t="s">
        <v>100</v>
      </c>
      <c r="J494" t="s">
        <v>46</v>
      </c>
      <c r="K494" t="s">
        <v>140</v>
      </c>
      <c r="L494" t="s">
        <v>1631</v>
      </c>
      <c r="M494" t="s">
        <v>49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50</v>
      </c>
      <c r="U494" t="s">
        <v>51</v>
      </c>
    </row>
    <row r="495" spans="1:21" x14ac:dyDescent="0.3">
      <c r="A495" t="s">
        <v>1632</v>
      </c>
      <c r="B495" s="3">
        <v>45701</v>
      </c>
      <c r="C495" s="3">
        <v>45701</v>
      </c>
      <c r="D495" t="s">
        <v>1633</v>
      </c>
      <c r="E495" t="s">
        <v>284</v>
      </c>
      <c r="F495" t="s">
        <v>105</v>
      </c>
      <c r="G495" t="s">
        <v>4</v>
      </c>
      <c r="H495" t="s">
        <v>56</v>
      </c>
      <c r="I495" t="s">
        <v>57</v>
      </c>
      <c r="J495" t="s">
        <v>46</v>
      </c>
      <c r="K495" t="s">
        <v>47</v>
      </c>
      <c r="L495" t="s">
        <v>1634</v>
      </c>
      <c r="M495" t="s">
        <v>49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50</v>
      </c>
      <c r="U495" t="s">
        <v>1635</v>
      </c>
    </row>
    <row r="496" spans="1:21" x14ac:dyDescent="0.3">
      <c r="A496" t="s">
        <v>1636</v>
      </c>
      <c r="B496" s="3">
        <v>45610</v>
      </c>
      <c r="C496" s="3">
        <v>45618</v>
      </c>
      <c r="D496" t="s">
        <v>1637</v>
      </c>
      <c r="E496" t="s">
        <v>64</v>
      </c>
      <c r="F496" t="s">
        <v>42</v>
      </c>
      <c r="G496" t="s">
        <v>6</v>
      </c>
      <c r="H496" t="s">
        <v>87</v>
      </c>
      <c r="I496" t="s">
        <v>88</v>
      </c>
      <c r="J496" t="s">
        <v>89</v>
      </c>
      <c r="K496" t="s">
        <v>187</v>
      </c>
      <c r="L496" t="s">
        <v>1638</v>
      </c>
      <c r="M496" t="s">
        <v>75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171</v>
      </c>
      <c r="U496" t="s">
        <v>83</v>
      </c>
    </row>
    <row r="497" spans="1:21" x14ac:dyDescent="0.3">
      <c r="A497" t="s">
        <v>1639</v>
      </c>
      <c r="B497" s="3">
        <v>45540</v>
      </c>
      <c r="C497" s="3"/>
      <c r="D497" t="s">
        <v>1640</v>
      </c>
      <c r="E497" t="s">
        <v>54</v>
      </c>
      <c r="F497" t="s">
        <v>55</v>
      </c>
      <c r="G497" t="s">
        <v>4</v>
      </c>
      <c r="H497" t="s">
        <v>182</v>
      </c>
      <c r="I497" t="s">
        <v>183</v>
      </c>
      <c r="J497" t="s">
        <v>89</v>
      </c>
      <c r="K497" t="s">
        <v>187</v>
      </c>
      <c r="L497" t="s">
        <v>1641</v>
      </c>
      <c r="M497" t="s">
        <v>49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117</v>
      </c>
      <c r="U497" t="s">
        <v>118</v>
      </c>
    </row>
    <row r="498" spans="1:21" x14ac:dyDescent="0.3">
      <c r="A498" t="s">
        <v>1642</v>
      </c>
      <c r="B498" s="3">
        <v>45842</v>
      </c>
      <c r="C498" s="3">
        <v>45844</v>
      </c>
      <c r="D498" t="s">
        <v>1643</v>
      </c>
      <c r="E498" t="s">
        <v>284</v>
      </c>
      <c r="F498" t="s">
        <v>55</v>
      </c>
      <c r="G498" t="s">
        <v>4</v>
      </c>
      <c r="H498" t="s">
        <v>246</v>
      </c>
      <c r="I498" t="s">
        <v>247</v>
      </c>
      <c r="J498" t="s">
        <v>58</v>
      </c>
      <c r="K498" t="s">
        <v>81</v>
      </c>
      <c r="L498" t="s">
        <v>1644</v>
      </c>
      <c r="M498" t="s">
        <v>49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50</v>
      </c>
      <c r="U498" t="s">
        <v>51</v>
      </c>
    </row>
    <row r="499" spans="1:21" x14ac:dyDescent="0.3">
      <c r="A499" t="s">
        <v>1645</v>
      </c>
      <c r="B499" s="3">
        <v>45533</v>
      </c>
      <c r="C499" s="3">
        <v>45533</v>
      </c>
      <c r="D499" t="s">
        <v>1646</v>
      </c>
      <c r="E499" t="s">
        <v>148</v>
      </c>
      <c r="F499" t="s">
        <v>55</v>
      </c>
      <c r="G499" t="s">
        <v>7</v>
      </c>
      <c r="H499" t="s">
        <v>152</v>
      </c>
      <c r="I499" t="s">
        <v>153</v>
      </c>
      <c r="J499" t="s">
        <v>89</v>
      </c>
      <c r="K499" t="s">
        <v>90</v>
      </c>
      <c r="L499" t="s">
        <v>1647</v>
      </c>
      <c r="M499" t="s">
        <v>49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50</v>
      </c>
      <c r="U499" t="s">
        <v>83</v>
      </c>
    </row>
    <row r="500" spans="1:21" x14ac:dyDescent="0.3">
      <c r="A500" t="s">
        <v>1648</v>
      </c>
      <c r="B500" s="3">
        <v>45907</v>
      </c>
      <c r="C500" s="3">
        <v>45910</v>
      </c>
      <c r="D500" t="s">
        <v>1649</v>
      </c>
      <c r="E500" t="s">
        <v>41</v>
      </c>
      <c r="F500" t="s">
        <v>42</v>
      </c>
      <c r="G500" t="s">
        <v>3</v>
      </c>
      <c r="H500" t="s">
        <v>138</v>
      </c>
      <c r="I500" t="s">
        <v>139</v>
      </c>
      <c r="J500" t="s">
        <v>58</v>
      </c>
      <c r="K500" t="s">
        <v>81</v>
      </c>
      <c r="L500" t="s">
        <v>1650</v>
      </c>
      <c r="M500" t="s">
        <v>61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117</v>
      </c>
      <c r="U500" t="s">
        <v>1651</v>
      </c>
    </row>
    <row r="501" spans="1:21" x14ac:dyDescent="0.3">
      <c r="A501" t="s">
        <v>1652</v>
      </c>
      <c r="B501" s="3">
        <v>45648</v>
      </c>
      <c r="C501" s="3">
        <v>45652</v>
      </c>
      <c r="D501" t="s">
        <v>1653</v>
      </c>
      <c r="E501" t="s">
        <v>134</v>
      </c>
      <c r="F501" t="s">
        <v>110</v>
      </c>
      <c r="G501" t="s">
        <v>3</v>
      </c>
      <c r="H501" t="s">
        <v>152</v>
      </c>
      <c r="I501" t="s">
        <v>153</v>
      </c>
      <c r="J501" t="s">
        <v>58</v>
      </c>
      <c r="K501" t="s">
        <v>81</v>
      </c>
      <c r="L501" t="s">
        <v>1654</v>
      </c>
      <c r="M501" t="s">
        <v>75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50</v>
      </c>
      <c r="U501" t="s">
        <v>83</v>
      </c>
    </row>
    <row r="502" spans="1:21" x14ac:dyDescent="0.3">
      <c r="A502" t="s">
        <v>1655</v>
      </c>
      <c r="B502" s="3"/>
      <c r="C502" s="3"/>
      <c r="D502" t="s">
        <v>1656</v>
      </c>
      <c r="E502" t="s">
        <v>148</v>
      </c>
      <c r="F502" t="s">
        <v>42</v>
      </c>
      <c r="G502" t="s">
        <v>5</v>
      </c>
      <c r="H502" t="s">
        <v>202</v>
      </c>
      <c r="I502" t="s">
        <v>203</v>
      </c>
      <c r="J502" t="s">
        <v>89</v>
      </c>
      <c r="K502" t="s">
        <v>187</v>
      </c>
      <c r="L502" t="s">
        <v>1657</v>
      </c>
      <c r="M502" t="s">
        <v>61</v>
      </c>
      <c r="N502">
        <v>9</v>
      </c>
      <c r="O502">
        <v>3795.99</v>
      </c>
      <c r="P502">
        <v>0.85</v>
      </c>
      <c r="Q502">
        <v>34163.910000000003</v>
      </c>
      <c r="R502">
        <v>28577.15</v>
      </c>
      <c r="S502">
        <v>5586.76</v>
      </c>
      <c r="T502" t="s">
        <v>50</v>
      </c>
      <c r="U502" t="s">
        <v>51</v>
      </c>
    </row>
    <row r="503" spans="1:21" x14ac:dyDescent="0.3">
      <c r="A503" t="s">
        <v>1658</v>
      </c>
      <c r="B503" s="3">
        <v>45515</v>
      </c>
      <c r="C503" s="3"/>
      <c r="D503" t="s">
        <v>846</v>
      </c>
      <c r="E503" t="s">
        <v>94</v>
      </c>
      <c r="F503" t="s">
        <v>42</v>
      </c>
      <c r="G503" t="s">
        <v>4</v>
      </c>
      <c r="H503" t="s">
        <v>246</v>
      </c>
      <c r="I503" t="s">
        <v>247</v>
      </c>
      <c r="J503" t="s">
        <v>46</v>
      </c>
      <c r="K503" t="s">
        <v>65</v>
      </c>
      <c r="L503" t="s">
        <v>1659</v>
      </c>
      <c r="M503" t="s">
        <v>49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50</v>
      </c>
      <c r="U503" t="s">
        <v>51</v>
      </c>
    </row>
    <row r="504" spans="1:21" x14ac:dyDescent="0.3">
      <c r="A504" t="s">
        <v>1660</v>
      </c>
      <c r="B504" s="3">
        <v>45295</v>
      </c>
      <c r="C504" s="3">
        <v>45391</v>
      </c>
      <c r="D504" t="s">
        <v>1661</v>
      </c>
      <c r="E504" t="s">
        <v>130</v>
      </c>
      <c r="F504" t="s">
        <v>55</v>
      </c>
      <c r="G504" t="s">
        <v>1662</v>
      </c>
      <c r="H504" t="s">
        <v>56</v>
      </c>
      <c r="I504" t="s">
        <v>57</v>
      </c>
      <c r="J504" t="s">
        <v>89</v>
      </c>
      <c r="K504" t="s">
        <v>95</v>
      </c>
      <c r="L504" t="s">
        <v>1663</v>
      </c>
      <c r="M504" t="s">
        <v>49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50</v>
      </c>
      <c r="U504" t="s">
        <v>51</v>
      </c>
    </row>
    <row r="505" spans="1:21" x14ac:dyDescent="0.3">
      <c r="A505" t="s">
        <v>1664</v>
      </c>
      <c r="B505" s="3">
        <v>45563</v>
      </c>
      <c r="C505" s="3">
        <v>45570</v>
      </c>
      <c r="D505" t="s">
        <v>1665</v>
      </c>
      <c r="E505" t="s">
        <v>144</v>
      </c>
      <c r="F505" t="s">
        <v>42</v>
      </c>
      <c r="G505" t="s">
        <v>5</v>
      </c>
      <c r="H505" t="s">
        <v>265</v>
      </c>
      <c r="I505" t="s">
        <v>266</v>
      </c>
      <c r="J505" t="s">
        <v>89</v>
      </c>
      <c r="K505" t="s">
        <v>187</v>
      </c>
      <c r="L505" t="s">
        <v>1666</v>
      </c>
      <c r="M505" t="s">
        <v>75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50</v>
      </c>
      <c r="U505" t="s">
        <v>51</v>
      </c>
    </row>
    <row r="506" spans="1:21" x14ac:dyDescent="0.3">
      <c r="A506" t="s">
        <v>1667</v>
      </c>
      <c r="B506" s="3">
        <v>45700</v>
      </c>
      <c r="C506" s="3">
        <v>45705</v>
      </c>
      <c r="D506" t="s">
        <v>1668</v>
      </c>
      <c r="E506" t="s">
        <v>70</v>
      </c>
      <c r="F506" t="s">
        <v>105</v>
      </c>
      <c r="G506" t="s">
        <v>6</v>
      </c>
      <c r="H506" t="s">
        <v>197</v>
      </c>
      <c r="I506" t="s">
        <v>198</v>
      </c>
      <c r="J506" t="s">
        <v>46</v>
      </c>
      <c r="K506" t="s">
        <v>65</v>
      </c>
      <c r="L506" t="s">
        <v>1669</v>
      </c>
      <c r="M506" t="s">
        <v>75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50</v>
      </c>
      <c r="U506" t="s">
        <v>51</v>
      </c>
    </row>
    <row r="507" spans="1:21" x14ac:dyDescent="0.3">
      <c r="A507" t="s">
        <v>1670</v>
      </c>
      <c r="B507" s="3">
        <v>45605</v>
      </c>
      <c r="C507" s="3">
        <v>45610</v>
      </c>
      <c r="D507" t="s">
        <v>1671</v>
      </c>
      <c r="E507" t="s">
        <v>94</v>
      </c>
      <c r="F507" t="s">
        <v>105</v>
      </c>
      <c r="G507" t="s">
        <v>6</v>
      </c>
      <c r="H507" t="s">
        <v>87</v>
      </c>
      <c r="I507" t="s">
        <v>88</v>
      </c>
      <c r="J507" t="s">
        <v>46</v>
      </c>
      <c r="K507" t="s">
        <v>65</v>
      </c>
      <c r="L507" t="s">
        <v>1672</v>
      </c>
      <c r="M507" t="s">
        <v>67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50</v>
      </c>
      <c r="U507" t="s">
        <v>83</v>
      </c>
    </row>
    <row r="508" spans="1:21" x14ac:dyDescent="0.3">
      <c r="A508" t="s">
        <v>1673</v>
      </c>
      <c r="B508" s="3">
        <v>45641</v>
      </c>
      <c r="C508" s="3">
        <v>45641</v>
      </c>
      <c r="D508" t="s">
        <v>1674</v>
      </c>
      <c r="E508" t="s">
        <v>144</v>
      </c>
      <c r="F508" t="s">
        <v>55</v>
      </c>
      <c r="G508" t="s">
        <v>3</v>
      </c>
      <c r="H508" t="s">
        <v>138</v>
      </c>
      <c r="I508" t="s">
        <v>139</v>
      </c>
      <c r="J508" t="s">
        <v>58</v>
      </c>
      <c r="K508" t="s">
        <v>73</v>
      </c>
      <c r="L508" t="s">
        <v>1675</v>
      </c>
      <c r="M508" t="s">
        <v>67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117</v>
      </c>
      <c r="U508" t="s">
        <v>118</v>
      </c>
    </row>
    <row r="509" spans="1:21" x14ac:dyDescent="0.3">
      <c r="A509" t="s">
        <v>1676</v>
      </c>
      <c r="B509" s="3">
        <v>45762</v>
      </c>
      <c r="C509" s="3">
        <v>45769</v>
      </c>
      <c r="D509" t="s">
        <v>1677</v>
      </c>
      <c r="E509" t="s">
        <v>64</v>
      </c>
      <c r="F509" t="s">
        <v>55</v>
      </c>
      <c r="G509" t="s">
        <v>3</v>
      </c>
      <c r="H509" t="s">
        <v>254</v>
      </c>
      <c r="I509" t="s">
        <v>255</v>
      </c>
      <c r="J509" t="s">
        <v>46</v>
      </c>
      <c r="K509" t="s">
        <v>169</v>
      </c>
      <c r="L509" t="s">
        <v>1678</v>
      </c>
      <c r="M509" t="s">
        <v>61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50</v>
      </c>
      <c r="U509" t="s">
        <v>51</v>
      </c>
    </row>
    <row r="510" spans="1:21" x14ac:dyDescent="0.3">
      <c r="A510" t="s">
        <v>1679</v>
      </c>
      <c r="B510" s="3">
        <v>45382</v>
      </c>
      <c r="C510" s="3">
        <v>45389</v>
      </c>
      <c r="D510" t="s">
        <v>1680</v>
      </c>
      <c r="E510" t="s">
        <v>64</v>
      </c>
      <c r="F510" t="s">
        <v>55</v>
      </c>
      <c r="G510" t="s">
        <v>3</v>
      </c>
      <c r="H510" t="s">
        <v>254</v>
      </c>
      <c r="I510" t="s">
        <v>255</v>
      </c>
      <c r="J510" t="s">
        <v>89</v>
      </c>
      <c r="K510" t="s">
        <v>294</v>
      </c>
      <c r="L510" t="s">
        <v>1681</v>
      </c>
      <c r="M510" t="s">
        <v>49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50</v>
      </c>
      <c r="U510" t="s">
        <v>51</v>
      </c>
    </row>
    <row r="511" spans="1:21" x14ac:dyDescent="0.3">
      <c r="A511" t="s">
        <v>1682</v>
      </c>
      <c r="B511" s="3">
        <v>45789</v>
      </c>
      <c r="C511" s="3"/>
      <c r="D511" t="s">
        <v>1683</v>
      </c>
      <c r="E511" t="s">
        <v>94</v>
      </c>
      <c r="F511" t="s">
        <v>42</v>
      </c>
      <c r="G511" t="s">
        <v>6</v>
      </c>
      <c r="H511" t="s">
        <v>197</v>
      </c>
      <c r="I511" t="s">
        <v>198</v>
      </c>
      <c r="J511" t="s">
        <v>89</v>
      </c>
      <c r="K511" t="s">
        <v>294</v>
      </c>
      <c r="L511" t="s">
        <v>1684</v>
      </c>
      <c r="M511" t="s">
        <v>61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50</v>
      </c>
      <c r="U511" t="s">
        <v>51</v>
      </c>
    </row>
    <row r="512" spans="1:21" x14ac:dyDescent="0.3">
      <c r="A512" t="s">
        <v>1685</v>
      </c>
      <c r="B512" s="3"/>
      <c r="C512" s="3">
        <v>45586</v>
      </c>
      <c r="D512" t="s">
        <v>1686</v>
      </c>
      <c r="E512" t="s">
        <v>1687</v>
      </c>
      <c r="F512" t="s">
        <v>42</v>
      </c>
      <c r="G512" t="s">
        <v>5</v>
      </c>
      <c r="H512" t="s">
        <v>192</v>
      </c>
      <c r="I512" t="s">
        <v>193</v>
      </c>
      <c r="J512" t="s">
        <v>46</v>
      </c>
      <c r="K512" t="s">
        <v>140</v>
      </c>
      <c r="L512" t="s">
        <v>1688</v>
      </c>
      <c r="M512" t="s">
        <v>49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50</v>
      </c>
      <c r="U512" t="s">
        <v>51</v>
      </c>
    </row>
    <row r="513" spans="1:21" x14ac:dyDescent="0.3">
      <c r="A513" t="s">
        <v>1689</v>
      </c>
      <c r="B513" s="3"/>
      <c r="C513" s="3">
        <v>45591</v>
      </c>
      <c r="D513" t="s">
        <v>1690</v>
      </c>
      <c r="E513" t="s">
        <v>148</v>
      </c>
      <c r="F513" t="s">
        <v>42</v>
      </c>
      <c r="G513" t="s">
        <v>6</v>
      </c>
      <c r="H513" t="s">
        <v>87</v>
      </c>
      <c r="I513" t="s">
        <v>88</v>
      </c>
      <c r="J513" t="s">
        <v>58</v>
      </c>
      <c r="K513" t="s">
        <v>174</v>
      </c>
      <c r="L513" t="s">
        <v>1691</v>
      </c>
      <c r="M513" t="s">
        <v>75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50</v>
      </c>
      <c r="U513" t="s">
        <v>51</v>
      </c>
    </row>
    <row r="514" spans="1:21" x14ac:dyDescent="0.3">
      <c r="A514" t="s">
        <v>1692</v>
      </c>
      <c r="B514" s="3">
        <v>45691</v>
      </c>
      <c r="C514" s="3">
        <v>45719</v>
      </c>
      <c r="D514" t="s">
        <v>1292</v>
      </c>
      <c r="E514" t="s">
        <v>64</v>
      </c>
      <c r="F514" t="s">
        <v>105</v>
      </c>
      <c r="G514" t="s">
        <v>5</v>
      </c>
      <c r="H514" t="s">
        <v>202</v>
      </c>
      <c r="I514" t="s">
        <v>203</v>
      </c>
      <c r="J514" t="s">
        <v>46</v>
      </c>
      <c r="K514" t="s">
        <v>106</v>
      </c>
      <c r="L514" t="s">
        <v>1693</v>
      </c>
      <c r="M514" t="s">
        <v>49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50</v>
      </c>
      <c r="U514" t="s">
        <v>51</v>
      </c>
    </row>
    <row r="515" spans="1:21" x14ac:dyDescent="0.3">
      <c r="A515" t="s">
        <v>1694</v>
      </c>
      <c r="B515" s="3">
        <v>45835</v>
      </c>
      <c r="C515" s="3">
        <v>45695</v>
      </c>
      <c r="D515" t="s">
        <v>1695</v>
      </c>
      <c r="E515" t="s">
        <v>144</v>
      </c>
      <c r="F515" t="s">
        <v>105</v>
      </c>
      <c r="G515" t="s">
        <v>5</v>
      </c>
      <c r="H515" t="s">
        <v>202</v>
      </c>
      <c r="I515" t="s">
        <v>203</v>
      </c>
      <c r="J515" t="s">
        <v>89</v>
      </c>
      <c r="K515" t="s">
        <v>1696</v>
      </c>
      <c r="L515" t="s">
        <v>1697</v>
      </c>
      <c r="M515" t="s">
        <v>67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50</v>
      </c>
      <c r="U515" t="s">
        <v>51</v>
      </c>
    </row>
    <row r="516" spans="1:21" x14ac:dyDescent="0.3">
      <c r="A516" t="s">
        <v>1698</v>
      </c>
      <c r="B516" s="3">
        <v>45614</v>
      </c>
      <c r="C516" s="3">
        <v>45618</v>
      </c>
      <c r="D516" t="s">
        <v>1699</v>
      </c>
      <c r="E516" t="s">
        <v>41</v>
      </c>
      <c r="F516" t="s">
        <v>110</v>
      </c>
      <c r="G516" t="s">
        <v>5</v>
      </c>
      <c r="H516" t="s">
        <v>202</v>
      </c>
      <c r="I516" t="s">
        <v>203</v>
      </c>
      <c r="J516" t="s">
        <v>89</v>
      </c>
      <c r="K516" t="s">
        <v>90</v>
      </c>
      <c r="L516" t="s">
        <v>1700</v>
      </c>
      <c r="M516" t="s">
        <v>75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50</v>
      </c>
      <c r="U516" t="s">
        <v>51</v>
      </c>
    </row>
    <row r="517" spans="1:21" x14ac:dyDescent="0.3">
      <c r="A517" t="s">
        <v>1701</v>
      </c>
      <c r="B517" s="3">
        <v>45965</v>
      </c>
      <c r="C517" s="3">
        <v>45758</v>
      </c>
      <c r="D517" t="s">
        <v>1702</v>
      </c>
      <c r="E517" t="s">
        <v>134</v>
      </c>
      <c r="F517" t="s">
        <v>105</v>
      </c>
      <c r="G517" t="s">
        <v>3</v>
      </c>
      <c r="H517" t="s">
        <v>372</v>
      </c>
      <c r="I517" t="s">
        <v>373</v>
      </c>
      <c r="J517" t="s">
        <v>46</v>
      </c>
      <c r="K517" t="s">
        <v>47</v>
      </c>
      <c r="L517" t="s">
        <v>1703</v>
      </c>
      <c r="M517" t="s">
        <v>75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50</v>
      </c>
      <c r="U517" t="s">
        <v>51</v>
      </c>
    </row>
    <row r="518" spans="1:21" x14ac:dyDescent="0.3">
      <c r="A518" t="s">
        <v>1704</v>
      </c>
      <c r="B518" s="3"/>
      <c r="C518" s="3">
        <v>45569</v>
      </c>
      <c r="D518" t="s">
        <v>1705</v>
      </c>
      <c r="E518" t="s">
        <v>284</v>
      </c>
      <c r="F518" t="s">
        <v>110</v>
      </c>
      <c r="G518" t="s">
        <v>3</v>
      </c>
      <c r="H518" t="s">
        <v>372</v>
      </c>
      <c r="I518" t="s">
        <v>373</v>
      </c>
      <c r="J518" t="s">
        <v>89</v>
      </c>
      <c r="K518" t="s">
        <v>95</v>
      </c>
      <c r="L518" t="s">
        <v>1706</v>
      </c>
      <c r="M518" t="s">
        <v>75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171</v>
      </c>
      <c r="U518" t="s">
        <v>118</v>
      </c>
    </row>
    <row r="519" spans="1:21" x14ac:dyDescent="0.3">
      <c r="A519" t="s">
        <v>1707</v>
      </c>
      <c r="B519" s="3">
        <v>45802</v>
      </c>
      <c r="C519" s="3">
        <v>45804</v>
      </c>
      <c r="D519" t="s">
        <v>1708</v>
      </c>
      <c r="E519" t="s">
        <v>134</v>
      </c>
      <c r="F519" t="s">
        <v>42</v>
      </c>
      <c r="G519" t="s">
        <v>4</v>
      </c>
      <c r="H519" t="s">
        <v>56</v>
      </c>
      <c r="I519" t="s">
        <v>57</v>
      </c>
      <c r="J519" t="s">
        <v>58</v>
      </c>
      <c r="K519" t="s">
        <v>73</v>
      </c>
      <c r="L519" t="s">
        <v>1709</v>
      </c>
      <c r="M519" t="s">
        <v>49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117</v>
      </c>
      <c r="U519" t="s">
        <v>118</v>
      </c>
    </row>
    <row r="520" spans="1:21" x14ac:dyDescent="0.3">
      <c r="A520" t="s">
        <v>1710</v>
      </c>
      <c r="B520" s="3">
        <v>45777</v>
      </c>
      <c r="C520" s="3">
        <v>45773</v>
      </c>
      <c r="D520" t="s">
        <v>1711</v>
      </c>
      <c r="E520" t="s">
        <v>178</v>
      </c>
      <c r="F520" t="s">
        <v>105</v>
      </c>
      <c r="G520" t="s">
        <v>4</v>
      </c>
      <c r="H520" t="s">
        <v>56</v>
      </c>
      <c r="I520" t="s">
        <v>57</v>
      </c>
      <c r="J520" t="s">
        <v>58</v>
      </c>
      <c r="K520" t="s">
        <v>59</v>
      </c>
      <c r="L520" t="s">
        <v>1712</v>
      </c>
      <c r="M520" t="s">
        <v>67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50</v>
      </c>
      <c r="U520" t="s">
        <v>83</v>
      </c>
    </row>
    <row r="521" spans="1:21" x14ac:dyDescent="0.3">
      <c r="A521" t="s">
        <v>1713</v>
      </c>
      <c r="B521" s="3">
        <v>45841</v>
      </c>
      <c r="C521" s="3">
        <v>45845</v>
      </c>
      <c r="D521" t="s">
        <v>1714</v>
      </c>
      <c r="E521" t="s">
        <v>130</v>
      </c>
      <c r="F521" t="s">
        <v>42</v>
      </c>
      <c r="G521" t="s">
        <v>3</v>
      </c>
      <c r="H521" t="s">
        <v>152</v>
      </c>
      <c r="I521" t="s">
        <v>153</v>
      </c>
      <c r="J521" t="s">
        <v>58</v>
      </c>
      <c r="K521" t="s">
        <v>59</v>
      </c>
      <c r="L521" t="s">
        <v>1715</v>
      </c>
      <c r="M521" t="s">
        <v>75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127</v>
      </c>
      <c r="U521" t="s">
        <v>83</v>
      </c>
    </row>
    <row r="522" spans="1:21" x14ac:dyDescent="0.3">
      <c r="A522" t="s">
        <v>1716</v>
      </c>
      <c r="B522" s="3">
        <v>45489</v>
      </c>
      <c r="C522" s="3">
        <v>45496</v>
      </c>
      <c r="D522" t="s">
        <v>1717</v>
      </c>
      <c r="E522" t="s">
        <v>144</v>
      </c>
      <c r="F522" t="s">
        <v>110</v>
      </c>
      <c r="G522" t="s">
        <v>5</v>
      </c>
      <c r="H522" t="s">
        <v>192</v>
      </c>
      <c r="I522" t="s">
        <v>193</v>
      </c>
      <c r="J522" t="s">
        <v>89</v>
      </c>
      <c r="K522" t="s">
        <v>294</v>
      </c>
      <c r="L522" t="s">
        <v>1718</v>
      </c>
      <c r="M522" t="s">
        <v>61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50</v>
      </c>
      <c r="U522" t="s">
        <v>51</v>
      </c>
    </row>
    <row r="523" spans="1:21" x14ac:dyDescent="0.3">
      <c r="A523" t="s">
        <v>1719</v>
      </c>
      <c r="B523" s="3">
        <v>45741</v>
      </c>
      <c r="C523" s="3">
        <v>45748</v>
      </c>
      <c r="D523" t="s">
        <v>1720</v>
      </c>
      <c r="E523" t="s">
        <v>178</v>
      </c>
      <c r="F523" t="s">
        <v>42</v>
      </c>
      <c r="G523" t="s">
        <v>3</v>
      </c>
      <c r="H523" t="s">
        <v>138</v>
      </c>
      <c r="I523" t="s">
        <v>139</v>
      </c>
      <c r="J523" t="s">
        <v>46</v>
      </c>
      <c r="K523" t="s">
        <v>106</v>
      </c>
      <c r="L523" t="s">
        <v>1721</v>
      </c>
      <c r="M523" t="s">
        <v>49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50</v>
      </c>
      <c r="U523" t="s">
        <v>51</v>
      </c>
    </row>
    <row r="524" spans="1:21" x14ac:dyDescent="0.3">
      <c r="A524" t="s">
        <v>1722</v>
      </c>
      <c r="B524" s="3"/>
      <c r="C524" s="3">
        <v>45724</v>
      </c>
      <c r="D524" t="s">
        <v>1723</v>
      </c>
      <c r="E524" t="s">
        <v>94</v>
      </c>
      <c r="F524" t="s">
        <v>55</v>
      </c>
      <c r="G524" t="s">
        <v>4</v>
      </c>
      <c r="H524" t="s">
        <v>246</v>
      </c>
      <c r="I524" t="s">
        <v>247</v>
      </c>
      <c r="J524" t="s">
        <v>89</v>
      </c>
      <c r="K524" t="s">
        <v>187</v>
      </c>
      <c r="L524" t="s">
        <v>1724</v>
      </c>
      <c r="M524" t="s">
        <v>67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50</v>
      </c>
      <c r="U524" t="s">
        <v>51</v>
      </c>
    </row>
    <row r="525" spans="1:21" x14ac:dyDescent="0.3">
      <c r="A525" t="s">
        <v>1725</v>
      </c>
      <c r="B525" s="3">
        <v>45384</v>
      </c>
      <c r="C525" s="3">
        <v>45385</v>
      </c>
      <c r="D525" t="s">
        <v>1726</v>
      </c>
      <c r="E525" t="s">
        <v>284</v>
      </c>
      <c r="F525" t="s">
        <v>110</v>
      </c>
      <c r="G525" t="s">
        <v>6</v>
      </c>
      <c r="H525" t="s">
        <v>207</v>
      </c>
      <c r="I525" t="s">
        <v>208</v>
      </c>
      <c r="J525" t="s">
        <v>46</v>
      </c>
      <c r="K525" t="s">
        <v>47</v>
      </c>
      <c r="L525" t="s">
        <v>1727</v>
      </c>
      <c r="M525" t="s">
        <v>49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50</v>
      </c>
      <c r="U525" t="s">
        <v>118</v>
      </c>
    </row>
    <row r="526" spans="1:21" x14ac:dyDescent="0.3">
      <c r="A526" t="s">
        <v>1728</v>
      </c>
      <c r="B526" s="3">
        <v>45626</v>
      </c>
      <c r="C526" s="3">
        <v>45627</v>
      </c>
      <c r="D526" t="s">
        <v>1729</v>
      </c>
      <c r="E526" t="s">
        <v>78</v>
      </c>
      <c r="F526" t="s">
        <v>105</v>
      </c>
      <c r="G526" t="s">
        <v>6</v>
      </c>
      <c r="H526" t="s">
        <v>197</v>
      </c>
      <c r="I526" t="s">
        <v>198</v>
      </c>
      <c r="J526" t="s">
        <v>58</v>
      </c>
      <c r="K526" t="s">
        <v>81</v>
      </c>
      <c r="L526" t="s">
        <v>1730</v>
      </c>
      <c r="M526" t="s">
        <v>67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50</v>
      </c>
      <c r="U526" t="s">
        <v>51</v>
      </c>
    </row>
    <row r="527" spans="1:21" x14ac:dyDescent="0.3">
      <c r="A527" t="s">
        <v>1731</v>
      </c>
      <c r="B527" s="3"/>
      <c r="C527" s="3">
        <v>45582</v>
      </c>
      <c r="D527" t="s">
        <v>1732</v>
      </c>
      <c r="E527" t="s">
        <v>130</v>
      </c>
      <c r="F527" t="s">
        <v>110</v>
      </c>
      <c r="G527" t="s">
        <v>4</v>
      </c>
      <c r="H527" t="s">
        <v>114</v>
      </c>
      <c r="I527" t="s">
        <v>115</v>
      </c>
      <c r="J527" t="s">
        <v>58</v>
      </c>
      <c r="K527" t="s">
        <v>81</v>
      </c>
      <c r="L527" t="s">
        <v>1733</v>
      </c>
      <c r="M527" t="s">
        <v>75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50</v>
      </c>
      <c r="U527" t="s">
        <v>51</v>
      </c>
    </row>
    <row r="528" spans="1:21" x14ac:dyDescent="0.3">
      <c r="A528" t="s">
        <v>1734</v>
      </c>
      <c r="B528" s="3">
        <v>45856</v>
      </c>
      <c r="C528" s="3">
        <v>45859</v>
      </c>
      <c r="D528" t="s">
        <v>1735</v>
      </c>
      <c r="E528" t="s">
        <v>130</v>
      </c>
      <c r="F528" t="s">
        <v>42</v>
      </c>
      <c r="G528" t="s">
        <v>4</v>
      </c>
      <c r="H528" t="s">
        <v>56</v>
      </c>
      <c r="I528" t="s">
        <v>57</v>
      </c>
      <c r="J528" t="s">
        <v>58</v>
      </c>
      <c r="K528" t="s">
        <v>59</v>
      </c>
      <c r="L528" t="s">
        <v>1736</v>
      </c>
      <c r="M528" t="s">
        <v>49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50</v>
      </c>
      <c r="U528" t="s">
        <v>51</v>
      </c>
    </row>
    <row r="529" spans="1:21" x14ac:dyDescent="0.3">
      <c r="A529" t="s">
        <v>1737</v>
      </c>
      <c r="B529" s="3">
        <v>45931</v>
      </c>
      <c r="C529" s="3">
        <v>45935</v>
      </c>
      <c r="D529" t="s">
        <v>1738</v>
      </c>
      <c r="E529" t="s">
        <v>104</v>
      </c>
      <c r="F529" t="s">
        <v>110</v>
      </c>
      <c r="G529" t="s">
        <v>3</v>
      </c>
      <c r="H529" t="s">
        <v>254</v>
      </c>
      <c r="I529" t="s">
        <v>255</v>
      </c>
      <c r="J529" t="s">
        <v>46</v>
      </c>
      <c r="K529" t="s">
        <v>47</v>
      </c>
      <c r="L529" t="s">
        <v>1739</v>
      </c>
      <c r="M529" t="s">
        <v>67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50</v>
      </c>
      <c r="U529" t="s">
        <v>51</v>
      </c>
    </row>
    <row r="530" spans="1:21" x14ac:dyDescent="0.3">
      <c r="A530" t="s">
        <v>1740</v>
      </c>
      <c r="B530" s="3">
        <v>45572</v>
      </c>
      <c r="C530" s="3">
        <v>45574</v>
      </c>
      <c r="D530" t="s">
        <v>1741</v>
      </c>
      <c r="E530" t="s">
        <v>178</v>
      </c>
      <c r="F530" t="s">
        <v>42</v>
      </c>
      <c r="G530" t="s">
        <v>5</v>
      </c>
      <c r="H530" t="s">
        <v>265</v>
      </c>
      <c r="I530" t="s">
        <v>266</v>
      </c>
      <c r="J530" t="s">
        <v>46</v>
      </c>
      <c r="K530" t="s">
        <v>169</v>
      </c>
      <c r="L530" t="s">
        <v>1742</v>
      </c>
      <c r="M530" t="s">
        <v>75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127</v>
      </c>
      <c r="U530" t="s">
        <v>118</v>
      </c>
    </row>
    <row r="531" spans="1:21" x14ac:dyDescent="0.3">
      <c r="A531" t="s">
        <v>1743</v>
      </c>
      <c r="B531" s="3">
        <v>45328</v>
      </c>
      <c r="C531" s="3">
        <v>45330</v>
      </c>
      <c r="D531" t="s">
        <v>764</v>
      </c>
      <c r="E531" t="s">
        <v>41</v>
      </c>
      <c r="F531" t="s">
        <v>42</v>
      </c>
      <c r="G531" t="s">
        <v>4</v>
      </c>
      <c r="H531" t="s">
        <v>246</v>
      </c>
      <c r="I531" t="s">
        <v>247</v>
      </c>
      <c r="J531" t="s">
        <v>58</v>
      </c>
      <c r="K531" t="s">
        <v>174</v>
      </c>
      <c r="L531" t="s">
        <v>1744</v>
      </c>
      <c r="M531" t="s">
        <v>49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50</v>
      </c>
      <c r="U531" t="s">
        <v>51</v>
      </c>
    </row>
    <row r="532" spans="1:21" x14ac:dyDescent="0.3">
      <c r="A532" t="s">
        <v>1745</v>
      </c>
      <c r="B532" s="3"/>
      <c r="C532" s="3">
        <v>45809</v>
      </c>
      <c r="D532" t="s">
        <v>1746</v>
      </c>
      <c r="E532" t="s">
        <v>134</v>
      </c>
      <c r="F532" t="s">
        <v>110</v>
      </c>
      <c r="G532" t="s">
        <v>5</v>
      </c>
      <c r="H532" t="s">
        <v>265</v>
      </c>
      <c r="I532" t="s">
        <v>266</v>
      </c>
      <c r="J532" t="s">
        <v>46</v>
      </c>
      <c r="K532" t="s">
        <v>169</v>
      </c>
      <c r="L532" t="s">
        <v>1747</v>
      </c>
      <c r="M532" t="s">
        <v>75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50</v>
      </c>
      <c r="U532" t="s">
        <v>51</v>
      </c>
    </row>
    <row r="533" spans="1:21" x14ac:dyDescent="0.3">
      <c r="A533" t="s">
        <v>1748</v>
      </c>
      <c r="B533" s="3">
        <v>45505</v>
      </c>
      <c r="C533" s="3">
        <v>45512</v>
      </c>
      <c r="D533" t="s">
        <v>1749</v>
      </c>
      <c r="E533" t="s">
        <v>178</v>
      </c>
      <c r="F533" t="s">
        <v>55</v>
      </c>
      <c r="G533" t="s">
        <v>6</v>
      </c>
      <c r="H533" t="s">
        <v>79</v>
      </c>
      <c r="I533" t="s">
        <v>80</v>
      </c>
      <c r="J533" t="s">
        <v>46</v>
      </c>
      <c r="K533" t="s">
        <v>140</v>
      </c>
      <c r="L533" t="s">
        <v>1750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50</v>
      </c>
      <c r="U533" t="s">
        <v>51</v>
      </c>
    </row>
    <row r="534" spans="1:21" x14ac:dyDescent="0.3">
      <c r="A534" t="s">
        <v>1751</v>
      </c>
      <c r="B534" s="3">
        <v>45935</v>
      </c>
      <c r="C534" s="3">
        <v>45940</v>
      </c>
      <c r="D534" t="s">
        <v>1752</v>
      </c>
      <c r="E534" t="s">
        <v>130</v>
      </c>
      <c r="F534" t="s">
        <v>105</v>
      </c>
      <c r="G534" t="s">
        <v>4</v>
      </c>
      <c r="H534" t="s">
        <v>182</v>
      </c>
      <c r="I534" t="s">
        <v>183</v>
      </c>
      <c r="J534" t="s">
        <v>58</v>
      </c>
      <c r="K534" t="s">
        <v>59</v>
      </c>
      <c r="L534" t="s">
        <v>1753</v>
      </c>
      <c r="M534" t="s">
        <v>49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171</v>
      </c>
      <c r="U534" t="s">
        <v>83</v>
      </c>
    </row>
    <row r="535" spans="1:21" x14ac:dyDescent="0.3">
      <c r="A535" t="s">
        <v>1754</v>
      </c>
      <c r="B535" s="3">
        <v>45529</v>
      </c>
      <c r="C535" s="3">
        <v>45536</v>
      </c>
      <c r="D535" t="s">
        <v>1755</v>
      </c>
      <c r="E535" t="s">
        <v>64</v>
      </c>
      <c r="F535" t="s">
        <v>110</v>
      </c>
      <c r="G535" t="s">
        <v>3</v>
      </c>
      <c r="H535" t="s">
        <v>44</v>
      </c>
      <c r="I535" t="s">
        <v>45</v>
      </c>
      <c r="J535" t="s">
        <v>58</v>
      </c>
      <c r="K535" t="s">
        <v>59</v>
      </c>
      <c r="L535" t="s">
        <v>1756</v>
      </c>
      <c r="M535" t="s">
        <v>61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50</v>
      </c>
      <c r="U535" t="s">
        <v>51</v>
      </c>
    </row>
    <row r="536" spans="1:21" x14ac:dyDescent="0.3">
      <c r="A536" t="s">
        <v>1757</v>
      </c>
      <c r="B536" s="3"/>
      <c r="C536" s="3">
        <v>45782</v>
      </c>
      <c r="D536" t="s">
        <v>1758</v>
      </c>
      <c r="E536" t="s">
        <v>157</v>
      </c>
      <c r="F536" t="s">
        <v>110</v>
      </c>
      <c r="G536" t="s">
        <v>4</v>
      </c>
      <c r="H536" t="s">
        <v>161</v>
      </c>
      <c r="I536" t="s">
        <v>162</v>
      </c>
      <c r="J536" t="s">
        <v>89</v>
      </c>
      <c r="K536" t="s">
        <v>90</v>
      </c>
      <c r="L536" t="s">
        <v>1759</v>
      </c>
      <c r="M536" t="s">
        <v>49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127</v>
      </c>
      <c r="U536" t="s">
        <v>118</v>
      </c>
    </row>
    <row r="537" spans="1:21" x14ac:dyDescent="0.3">
      <c r="A537" t="s">
        <v>1760</v>
      </c>
      <c r="B537" s="3">
        <v>45431</v>
      </c>
      <c r="C537" s="3">
        <v>45433</v>
      </c>
      <c r="D537" t="s">
        <v>1761</v>
      </c>
      <c r="E537" t="s">
        <v>178</v>
      </c>
      <c r="F537" t="s">
        <v>55</v>
      </c>
      <c r="G537" t="s">
        <v>6</v>
      </c>
      <c r="H537" t="s">
        <v>79</v>
      </c>
      <c r="I537" t="s">
        <v>80</v>
      </c>
      <c r="J537" t="s">
        <v>89</v>
      </c>
      <c r="K537" t="s">
        <v>95</v>
      </c>
      <c r="L537" t="s">
        <v>1762</v>
      </c>
      <c r="M537" t="s">
        <v>67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50</v>
      </c>
      <c r="U537" t="s">
        <v>51</v>
      </c>
    </row>
    <row r="538" spans="1:21" x14ac:dyDescent="0.3">
      <c r="A538" t="s">
        <v>1763</v>
      </c>
      <c r="B538" s="3">
        <v>45757</v>
      </c>
      <c r="C538" s="3">
        <v>45764</v>
      </c>
      <c r="D538" t="s">
        <v>1764</v>
      </c>
      <c r="E538" t="s">
        <v>78</v>
      </c>
      <c r="F538" t="s">
        <v>55</v>
      </c>
      <c r="G538" t="s">
        <v>6</v>
      </c>
      <c r="H538" t="s">
        <v>44</v>
      </c>
      <c r="I538" t="s">
        <v>125</v>
      </c>
      <c r="J538" t="s">
        <v>58</v>
      </c>
      <c r="K538" t="s">
        <v>81</v>
      </c>
      <c r="L538" t="s">
        <v>1765</v>
      </c>
      <c r="M538" t="s">
        <v>67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171</v>
      </c>
      <c r="U538" t="s">
        <v>83</v>
      </c>
    </row>
    <row r="539" spans="1:21" x14ac:dyDescent="0.3">
      <c r="A539" t="s">
        <v>1766</v>
      </c>
      <c r="B539" s="3">
        <v>45313</v>
      </c>
      <c r="C539" s="3">
        <v>45321</v>
      </c>
      <c r="D539" t="s">
        <v>1767</v>
      </c>
      <c r="E539" t="s">
        <v>78</v>
      </c>
      <c r="F539" t="s">
        <v>55</v>
      </c>
      <c r="G539" t="s">
        <v>3</v>
      </c>
      <c r="H539" t="s">
        <v>254</v>
      </c>
      <c r="I539" t="s">
        <v>255</v>
      </c>
      <c r="J539" t="s">
        <v>46</v>
      </c>
      <c r="K539" t="s">
        <v>65</v>
      </c>
      <c r="L539" t="s">
        <v>1768</v>
      </c>
      <c r="M539" t="s">
        <v>61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171</v>
      </c>
      <c r="U539" t="s">
        <v>83</v>
      </c>
    </row>
    <row r="540" spans="1:21" x14ac:dyDescent="0.3">
      <c r="A540" t="s">
        <v>1769</v>
      </c>
      <c r="B540" s="3">
        <v>45560</v>
      </c>
      <c r="C540" s="3">
        <v>45566</v>
      </c>
      <c r="D540" t="s">
        <v>1770</v>
      </c>
      <c r="E540" t="s">
        <v>178</v>
      </c>
      <c r="F540" t="s">
        <v>55</v>
      </c>
      <c r="G540" t="s">
        <v>4</v>
      </c>
      <c r="H540" t="s">
        <v>246</v>
      </c>
      <c r="I540" t="s">
        <v>247</v>
      </c>
      <c r="J540" t="s">
        <v>58</v>
      </c>
      <c r="K540" t="s">
        <v>59</v>
      </c>
      <c r="L540" t="s">
        <v>1771</v>
      </c>
      <c r="M540" t="s">
        <v>49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50</v>
      </c>
      <c r="U540" t="s">
        <v>51</v>
      </c>
    </row>
    <row r="541" spans="1:21" x14ac:dyDescent="0.3">
      <c r="A541" t="s">
        <v>1772</v>
      </c>
      <c r="B541" s="3">
        <v>45754</v>
      </c>
      <c r="C541" s="3">
        <v>45842</v>
      </c>
      <c r="D541" t="s">
        <v>1773</v>
      </c>
      <c r="E541" t="s">
        <v>1774</v>
      </c>
      <c r="F541" t="s">
        <v>55</v>
      </c>
      <c r="G541" t="s">
        <v>5</v>
      </c>
      <c r="H541" t="s">
        <v>265</v>
      </c>
      <c r="I541" t="s">
        <v>266</v>
      </c>
      <c r="J541" t="s">
        <v>58</v>
      </c>
      <c r="K541" t="s">
        <v>81</v>
      </c>
      <c r="L541" t="s">
        <v>1775</v>
      </c>
      <c r="M541" t="s">
        <v>75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50</v>
      </c>
      <c r="U541" t="s">
        <v>83</v>
      </c>
    </row>
    <row r="542" spans="1:21" x14ac:dyDescent="0.3">
      <c r="A542" t="s">
        <v>1776</v>
      </c>
      <c r="B542" s="3">
        <v>45348</v>
      </c>
      <c r="C542" s="3">
        <v>45345</v>
      </c>
      <c r="D542" t="s">
        <v>1777</v>
      </c>
      <c r="E542" t="s">
        <v>284</v>
      </c>
      <c r="F542" t="s">
        <v>42</v>
      </c>
      <c r="G542" t="s">
        <v>6</v>
      </c>
      <c r="H542" t="s">
        <v>197</v>
      </c>
      <c r="I542" t="s">
        <v>198</v>
      </c>
      <c r="J542" t="s">
        <v>58</v>
      </c>
      <c r="K542" t="s">
        <v>73</v>
      </c>
      <c r="L542" t="s">
        <v>1778</v>
      </c>
      <c r="M542" t="s">
        <v>75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50</v>
      </c>
      <c r="U542" t="s">
        <v>51</v>
      </c>
    </row>
    <row r="543" spans="1:21" x14ac:dyDescent="0.3">
      <c r="A543" t="s">
        <v>1779</v>
      </c>
      <c r="B543" s="3">
        <v>45846</v>
      </c>
      <c r="C543" s="3">
        <v>45847</v>
      </c>
      <c r="D543" t="s">
        <v>1780</v>
      </c>
      <c r="E543" t="s">
        <v>148</v>
      </c>
      <c r="F543" t="s">
        <v>42</v>
      </c>
      <c r="G543" t="s">
        <v>6</v>
      </c>
      <c r="H543" t="s">
        <v>79</v>
      </c>
      <c r="I543" t="s">
        <v>80</v>
      </c>
      <c r="J543" t="s">
        <v>89</v>
      </c>
      <c r="K543" t="s">
        <v>95</v>
      </c>
      <c r="L543" t="s">
        <v>1781</v>
      </c>
      <c r="M543" t="s">
        <v>61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50</v>
      </c>
      <c r="U543" t="s">
        <v>118</v>
      </c>
    </row>
    <row r="544" spans="1:21" x14ac:dyDescent="0.3">
      <c r="A544" t="s">
        <v>1782</v>
      </c>
      <c r="B544" s="3"/>
      <c r="C544" s="3">
        <v>45558</v>
      </c>
      <c r="D544" t="s">
        <v>1783</v>
      </c>
      <c r="E544" t="s">
        <v>134</v>
      </c>
      <c r="F544" t="s">
        <v>110</v>
      </c>
      <c r="G544" t="s">
        <v>5</v>
      </c>
      <c r="H544" t="s">
        <v>202</v>
      </c>
      <c r="I544" t="s">
        <v>203</v>
      </c>
      <c r="J544" t="s">
        <v>58</v>
      </c>
      <c r="K544" t="s">
        <v>174</v>
      </c>
      <c r="L544" t="s">
        <v>1784</v>
      </c>
      <c r="M544" t="s">
        <v>49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50</v>
      </c>
      <c r="U544" t="s">
        <v>1785</v>
      </c>
    </row>
    <row r="545" spans="1:21" x14ac:dyDescent="0.3">
      <c r="A545" t="s">
        <v>1786</v>
      </c>
      <c r="B545" s="3">
        <v>45487</v>
      </c>
      <c r="C545" s="3">
        <v>45493</v>
      </c>
      <c r="D545" t="s">
        <v>1787</v>
      </c>
      <c r="E545" t="s">
        <v>54</v>
      </c>
      <c r="F545" t="s">
        <v>42</v>
      </c>
      <c r="G545" t="s">
        <v>4</v>
      </c>
      <c r="H545" t="s">
        <v>161</v>
      </c>
      <c r="I545" t="s">
        <v>162</v>
      </c>
      <c r="J545" t="s">
        <v>89</v>
      </c>
      <c r="K545" t="s">
        <v>95</v>
      </c>
      <c r="L545" t="s">
        <v>1788</v>
      </c>
      <c r="M545" t="s">
        <v>61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50</v>
      </c>
      <c r="U545" t="s">
        <v>51</v>
      </c>
    </row>
    <row r="546" spans="1:21" x14ac:dyDescent="0.3">
      <c r="A546" t="s">
        <v>1789</v>
      </c>
      <c r="B546" s="3">
        <v>45686</v>
      </c>
      <c r="C546" s="3">
        <v>45779</v>
      </c>
      <c r="D546" t="s">
        <v>1790</v>
      </c>
      <c r="E546" t="s">
        <v>78</v>
      </c>
      <c r="F546" t="s">
        <v>42</v>
      </c>
      <c r="G546" t="s">
        <v>5</v>
      </c>
      <c r="H546" t="s">
        <v>202</v>
      </c>
      <c r="I546" t="s">
        <v>203</v>
      </c>
      <c r="J546" t="s">
        <v>46</v>
      </c>
      <c r="K546" t="s">
        <v>65</v>
      </c>
      <c r="L546" t="s">
        <v>1791</v>
      </c>
      <c r="M546" t="s">
        <v>61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50</v>
      </c>
      <c r="U546" t="s">
        <v>83</v>
      </c>
    </row>
    <row r="547" spans="1:21" x14ac:dyDescent="0.3">
      <c r="A547" t="s">
        <v>1792</v>
      </c>
      <c r="B547" s="3"/>
      <c r="C547" s="3">
        <v>45442</v>
      </c>
      <c r="D547" t="s">
        <v>1793</v>
      </c>
      <c r="E547" t="s">
        <v>284</v>
      </c>
      <c r="F547" t="s">
        <v>55</v>
      </c>
      <c r="G547" t="s">
        <v>4</v>
      </c>
      <c r="H547" t="s">
        <v>246</v>
      </c>
      <c r="I547" t="s">
        <v>247</v>
      </c>
      <c r="J547" t="s">
        <v>46</v>
      </c>
      <c r="K547" t="s">
        <v>140</v>
      </c>
      <c r="L547" t="s">
        <v>1794</v>
      </c>
      <c r="M547" t="s">
        <v>61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50</v>
      </c>
      <c r="U547" t="s">
        <v>51</v>
      </c>
    </row>
    <row r="548" spans="1:21" x14ac:dyDescent="0.3">
      <c r="A548" t="s">
        <v>1795</v>
      </c>
      <c r="B548" s="3">
        <v>45883</v>
      </c>
      <c r="C548" s="3">
        <v>45891</v>
      </c>
      <c r="D548" t="s">
        <v>1796</v>
      </c>
      <c r="E548" t="s">
        <v>70</v>
      </c>
      <c r="F548" t="s">
        <v>105</v>
      </c>
      <c r="G548" t="s">
        <v>6</v>
      </c>
      <c r="H548" t="s">
        <v>197</v>
      </c>
      <c r="I548" t="s">
        <v>198</v>
      </c>
      <c r="J548" t="s">
        <v>1797</v>
      </c>
      <c r="K548" t="s">
        <v>47</v>
      </c>
      <c r="L548" t="s">
        <v>1798</v>
      </c>
      <c r="M548" t="s">
        <v>67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50</v>
      </c>
      <c r="U548" t="s">
        <v>51</v>
      </c>
    </row>
    <row r="549" spans="1:21" x14ac:dyDescent="0.3">
      <c r="A549" t="s">
        <v>1799</v>
      </c>
      <c r="B549" s="3">
        <v>45428</v>
      </c>
      <c r="C549" s="3">
        <v>45435</v>
      </c>
      <c r="D549" t="s">
        <v>1800</v>
      </c>
      <c r="E549" t="s">
        <v>94</v>
      </c>
      <c r="F549" t="s">
        <v>55</v>
      </c>
      <c r="G549" t="s">
        <v>3</v>
      </c>
      <c r="H549" t="s">
        <v>152</v>
      </c>
      <c r="I549" t="s">
        <v>153</v>
      </c>
      <c r="J549" t="s">
        <v>89</v>
      </c>
      <c r="K549" t="s">
        <v>95</v>
      </c>
      <c r="L549" t="s">
        <v>1801</v>
      </c>
      <c r="M549" t="s">
        <v>75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50</v>
      </c>
      <c r="U549" t="s">
        <v>51</v>
      </c>
    </row>
    <row r="550" spans="1:21" x14ac:dyDescent="0.3">
      <c r="A550" t="s">
        <v>1802</v>
      </c>
      <c r="B550" s="3">
        <v>45441</v>
      </c>
      <c r="C550" s="3">
        <v>45441</v>
      </c>
      <c r="D550" t="s">
        <v>1803</v>
      </c>
      <c r="E550" t="s">
        <v>157</v>
      </c>
      <c r="F550" t="s">
        <v>105</v>
      </c>
      <c r="G550" t="s">
        <v>4</v>
      </c>
      <c r="H550" t="s">
        <v>161</v>
      </c>
      <c r="I550" t="s">
        <v>162</v>
      </c>
      <c r="J550" t="s">
        <v>58</v>
      </c>
      <c r="K550" t="s">
        <v>174</v>
      </c>
      <c r="L550" t="s">
        <v>1804</v>
      </c>
      <c r="M550" t="s">
        <v>61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127</v>
      </c>
      <c r="U550" t="s">
        <v>83</v>
      </c>
    </row>
    <row r="551" spans="1:21" x14ac:dyDescent="0.3">
      <c r="A551" t="s">
        <v>1805</v>
      </c>
      <c r="B551" s="3">
        <v>45971</v>
      </c>
      <c r="C551" s="3">
        <v>45943</v>
      </c>
      <c r="D551" t="s">
        <v>1806</v>
      </c>
      <c r="E551" t="s">
        <v>54</v>
      </c>
      <c r="F551" t="s">
        <v>105</v>
      </c>
      <c r="G551" t="s">
        <v>5</v>
      </c>
      <c r="H551" t="s">
        <v>71</v>
      </c>
      <c r="I551" t="s">
        <v>72</v>
      </c>
      <c r="J551" t="s">
        <v>46</v>
      </c>
      <c r="K551" t="s">
        <v>65</v>
      </c>
      <c r="L551" t="s">
        <v>1807</v>
      </c>
      <c r="M551" t="s">
        <v>49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50</v>
      </c>
      <c r="U551" t="s">
        <v>51</v>
      </c>
    </row>
    <row r="552" spans="1:21" x14ac:dyDescent="0.3">
      <c r="A552" t="s">
        <v>1808</v>
      </c>
      <c r="B552" s="3">
        <v>45506</v>
      </c>
      <c r="C552" s="3">
        <v>45573</v>
      </c>
      <c r="D552" t="s">
        <v>1809</v>
      </c>
      <c r="E552" t="s">
        <v>54</v>
      </c>
      <c r="F552" t="s">
        <v>110</v>
      </c>
      <c r="G552" t="s">
        <v>4</v>
      </c>
      <c r="H552" t="s">
        <v>56</v>
      </c>
      <c r="I552" t="s">
        <v>57</v>
      </c>
      <c r="J552" t="s">
        <v>89</v>
      </c>
      <c r="K552" t="s">
        <v>90</v>
      </c>
      <c r="L552" t="s">
        <v>1810</v>
      </c>
      <c r="M552" t="s">
        <v>75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50</v>
      </c>
      <c r="U552" t="s">
        <v>51</v>
      </c>
    </row>
    <row r="553" spans="1:21" x14ac:dyDescent="0.3">
      <c r="A553" t="s">
        <v>1811</v>
      </c>
      <c r="B553" s="3">
        <v>45349</v>
      </c>
      <c r="C553" s="3">
        <v>45349</v>
      </c>
      <c r="D553" t="s">
        <v>1812</v>
      </c>
      <c r="E553" t="s">
        <v>148</v>
      </c>
      <c r="F553" t="s">
        <v>42</v>
      </c>
      <c r="G553" t="s">
        <v>4</v>
      </c>
      <c r="H553" t="s">
        <v>246</v>
      </c>
      <c r="I553" t="s">
        <v>247</v>
      </c>
      <c r="J553" t="s">
        <v>58</v>
      </c>
      <c r="K553" t="s">
        <v>81</v>
      </c>
      <c r="L553" t="s">
        <v>1813</v>
      </c>
      <c r="M553" t="s">
        <v>49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50</v>
      </c>
      <c r="U553" t="s">
        <v>51</v>
      </c>
    </row>
    <row r="554" spans="1:21" x14ac:dyDescent="0.3">
      <c r="A554" t="s">
        <v>1814</v>
      </c>
      <c r="B554" s="3">
        <v>45681</v>
      </c>
      <c r="C554" s="3">
        <v>45687</v>
      </c>
      <c r="D554" t="s">
        <v>1815</v>
      </c>
      <c r="E554" t="s">
        <v>78</v>
      </c>
      <c r="F554" t="s">
        <v>105</v>
      </c>
      <c r="G554" t="s">
        <v>4</v>
      </c>
      <c r="H554" t="s">
        <v>114</v>
      </c>
      <c r="I554" t="s">
        <v>115</v>
      </c>
      <c r="J554" t="s">
        <v>89</v>
      </c>
      <c r="K554" t="s">
        <v>95</v>
      </c>
      <c r="L554" t="s">
        <v>1816</v>
      </c>
      <c r="M554" t="s">
        <v>75</v>
      </c>
      <c r="N554">
        <v>8</v>
      </c>
      <c r="O554">
        <v>312.52999999999997</v>
      </c>
      <c r="P554">
        <v>0.7</v>
      </c>
      <c r="Q554">
        <v>1875.18</v>
      </c>
      <c r="R554">
        <v>1579.17</v>
      </c>
      <c r="S554">
        <v>296.01</v>
      </c>
      <c r="T554" t="s">
        <v>50</v>
      </c>
      <c r="U554" t="s">
        <v>51</v>
      </c>
    </row>
    <row r="555" spans="1:21" x14ac:dyDescent="0.3">
      <c r="A555" t="s">
        <v>1817</v>
      </c>
      <c r="B555" s="3"/>
      <c r="C555" s="3">
        <v>45775</v>
      </c>
      <c r="D555" t="s">
        <v>1818</v>
      </c>
      <c r="E555" t="s">
        <v>144</v>
      </c>
      <c r="F555" t="s">
        <v>55</v>
      </c>
      <c r="G555" t="s">
        <v>6</v>
      </c>
      <c r="H555" t="s">
        <v>197</v>
      </c>
      <c r="I555" t="s">
        <v>198</v>
      </c>
      <c r="J555" t="s">
        <v>46</v>
      </c>
      <c r="K555" t="s">
        <v>140</v>
      </c>
      <c r="L555" t="s">
        <v>1819</v>
      </c>
      <c r="M555" t="s">
        <v>67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50</v>
      </c>
      <c r="U555" t="s">
        <v>51</v>
      </c>
    </row>
    <row r="556" spans="1:21" x14ac:dyDescent="0.3">
      <c r="A556" t="s">
        <v>1820</v>
      </c>
      <c r="B556" s="3">
        <v>45577</v>
      </c>
      <c r="C556" s="3">
        <v>45582</v>
      </c>
      <c r="D556" t="s">
        <v>1821</v>
      </c>
      <c r="E556" t="s">
        <v>70</v>
      </c>
      <c r="F556" t="s">
        <v>42</v>
      </c>
      <c r="H556" t="s">
        <v>246</v>
      </c>
      <c r="I556" t="s">
        <v>247</v>
      </c>
      <c r="J556" t="s">
        <v>58</v>
      </c>
      <c r="K556" t="s">
        <v>73</v>
      </c>
      <c r="L556" t="s">
        <v>1822</v>
      </c>
      <c r="M556" t="s">
        <v>75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50</v>
      </c>
      <c r="U556" t="s">
        <v>51</v>
      </c>
    </row>
    <row r="557" spans="1:21" x14ac:dyDescent="0.3">
      <c r="A557" t="s">
        <v>1823</v>
      </c>
      <c r="B557" s="3">
        <v>45692</v>
      </c>
      <c r="C557" s="3">
        <v>45698</v>
      </c>
      <c r="D557" t="s">
        <v>1824</v>
      </c>
      <c r="E557" t="s">
        <v>78</v>
      </c>
      <c r="F557" t="s">
        <v>55</v>
      </c>
      <c r="G557" t="s">
        <v>5</v>
      </c>
      <c r="H557" t="s">
        <v>71</v>
      </c>
      <c r="I557" t="s">
        <v>72</v>
      </c>
      <c r="J557" t="s">
        <v>46</v>
      </c>
      <c r="K557" t="s">
        <v>140</v>
      </c>
      <c r="L557" t="s">
        <v>1825</v>
      </c>
      <c r="M557" t="s">
        <v>75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50</v>
      </c>
      <c r="U557" t="s">
        <v>51</v>
      </c>
    </row>
    <row r="558" spans="1:21" x14ac:dyDescent="0.3">
      <c r="A558" t="s">
        <v>1826</v>
      </c>
      <c r="B558" s="3">
        <v>45466</v>
      </c>
      <c r="C558" s="3">
        <v>45472</v>
      </c>
      <c r="D558" t="s">
        <v>1827</v>
      </c>
      <c r="E558" t="s">
        <v>94</v>
      </c>
      <c r="F558" t="s">
        <v>42</v>
      </c>
      <c r="G558" t="s">
        <v>3</v>
      </c>
      <c r="H558" t="s">
        <v>254</v>
      </c>
      <c r="I558" t="s">
        <v>255</v>
      </c>
      <c r="J558" t="s">
        <v>58</v>
      </c>
      <c r="K558" t="s">
        <v>59</v>
      </c>
      <c r="L558" t="s">
        <v>1828</v>
      </c>
      <c r="M558" t="s">
        <v>67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50</v>
      </c>
      <c r="U558" t="s">
        <v>118</v>
      </c>
    </row>
    <row r="559" spans="1:21" x14ac:dyDescent="0.3">
      <c r="A559" t="s">
        <v>1829</v>
      </c>
      <c r="B559" s="3">
        <v>45420</v>
      </c>
      <c r="C559" s="3">
        <v>45426</v>
      </c>
      <c r="D559" t="s">
        <v>1830</v>
      </c>
      <c r="E559" t="s">
        <v>86</v>
      </c>
      <c r="F559" t="s">
        <v>110</v>
      </c>
      <c r="G559" t="s">
        <v>3</v>
      </c>
      <c r="H559" t="s">
        <v>254</v>
      </c>
      <c r="I559" t="s">
        <v>255</v>
      </c>
      <c r="J559" t="s">
        <v>89</v>
      </c>
      <c r="K559" t="s">
        <v>187</v>
      </c>
      <c r="L559" t="s">
        <v>1831</v>
      </c>
      <c r="M559" t="s">
        <v>67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50</v>
      </c>
      <c r="U559" t="s">
        <v>83</v>
      </c>
    </row>
    <row r="560" spans="1:21" x14ac:dyDescent="0.3">
      <c r="A560" t="s">
        <v>1832</v>
      </c>
      <c r="B560" s="3">
        <v>45904</v>
      </c>
      <c r="C560" s="3">
        <v>45756</v>
      </c>
      <c r="D560" t="s">
        <v>1833</v>
      </c>
      <c r="E560" t="s">
        <v>104</v>
      </c>
      <c r="F560" t="s">
        <v>105</v>
      </c>
      <c r="G560" t="s">
        <v>3</v>
      </c>
      <c r="H560" t="s">
        <v>138</v>
      </c>
      <c r="I560" t="s">
        <v>139</v>
      </c>
      <c r="J560" t="s">
        <v>89</v>
      </c>
      <c r="K560" t="s">
        <v>294</v>
      </c>
      <c r="L560" t="s">
        <v>1834</v>
      </c>
      <c r="M560" t="s">
        <v>67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50</v>
      </c>
      <c r="U560" t="s">
        <v>51</v>
      </c>
    </row>
    <row r="561" spans="1:21" x14ac:dyDescent="0.3">
      <c r="A561" t="s">
        <v>1835</v>
      </c>
      <c r="B561" s="3">
        <v>45930</v>
      </c>
      <c r="C561" s="3">
        <v>45937</v>
      </c>
      <c r="D561" t="s">
        <v>1836</v>
      </c>
      <c r="E561" t="s">
        <v>178</v>
      </c>
      <c r="F561" t="s">
        <v>105</v>
      </c>
      <c r="G561" t="s">
        <v>4</v>
      </c>
      <c r="H561" t="s">
        <v>161</v>
      </c>
      <c r="I561" t="s">
        <v>162</v>
      </c>
      <c r="J561" t="s">
        <v>89</v>
      </c>
      <c r="K561" t="s">
        <v>95</v>
      </c>
      <c r="L561" t="s">
        <v>1837</v>
      </c>
      <c r="M561" t="s">
        <v>49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50</v>
      </c>
      <c r="U561" t="s">
        <v>118</v>
      </c>
    </row>
    <row r="562" spans="1:21" x14ac:dyDescent="0.3">
      <c r="A562" t="s">
        <v>1838</v>
      </c>
      <c r="B562" s="3">
        <v>45307</v>
      </c>
      <c r="C562" s="3">
        <v>45313</v>
      </c>
      <c r="D562" t="s">
        <v>1839</v>
      </c>
      <c r="E562" t="s">
        <v>70</v>
      </c>
      <c r="F562" t="s">
        <v>42</v>
      </c>
      <c r="G562" t="s">
        <v>6</v>
      </c>
      <c r="H562" t="s">
        <v>207</v>
      </c>
      <c r="I562" t="s">
        <v>208</v>
      </c>
      <c r="J562" t="s">
        <v>46</v>
      </c>
      <c r="K562" t="s">
        <v>140</v>
      </c>
      <c r="L562" t="s">
        <v>1840</v>
      </c>
      <c r="M562" t="s">
        <v>75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50</v>
      </c>
      <c r="U562" t="s">
        <v>83</v>
      </c>
    </row>
    <row r="563" spans="1:21" x14ac:dyDescent="0.3">
      <c r="A563" t="s">
        <v>1841</v>
      </c>
      <c r="B563" s="3">
        <v>45852</v>
      </c>
      <c r="C563" s="3">
        <v>45856</v>
      </c>
      <c r="D563" t="s">
        <v>1842</v>
      </c>
      <c r="E563" t="s">
        <v>104</v>
      </c>
      <c r="F563" t="s">
        <v>42</v>
      </c>
      <c r="G563" t="s">
        <v>3</v>
      </c>
      <c r="H563" t="s">
        <v>138</v>
      </c>
      <c r="I563" t="s">
        <v>139</v>
      </c>
      <c r="J563" t="s">
        <v>89</v>
      </c>
      <c r="K563" t="s">
        <v>95</v>
      </c>
      <c r="L563" t="s">
        <v>1843</v>
      </c>
      <c r="M563" t="s">
        <v>67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127</v>
      </c>
      <c r="U563" t="s">
        <v>118</v>
      </c>
    </row>
    <row r="564" spans="1:21" x14ac:dyDescent="0.3">
      <c r="A564" t="s">
        <v>1844</v>
      </c>
      <c r="B564" s="3">
        <v>45422</v>
      </c>
      <c r="C564" s="3">
        <v>45428</v>
      </c>
      <c r="D564" t="s">
        <v>1845</v>
      </c>
      <c r="E564" t="s">
        <v>41</v>
      </c>
      <c r="F564" t="s">
        <v>42</v>
      </c>
      <c r="G564" t="s">
        <v>3</v>
      </c>
      <c r="H564" t="s">
        <v>138</v>
      </c>
      <c r="I564" t="s">
        <v>139</v>
      </c>
      <c r="J564" t="s">
        <v>46</v>
      </c>
      <c r="K564" t="s">
        <v>169</v>
      </c>
      <c r="L564" t="s">
        <v>1846</v>
      </c>
      <c r="M564" t="s">
        <v>61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171</v>
      </c>
      <c r="U564" t="s">
        <v>118</v>
      </c>
    </row>
    <row r="565" spans="1:21" x14ac:dyDescent="0.3">
      <c r="A565" t="s">
        <v>1847</v>
      </c>
      <c r="B565" s="3">
        <v>45448</v>
      </c>
      <c r="C565" s="3">
        <v>45424</v>
      </c>
      <c r="D565" t="s">
        <v>1848</v>
      </c>
      <c r="E565" t="s">
        <v>70</v>
      </c>
      <c r="F565" t="s">
        <v>105</v>
      </c>
      <c r="G565" t="s">
        <v>6</v>
      </c>
      <c r="H565" t="s">
        <v>207</v>
      </c>
      <c r="I565" t="s">
        <v>208</v>
      </c>
      <c r="J565" t="s">
        <v>58</v>
      </c>
      <c r="K565" t="s">
        <v>59</v>
      </c>
      <c r="L565" t="s">
        <v>1849</v>
      </c>
      <c r="M565" t="s">
        <v>75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127</v>
      </c>
      <c r="U565" t="s">
        <v>83</v>
      </c>
    </row>
    <row r="566" spans="1:21" x14ac:dyDescent="0.3">
      <c r="A566" t="s">
        <v>1850</v>
      </c>
      <c r="B566" s="3">
        <v>45576</v>
      </c>
      <c r="C566" s="3">
        <v>45610</v>
      </c>
      <c r="D566" t="s">
        <v>1851</v>
      </c>
      <c r="E566" t="s">
        <v>148</v>
      </c>
      <c r="F566" t="s">
        <v>105</v>
      </c>
      <c r="G566" t="s">
        <v>5</v>
      </c>
      <c r="H566" t="s">
        <v>99</v>
      </c>
      <c r="I566" t="s">
        <v>100</v>
      </c>
      <c r="J566" t="s">
        <v>58</v>
      </c>
      <c r="K566" t="s">
        <v>59</v>
      </c>
      <c r="L566" t="s">
        <v>1852</v>
      </c>
      <c r="M566" t="s">
        <v>67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50</v>
      </c>
      <c r="U566" t="s">
        <v>51</v>
      </c>
    </row>
    <row r="567" spans="1:21" x14ac:dyDescent="0.3">
      <c r="A567" t="s">
        <v>1853</v>
      </c>
      <c r="B567" s="3">
        <v>45876</v>
      </c>
      <c r="C567" s="3">
        <v>45882</v>
      </c>
      <c r="D567" t="s">
        <v>1854</v>
      </c>
      <c r="E567" t="s">
        <v>54</v>
      </c>
      <c r="F567" t="s">
        <v>105</v>
      </c>
      <c r="G567" t="s">
        <v>3</v>
      </c>
      <c r="H567" t="s">
        <v>372</v>
      </c>
      <c r="I567" t="s">
        <v>373</v>
      </c>
      <c r="J567" t="s">
        <v>89</v>
      </c>
      <c r="K567" t="s">
        <v>187</v>
      </c>
      <c r="L567" t="s">
        <v>1855</v>
      </c>
      <c r="M567" t="s">
        <v>75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117</v>
      </c>
      <c r="U567" t="s">
        <v>83</v>
      </c>
    </row>
    <row r="568" spans="1:21" x14ac:dyDescent="0.3">
      <c r="A568" t="s">
        <v>1856</v>
      </c>
      <c r="B568" s="3">
        <v>45515</v>
      </c>
      <c r="C568" s="3">
        <v>45523</v>
      </c>
      <c r="D568" t="s">
        <v>1857</v>
      </c>
      <c r="E568" t="s">
        <v>148</v>
      </c>
      <c r="F568" t="s">
        <v>55</v>
      </c>
      <c r="G568" t="s">
        <v>6</v>
      </c>
      <c r="H568" t="s">
        <v>79</v>
      </c>
      <c r="I568" t="s">
        <v>80</v>
      </c>
      <c r="J568" t="s">
        <v>46</v>
      </c>
      <c r="K568" t="s">
        <v>47</v>
      </c>
      <c r="L568" t="s">
        <v>1858</v>
      </c>
      <c r="M568" t="s">
        <v>61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171</v>
      </c>
      <c r="U568" t="s">
        <v>118</v>
      </c>
    </row>
    <row r="569" spans="1:21" x14ac:dyDescent="0.3">
      <c r="A569" t="s">
        <v>1859</v>
      </c>
      <c r="B569" s="3">
        <v>45328</v>
      </c>
      <c r="C569" s="3">
        <v>45332</v>
      </c>
      <c r="D569" t="s">
        <v>1860</v>
      </c>
      <c r="E569" t="s">
        <v>70</v>
      </c>
      <c r="F569" t="s">
        <v>110</v>
      </c>
      <c r="G569" t="s">
        <v>3</v>
      </c>
      <c r="H569" t="s">
        <v>152</v>
      </c>
      <c r="I569" t="s">
        <v>153</v>
      </c>
      <c r="J569" t="s">
        <v>58</v>
      </c>
      <c r="K569" t="s">
        <v>73</v>
      </c>
      <c r="L569" t="s">
        <v>628</v>
      </c>
      <c r="M569" t="s">
        <v>61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50</v>
      </c>
      <c r="U569" t="s">
        <v>51</v>
      </c>
    </row>
    <row r="570" spans="1:21" x14ac:dyDescent="0.3">
      <c r="A570" t="s">
        <v>1861</v>
      </c>
      <c r="B570" s="3">
        <v>45312</v>
      </c>
      <c r="C570" s="3">
        <v>45315</v>
      </c>
      <c r="D570" t="s">
        <v>1862</v>
      </c>
      <c r="E570" t="s">
        <v>284</v>
      </c>
      <c r="F570" t="s">
        <v>105</v>
      </c>
      <c r="G570" t="s">
        <v>3</v>
      </c>
      <c r="H570" t="s">
        <v>138</v>
      </c>
      <c r="I570" t="s">
        <v>139</v>
      </c>
      <c r="J570" t="s">
        <v>89</v>
      </c>
      <c r="K570" t="s">
        <v>294</v>
      </c>
      <c r="L570" t="s">
        <v>1863</v>
      </c>
      <c r="M570" t="s">
        <v>61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50</v>
      </c>
      <c r="U570" t="s">
        <v>51</v>
      </c>
    </row>
    <row r="571" spans="1:21" x14ac:dyDescent="0.3">
      <c r="A571" t="s">
        <v>1864</v>
      </c>
      <c r="B571" s="3">
        <v>45878</v>
      </c>
      <c r="C571" s="3">
        <v>45910</v>
      </c>
      <c r="D571" t="s">
        <v>1865</v>
      </c>
      <c r="E571" t="s">
        <v>134</v>
      </c>
      <c r="F571" t="s">
        <v>110</v>
      </c>
      <c r="G571" t="s">
        <v>6</v>
      </c>
      <c r="H571" t="s">
        <v>79</v>
      </c>
      <c r="I571" t="s">
        <v>80</v>
      </c>
      <c r="J571" t="s">
        <v>58</v>
      </c>
      <c r="K571" t="s">
        <v>73</v>
      </c>
      <c r="L571" t="s">
        <v>1866</v>
      </c>
      <c r="M571" t="s">
        <v>75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117</v>
      </c>
      <c r="U571" t="s">
        <v>118</v>
      </c>
    </row>
    <row r="572" spans="1:21" x14ac:dyDescent="0.3">
      <c r="A572" t="s">
        <v>1867</v>
      </c>
      <c r="B572" s="3">
        <v>45887</v>
      </c>
      <c r="C572" s="3"/>
      <c r="D572" t="s">
        <v>1868</v>
      </c>
      <c r="E572" t="s">
        <v>70</v>
      </c>
      <c r="F572" t="s">
        <v>42</v>
      </c>
      <c r="G572" t="s">
        <v>4</v>
      </c>
      <c r="H572" t="s">
        <v>246</v>
      </c>
      <c r="I572" t="s">
        <v>247</v>
      </c>
      <c r="J572" t="s">
        <v>58</v>
      </c>
      <c r="K572" t="s">
        <v>73</v>
      </c>
      <c r="L572" t="s">
        <v>1869</v>
      </c>
      <c r="M572" t="s">
        <v>49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171</v>
      </c>
      <c r="U572" t="s">
        <v>118</v>
      </c>
    </row>
    <row r="573" spans="1:21" x14ac:dyDescent="0.3">
      <c r="A573" t="s">
        <v>1870</v>
      </c>
      <c r="B573" s="3">
        <v>45698</v>
      </c>
      <c r="C573" s="3">
        <v>45702</v>
      </c>
      <c r="D573" t="s">
        <v>1871</v>
      </c>
      <c r="E573" t="s">
        <v>130</v>
      </c>
      <c r="F573" t="s">
        <v>55</v>
      </c>
      <c r="G573" t="s">
        <v>3</v>
      </c>
      <c r="H573" t="s">
        <v>152</v>
      </c>
      <c r="I573" t="s">
        <v>153</v>
      </c>
      <c r="J573" t="s">
        <v>89</v>
      </c>
      <c r="K573" t="s">
        <v>187</v>
      </c>
      <c r="L573" t="s">
        <v>1872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171</v>
      </c>
      <c r="U573" t="s">
        <v>118</v>
      </c>
    </row>
    <row r="574" spans="1:21" x14ac:dyDescent="0.3">
      <c r="A574" t="s">
        <v>1873</v>
      </c>
      <c r="B574" s="3">
        <v>45323</v>
      </c>
      <c r="C574" s="3">
        <v>45300</v>
      </c>
      <c r="D574" t="s">
        <v>1874</v>
      </c>
      <c r="E574" t="s">
        <v>1875</v>
      </c>
      <c r="F574" t="s">
        <v>105</v>
      </c>
      <c r="G574" t="s">
        <v>3</v>
      </c>
      <c r="H574" t="s">
        <v>372</v>
      </c>
      <c r="I574" t="s">
        <v>373</v>
      </c>
      <c r="J574" t="s">
        <v>89</v>
      </c>
      <c r="K574" t="s">
        <v>187</v>
      </c>
      <c r="L574" t="s">
        <v>1876</v>
      </c>
      <c r="M574" t="s">
        <v>75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50</v>
      </c>
      <c r="U574" t="s">
        <v>51</v>
      </c>
    </row>
    <row r="575" spans="1:21" x14ac:dyDescent="0.3">
      <c r="A575" t="s">
        <v>1877</v>
      </c>
      <c r="B575" s="3"/>
      <c r="C575" s="3"/>
      <c r="D575" t="s">
        <v>1878</v>
      </c>
      <c r="E575" t="s">
        <v>64</v>
      </c>
      <c r="F575" t="s">
        <v>42</v>
      </c>
      <c r="G575" t="s">
        <v>5</v>
      </c>
      <c r="H575" t="s">
        <v>99</v>
      </c>
      <c r="I575" t="s">
        <v>100</v>
      </c>
      <c r="J575" t="s">
        <v>89</v>
      </c>
      <c r="K575" t="s">
        <v>187</v>
      </c>
      <c r="L575" t="s">
        <v>1879</v>
      </c>
      <c r="M575" t="s">
        <v>75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50</v>
      </c>
      <c r="U575" t="s">
        <v>51</v>
      </c>
    </row>
    <row r="576" spans="1:21" x14ac:dyDescent="0.3">
      <c r="A576" t="s">
        <v>1880</v>
      </c>
      <c r="B576" s="3">
        <v>45342</v>
      </c>
      <c r="C576" s="3">
        <v>45347</v>
      </c>
      <c r="D576" t="s">
        <v>839</v>
      </c>
      <c r="E576" t="s">
        <v>178</v>
      </c>
      <c r="F576" t="s">
        <v>110</v>
      </c>
      <c r="G576" t="s">
        <v>3</v>
      </c>
      <c r="H576" t="s">
        <v>138</v>
      </c>
      <c r="I576" t="s">
        <v>139</v>
      </c>
      <c r="J576" t="s">
        <v>89</v>
      </c>
      <c r="K576" t="s">
        <v>294</v>
      </c>
      <c r="L576" t="s">
        <v>1881</v>
      </c>
      <c r="M576" t="s">
        <v>75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50</v>
      </c>
      <c r="U576" t="s">
        <v>51</v>
      </c>
    </row>
    <row r="577" spans="1:21" x14ac:dyDescent="0.3">
      <c r="A577" t="s">
        <v>1882</v>
      </c>
      <c r="B577" s="3">
        <v>45727</v>
      </c>
      <c r="C577" s="3">
        <v>45730</v>
      </c>
      <c r="D577" t="s">
        <v>1883</v>
      </c>
      <c r="E577" t="s">
        <v>148</v>
      </c>
      <c r="F577" t="s">
        <v>110</v>
      </c>
      <c r="G577" t="s">
        <v>5</v>
      </c>
      <c r="H577" t="s">
        <v>202</v>
      </c>
      <c r="I577" t="s">
        <v>203</v>
      </c>
      <c r="J577" t="s">
        <v>58</v>
      </c>
      <c r="K577" t="s">
        <v>73</v>
      </c>
      <c r="L577" t="s">
        <v>1884</v>
      </c>
      <c r="M577" t="s">
        <v>61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171</v>
      </c>
      <c r="U577" t="s">
        <v>118</v>
      </c>
    </row>
    <row r="578" spans="1:21" x14ac:dyDescent="0.3">
      <c r="A578" t="s">
        <v>1885</v>
      </c>
      <c r="B578" s="3">
        <v>45339</v>
      </c>
      <c r="C578" s="3"/>
      <c r="D578" t="s">
        <v>1886</v>
      </c>
      <c r="E578" t="s">
        <v>157</v>
      </c>
      <c r="F578" t="s">
        <v>110</v>
      </c>
      <c r="H578" t="s">
        <v>161</v>
      </c>
      <c r="I578" t="s">
        <v>162</v>
      </c>
      <c r="J578" t="s">
        <v>46</v>
      </c>
      <c r="K578" t="s">
        <v>169</v>
      </c>
      <c r="L578" t="s">
        <v>1887</v>
      </c>
      <c r="M578" t="s">
        <v>75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117</v>
      </c>
      <c r="U578" t="s">
        <v>118</v>
      </c>
    </row>
    <row r="579" spans="1:21" x14ac:dyDescent="0.3">
      <c r="A579" t="s">
        <v>1888</v>
      </c>
      <c r="B579" s="3"/>
      <c r="C579" s="3">
        <v>45903</v>
      </c>
      <c r="D579" t="s">
        <v>1889</v>
      </c>
      <c r="E579" t="s">
        <v>130</v>
      </c>
      <c r="F579" t="s">
        <v>105</v>
      </c>
      <c r="G579" t="s">
        <v>6</v>
      </c>
      <c r="H579" t="s">
        <v>87</v>
      </c>
      <c r="I579" t="s">
        <v>88</v>
      </c>
      <c r="J579" t="s">
        <v>58</v>
      </c>
      <c r="K579" t="s">
        <v>73</v>
      </c>
      <c r="L579" t="s">
        <v>1890</v>
      </c>
      <c r="M579" t="s">
        <v>75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50</v>
      </c>
      <c r="U579" t="s">
        <v>51</v>
      </c>
    </row>
    <row r="580" spans="1:21" x14ac:dyDescent="0.3">
      <c r="A580" t="s">
        <v>1891</v>
      </c>
      <c r="B580" s="3">
        <v>45343</v>
      </c>
      <c r="C580" s="3">
        <v>45345</v>
      </c>
      <c r="D580" t="s">
        <v>315</v>
      </c>
      <c r="E580" t="s">
        <v>94</v>
      </c>
      <c r="F580" t="s">
        <v>55</v>
      </c>
      <c r="G580" t="s">
        <v>6</v>
      </c>
      <c r="H580" t="s">
        <v>197</v>
      </c>
      <c r="I580" t="s">
        <v>198</v>
      </c>
      <c r="J580" t="s">
        <v>89</v>
      </c>
      <c r="K580" t="s">
        <v>95</v>
      </c>
      <c r="L580" t="s">
        <v>1892</v>
      </c>
      <c r="M580" t="s">
        <v>67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50</v>
      </c>
      <c r="U580" t="s">
        <v>51</v>
      </c>
    </row>
    <row r="581" spans="1:21" x14ac:dyDescent="0.3">
      <c r="A581" t="s">
        <v>1893</v>
      </c>
      <c r="B581" s="3">
        <v>45462</v>
      </c>
      <c r="C581" s="3">
        <v>45467</v>
      </c>
      <c r="D581" t="s">
        <v>1894</v>
      </c>
      <c r="E581" t="s">
        <v>144</v>
      </c>
      <c r="F581" t="s">
        <v>55</v>
      </c>
      <c r="G581" t="s">
        <v>5</v>
      </c>
      <c r="H581" t="s">
        <v>265</v>
      </c>
      <c r="I581" t="s">
        <v>266</v>
      </c>
      <c r="J581" t="s">
        <v>46</v>
      </c>
      <c r="K581" t="s">
        <v>140</v>
      </c>
      <c r="L581" t="s">
        <v>1895</v>
      </c>
      <c r="M581" t="s">
        <v>61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50</v>
      </c>
      <c r="U581" t="s">
        <v>51</v>
      </c>
    </row>
    <row r="582" spans="1:21" x14ac:dyDescent="0.3">
      <c r="A582" t="s">
        <v>1896</v>
      </c>
      <c r="B582" s="3">
        <v>45722</v>
      </c>
      <c r="C582" s="3"/>
      <c r="D582" t="s">
        <v>1897</v>
      </c>
      <c r="E582" t="s">
        <v>284</v>
      </c>
      <c r="F582" t="s">
        <v>42</v>
      </c>
      <c r="G582" t="s">
        <v>5</v>
      </c>
      <c r="H582" t="s">
        <v>202</v>
      </c>
      <c r="I582" t="s">
        <v>203</v>
      </c>
      <c r="J582" t="s">
        <v>58</v>
      </c>
      <c r="K582" t="s">
        <v>81</v>
      </c>
      <c r="L582" t="s">
        <v>1898</v>
      </c>
      <c r="M582" t="s">
        <v>75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171</v>
      </c>
      <c r="U582" t="s">
        <v>118</v>
      </c>
    </row>
    <row r="583" spans="1:21" x14ac:dyDescent="0.3">
      <c r="A583" t="s">
        <v>1899</v>
      </c>
      <c r="B583" s="3">
        <v>45878</v>
      </c>
      <c r="C583" s="3">
        <v>45938</v>
      </c>
      <c r="D583" t="s">
        <v>1900</v>
      </c>
      <c r="E583" t="s">
        <v>94</v>
      </c>
      <c r="F583" t="s">
        <v>42</v>
      </c>
      <c r="G583" t="s">
        <v>3</v>
      </c>
      <c r="H583" t="s">
        <v>372</v>
      </c>
      <c r="I583" t="s">
        <v>373</v>
      </c>
      <c r="J583" t="s">
        <v>46</v>
      </c>
      <c r="K583" t="s">
        <v>65</v>
      </c>
      <c r="L583" t="s">
        <v>1901</v>
      </c>
      <c r="M583" t="s">
        <v>49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117</v>
      </c>
      <c r="U583" t="s">
        <v>118</v>
      </c>
    </row>
    <row r="584" spans="1:21" x14ac:dyDescent="0.3">
      <c r="A584" t="s">
        <v>1902</v>
      </c>
      <c r="B584" s="3">
        <v>45580</v>
      </c>
      <c r="C584" s="3"/>
      <c r="D584" t="s">
        <v>1903</v>
      </c>
      <c r="E584" t="s">
        <v>78</v>
      </c>
      <c r="F584" t="s">
        <v>42</v>
      </c>
      <c r="G584" t="s">
        <v>4</v>
      </c>
      <c r="H584" t="s">
        <v>56</v>
      </c>
      <c r="I584" t="s">
        <v>57</v>
      </c>
      <c r="J584" t="s">
        <v>46</v>
      </c>
      <c r="K584" t="s">
        <v>65</v>
      </c>
      <c r="L584" t="s">
        <v>1904</v>
      </c>
      <c r="M584" t="s">
        <v>67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127</v>
      </c>
      <c r="U584" t="s">
        <v>118</v>
      </c>
    </row>
    <row r="585" spans="1:21" x14ac:dyDescent="0.3">
      <c r="A585" t="s">
        <v>1905</v>
      </c>
      <c r="B585" s="3">
        <v>45350</v>
      </c>
      <c r="C585" s="3"/>
      <c r="D585" t="s">
        <v>1906</v>
      </c>
      <c r="E585" t="s">
        <v>157</v>
      </c>
      <c r="F585" t="s">
        <v>55</v>
      </c>
      <c r="G585" t="s">
        <v>4</v>
      </c>
      <c r="H585" t="s">
        <v>114</v>
      </c>
      <c r="I585" t="s">
        <v>115</v>
      </c>
      <c r="J585" t="s">
        <v>46</v>
      </c>
      <c r="K585" t="s">
        <v>140</v>
      </c>
      <c r="L585" t="s">
        <v>1907</v>
      </c>
      <c r="M585" t="s">
        <v>67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171</v>
      </c>
      <c r="U585" t="s">
        <v>118</v>
      </c>
    </row>
    <row r="586" spans="1:21" x14ac:dyDescent="0.3">
      <c r="A586" t="s">
        <v>1908</v>
      </c>
      <c r="B586" s="3">
        <v>45390</v>
      </c>
      <c r="C586" s="3">
        <v>45514</v>
      </c>
      <c r="D586" t="s">
        <v>1909</v>
      </c>
      <c r="E586" t="s">
        <v>86</v>
      </c>
      <c r="F586" t="s">
        <v>42</v>
      </c>
      <c r="G586" t="s">
        <v>4</v>
      </c>
      <c r="H586" t="s">
        <v>161</v>
      </c>
      <c r="I586" t="s">
        <v>162</v>
      </c>
      <c r="J586" t="s">
        <v>46</v>
      </c>
      <c r="K586" t="s">
        <v>65</v>
      </c>
      <c r="L586" t="s">
        <v>1910</v>
      </c>
      <c r="M586" t="s">
        <v>61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127</v>
      </c>
      <c r="U586" t="s">
        <v>118</v>
      </c>
    </row>
    <row r="587" spans="1:21" x14ac:dyDescent="0.3">
      <c r="A587" t="s">
        <v>1911</v>
      </c>
      <c r="B587" s="3">
        <v>45830</v>
      </c>
      <c r="C587" s="3">
        <v>45833</v>
      </c>
      <c r="D587" t="s">
        <v>1912</v>
      </c>
      <c r="E587" t="s">
        <v>178</v>
      </c>
      <c r="F587" t="s">
        <v>55</v>
      </c>
      <c r="G587" t="s">
        <v>9</v>
      </c>
      <c r="H587" t="s">
        <v>79</v>
      </c>
      <c r="I587" t="s">
        <v>80</v>
      </c>
      <c r="J587" t="s">
        <v>89</v>
      </c>
      <c r="K587" t="s">
        <v>187</v>
      </c>
      <c r="L587" t="s">
        <v>1913</v>
      </c>
      <c r="M587" t="s">
        <v>67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50</v>
      </c>
      <c r="U587" t="s">
        <v>51</v>
      </c>
    </row>
    <row r="588" spans="1:21" x14ac:dyDescent="0.3">
      <c r="A588" t="s">
        <v>1914</v>
      </c>
      <c r="B588" s="3">
        <v>45759</v>
      </c>
      <c r="C588" s="3">
        <v>45759</v>
      </c>
      <c r="D588" t="s">
        <v>1915</v>
      </c>
      <c r="E588" t="s">
        <v>54</v>
      </c>
      <c r="F588" t="s">
        <v>110</v>
      </c>
      <c r="G588" t="s">
        <v>3</v>
      </c>
      <c r="H588" t="s">
        <v>138</v>
      </c>
      <c r="I588" t="s">
        <v>139</v>
      </c>
      <c r="J588" t="s">
        <v>46</v>
      </c>
      <c r="K588" t="s">
        <v>169</v>
      </c>
      <c r="L588" t="s">
        <v>1916</v>
      </c>
      <c r="M588" t="s">
        <v>49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50</v>
      </c>
      <c r="U588" t="s">
        <v>51</v>
      </c>
    </row>
    <row r="589" spans="1:21" x14ac:dyDescent="0.3">
      <c r="A589" t="s">
        <v>1917</v>
      </c>
      <c r="B589" s="3">
        <v>45861</v>
      </c>
      <c r="C589" s="3">
        <v>45869</v>
      </c>
      <c r="D589" t="s">
        <v>1918</v>
      </c>
      <c r="E589" t="s">
        <v>284</v>
      </c>
      <c r="F589" t="s">
        <v>110</v>
      </c>
      <c r="G589" t="s">
        <v>6</v>
      </c>
      <c r="H589" t="s">
        <v>87</v>
      </c>
      <c r="I589" t="s">
        <v>88</v>
      </c>
      <c r="J589" t="s">
        <v>89</v>
      </c>
      <c r="K589" t="s">
        <v>90</v>
      </c>
      <c r="L589" t="s">
        <v>1919</v>
      </c>
      <c r="M589" t="s">
        <v>67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117</v>
      </c>
      <c r="U589" t="s">
        <v>83</v>
      </c>
    </row>
    <row r="590" spans="1:21" x14ac:dyDescent="0.3">
      <c r="A590" t="s">
        <v>1920</v>
      </c>
      <c r="B590" s="3">
        <v>45727</v>
      </c>
      <c r="C590" s="3">
        <v>45731</v>
      </c>
      <c r="D590" t="s">
        <v>1921</v>
      </c>
      <c r="E590" t="s">
        <v>144</v>
      </c>
      <c r="F590" t="s">
        <v>110</v>
      </c>
      <c r="G590" t="s">
        <v>5</v>
      </c>
      <c r="H590" t="s">
        <v>192</v>
      </c>
      <c r="I590" t="s">
        <v>193</v>
      </c>
      <c r="J590" t="s">
        <v>89</v>
      </c>
      <c r="K590" t="s">
        <v>90</v>
      </c>
      <c r="L590" t="s">
        <v>1922</v>
      </c>
      <c r="M590" t="s">
        <v>49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117</v>
      </c>
      <c r="U590" t="s">
        <v>83</v>
      </c>
    </row>
    <row r="591" spans="1:21" x14ac:dyDescent="0.3">
      <c r="A591" t="s">
        <v>1923</v>
      </c>
      <c r="B591" s="3">
        <v>45632</v>
      </c>
      <c r="C591" s="3">
        <v>45638</v>
      </c>
      <c r="D591" t="s">
        <v>1924</v>
      </c>
      <c r="E591" t="s">
        <v>157</v>
      </c>
      <c r="F591" t="s">
        <v>105</v>
      </c>
      <c r="G591" t="s">
        <v>3</v>
      </c>
      <c r="H591" t="s">
        <v>152</v>
      </c>
      <c r="I591" t="s">
        <v>153</v>
      </c>
      <c r="J591" t="s">
        <v>89</v>
      </c>
      <c r="K591" t="s">
        <v>187</v>
      </c>
      <c r="L591" t="s">
        <v>1925</v>
      </c>
      <c r="M591" t="s">
        <v>67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50</v>
      </c>
      <c r="U591" t="s">
        <v>51</v>
      </c>
    </row>
    <row r="592" spans="1:21" x14ac:dyDescent="0.3">
      <c r="A592" t="s">
        <v>1926</v>
      </c>
      <c r="B592" s="3">
        <v>45441</v>
      </c>
      <c r="C592" s="3">
        <v>45441</v>
      </c>
      <c r="D592" t="s">
        <v>1927</v>
      </c>
      <c r="E592" t="s">
        <v>144</v>
      </c>
      <c r="F592" t="s">
        <v>110</v>
      </c>
      <c r="G592" t="s">
        <v>3</v>
      </c>
      <c r="H592" t="s">
        <v>372</v>
      </c>
      <c r="I592" t="s">
        <v>373</v>
      </c>
      <c r="J592" t="s">
        <v>58</v>
      </c>
      <c r="K592" t="s">
        <v>81</v>
      </c>
      <c r="L592" t="s">
        <v>1928</v>
      </c>
      <c r="M592" t="s">
        <v>61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1929</v>
      </c>
      <c r="U592" t="s">
        <v>83</v>
      </c>
    </row>
    <row r="593" spans="1:21" x14ac:dyDescent="0.3">
      <c r="A593" t="s">
        <v>1930</v>
      </c>
      <c r="B593" s="3">
        <v>45344</v>
      </c>
      <c r="C593" s="3">
        <v>45346</v>
      </c>
      <c r="D593" t="s">
        <v>1931</v>
      </c>
      <c r="E593" t="s">
        <v>148</v>
      </c>
      <c r="F593" t="s">
        <v>42</v>
      </c>
      <c r="G593" t="s">
        <v>5</v>
      </c>
      <c r="H593" t="s">
        <v>192</v>
      </c>
      <c r="I593" t="s">
        <v>193</v>
      </c>
      <c r="J593" t="s">
        <v>89</v>
      </c>
      <c r="K593" t="s">
        <v>95</v>
      </c>
      <c r="L593" t="s">
        <v>1932</v>
      </c>
      <c r="M593" t="s">
        <v>67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171</v>
      </c>
      <c r="U593" t="s">
        <v>118</v>
      </c>
    </row>
    <row r="594" spans="1:21" x14ac:dyDescent="0.3">
      <c r="A594" t="s">
        <v>1933</v>
      </c>
      <c r="B594" s="3">
        <v>45355</v>
      </c>
      <c r="C594" s="3">
        <v>45360</v>
      </c>
      <c r="D594" t="s">
        <v>1934</v>
      </c>
      <c r="E594" t="s">
        <v>54</v>
      </c>
      <c r="F594" t="s">
        <v>42</v>
      </c>
      <c r="G594" t="s">
        <v>4</v>
      </c>
      <c r="H594" t="s">
        <v>114</v>
      </c>
      <c r="I594" t="s">
        <v>115</v>
      </c>
      <c r="J594" t="s">
        <v>89</v>
      </c>
      <c r="K594" t="s">
        <v>90</v>
      </c>
      <c r="L594" t="s">
        <v>1935</v>
      </c>
      <c r="M594" t="s">
        <v>61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50</v>
      </c>
      <c r="U594" t="s">
        <v>51</v>
      </c>
    </row>
    <row r="595" spans="1:21" x14ac:dyDescent="0.3">
      <c r="A595" t="s">
        <v>1936</v>
      </c>
      <c r="B595" s="3"/>
      <c r="C595" s="3">
        <v>45929</v>
      </c>
      <c r="D595" t="s">
        <v>1723</v>
      </c>
      <c r="E595" t="s">
        <v>70</v>
      </c>
      <c r="F595" t="s">
        <v>110</v>
      </c>
      <c r="G595" t="s">
        <v>3</v>
      </c>
      <c r="H595" t="s">
        <v>152</v>
      </c>
      <c r="I595" t="s">
        <v>153</v>
      </c>
      <c r="J595" t="s">
        <v>58</v>
      </c>
      <c r="K595" t="s">
        <v>59</v>
      </c>
      <c r="L595" t="s">
        <v>1937</v>
      </c>
      <c r="M595" t="s">
        <v>49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50</v>
      </c>
      <c r="U595" t="s">
        <v>51</v>
      </c>
    </row>
    <row r="596" spans="1:21" x14ac:dyDescent="0.3">
      <c r="A596" t="s">
        <v>1938</v>
      </c>
      <c r="B596" s="3">
        <v>45554</v>
      </c>
      <c r="C596" s="3">
        <v>45556</v>
      </c>
      <c r="D596" t="s">
        <v>1939</v>
      </c>
      <c r="E596" t="s">
        <v>41</v>
      </c>
      <c r="F596" t="s">
        <v>55</v>
      </c>
      <c r="G596" t="s">
        <v>4</v>
      </c>
      <c r="H596" t="s">
        <v>114</v>
      </c>
      <c r="I596" t="s">
        <v>115</v>
      </c>
      <c r="J596" t="s">
        <v>58</v>
      </c>
      <c r="K596" t="s">
        <v>81</v>
      </c>
      <c r="L596" t="s">
        <v>1940</v>
      </c>
      <c r="M596" t="s">
        <v>67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50</v>
      </c>
      <c r="U596" t="s">
        <v>51</v>
      </c>
    </row>
    <row r="597" spans="1:21" x14ac:dyDescent="0.3">
      <c r="A597" t="s">
        <v>1941</v>
      </c>
      <c r="B597" s="3">
        <v>45963</v>
      </c>
      <c r="C597" s="3">
        <v>45704</v>
      </c>
      <c r="D597" t="s">
        <v>1942</v>
      </c>
      <c r="E597" t="s">
        <v>54</v>
      </c>
      <c r="F597" t="s">
        <v>105</v>
      </c>
      <c r="G597" t="s">
        <v>3</v>
      </c>
      <c r="H597" t="s">
        <v>152</v>
      </c>
      <c r="I597" t="s">
        <v>153</v>
      </c>
      <c r="J597" t="s">
        <v>89</v>
      </c>
      <c r="K597" t="s">
        <v>187</v>
      </c>
      <c r="L597" t="s">
        <v>1943</v>
      </c>
      <c r="M597" t="s">
        <v>67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50</v>
      </c>
      <c r="U597" t="s">
        <v>51</v>
      </c>
    </row>
    <row r="598" spans="1:21" x14ac:dyDescent="0.3">
      <c r="A598" t="s">
        <v>1944</v>
      </c>
      <c r="B598" s="3">
        <v>45392</v>
      </c>
      <c r="C598" s="3"/>
      <c r="D598" t="s">
        <v>1945</v>
      </c>
      <c r="E598" t="s">
        <v>104</v>
      </c>
      <c r="F598" t="s">
        <v>42</v>
      </c>
      <c r="G598" t="s">
        <v>5</v>
      </c>
      <c r="H598" t="s">
        <v>202</v>
      </c>
      <c r="I598" t="s">
        <v>203</v>
      </c>
      <c r="J598" t="s">
        <v>58</v>
      </c>
      <c r="K598" t="s">
        <v>81</v>
      </c>
      <c r="L598" t="s">
        <v>1946</v>
      </c>
      <c r="M598" t="s">
        <v>49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50</v>
      </c>
      <c r="U598" t="s">
        <v>51</v>
      </c>
    </row>
    <row r="599" spans="1:21" x14ac:dyDescent="0.3">
      <c r="A599" t="s">
        <v>1947</v>
      </c>
      <c r="B599" s="3">
        <v>45846</v>
      </c>
      <c r="C599" s="3">
        <v>45876</v>
      </c>
      <c r="D599" t="s">
        <v>1948</v>
      </c>
      <c r="E599" t="s">
        <v>104</v>
      </c>
      <c r="F599" t="s">
        <v>42</v>
      </c>
      <c r="G599" t="s">
        <v>5</v>
      </c>
      <c r="H599" t="s">
        <v>71</v>
      </c>
      <c r="I599" t="s">
        <v>72</v>
      </c>
      <c r="J599" t="s">
        <v>89</v>
      </c>
      <c r="K599" t="s">
        <v>95</v>
      </c>
      <c r="L599" t="s">
        <v>1949</v>
      </c>
      <c r="M599" t="s">
        <v>61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50</v>
      </c>
      <c r="U599" t="s">
        <v>51</v>
      </c>
    </row>
    <row r="600" spans="1:21" x14ac:dyDescent="0.3">
      <c r="A600" t="s">
        <v>1950</v>
      </c>
      <c r="B600" s="3"/>
      <c r="C600" s="3"/>
      <c r="D600" t="s">
        <v>1951</v>
      </c>
      <c r="E600" t="s">
        <v>78</v>
      </c>
      <c r="F600" t="s">
        <v>105</v>
      </c>
      <c r="G600" t="s">
        <v>4</v>
      </c>
      <c r="H600" t="s">
        <v>114</v>
      </c>
      <c r="I600" t="s">
        <v>115</v>
      </c>
      <c r="J600" t="s">
        <v>89</v>
      </c>
      <c r="K600" t="s">
        <v>95</v>
      </c>
      <c r="L600" t="s">
        <v>1952</v>
      </c>
      <c r="M600" t="s">
        <v>61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50</v>
      </c>
      <c r="U600" t="s">
        <v>51</v>
      </c>
    </row>
    <row r="601" spans="1:21" x14ac:dyDescent="0.3">
      <c r="A601" t="s">
        <v>1953</v>
      </c>
      <c r="B601" s="3">
        <v>45523</v>
      </c>
      <c r="C601" s="3">
        <v>45525</v>
      </c>
      <c r="D601" t="s">
        <v>1954</v>
      </c>
      <c r="E601" t="s">
        <v>70</v>
      </c>
      <c r="F601" t="s">
        <v>42</v>
      </c>
      <c r="G601" t="s">
        <v>3</v>
      </c>
      <c r="H601" t="s">
        <v>138</v>
      </c>
      <c r="I601" t="s">
        <v>139</v>
      </c>
      <c r="J601" t="s">
        <v>89</v>
      </c>
      <c r="K601" t="s">
        <v>187</v>
      </c>
      <c r="L601" t="s">
        <v>1955</v>
      </c>
      <c r="M601" t="s">
        <v>67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50</v>
      </c>
      <c r="U601" t="s">
        <v>51</v>
      </c>
    </row>
    <row r="602" spans="1:21" x14ac:dyDescent="0.3">
      <c r="A602" t="s">
        <v>1956</v>
      </c>
      <c r="B602" s="3">
        <v>45721</v>
      </c>
      <c r="C602" s="3">
        <v>45728</v>
      </c>
      <c r="D602" t="s">
        <v>1957</v>
      </c>
      <c r="E602" t="s">
        <v>78</v>
      </c>
      <c r="F602" t="s">
        <v>105</v>
      </c>
      <c r="G602" t="s">
        <v>6</v>
      </c>
      <c r="H602" t="s">
        <v>87</v>
      </c>
      <c r="I602" t="s">
        <v>88</v>
      </c>
      <c r="J602" t="s">
        <v>46</v>
      </c>
      <c r="K602" t="s">
        <v>140</v>
      </c>
      <c r="L602" t="s">
        <v>1958</v>
      </c>
      <c r="M602" t="s">
        <v>61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50</v>
      </c>
      <c r="U602" t="s">
        <v>51</v>
      </c>
    </row>
    <row r="603" spans="1:21" x14ac:dyDescent="0.3">
      <c r="A603" t="s">
        <v>1959</v>
      </c>
      <c r="B603" s="3">
        <v>45317</v>
      </c>
      <c r="C603" s="3"/>
      <c r="D603" t="s">
        <v>1960</v>
      </c>
      <c r="E603" t="s">
        <v>78</v>
      </c>
      <c r="F603" t="s">
        <v>110</v>
      </c>
      <c r="G603" t="s">
        <v>4</v>
      </c>
      <c r="H603" t="s">
        <v>114</v>
      </c>
      <c r="I603" t="s">
        <v>115</v>
      </c>
      <c r="J603" t="s">
        <v>46</v>
      </c>
      <c r="K603" t="s">
        <v>47</v>
      </c>
      <c r="L603" t="s">
        <v>1961</v>
      </c>
      <c r="M603" t="s">
        <v>49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50</v>
      </c>
      <c r="U603" t="s">
        <v>51</v>
      </c>
    </row>
    <row r="604" spans="1:21" x14ac:dyDescent="0.3">
      <c r="A604" t="s">
        <v>1962</v>
      </c>
      <c r="B604" s="3">
        <v>45588</v>
      </c>
      <c r="C604" s="3">
        <v>45595</v>
      </c>
      <c r="D604" t="s">
        <v>1963</v>
      </c>
      <c r="E604" t="s">
        <v>144</v>
      </c>
      <c r="F604" t="s">
        <v>42</v>
      </c>
      <c r="G604" t="s">
        <v>4</v>
      </c>
      <c r="H604" t="s">
        <v>246</v>
      </c>
      <c r="I604" t="s">
        <v>247</v>
      </c>
      <c r="J604" t="s">
        <v>89</v>
      </c>
      <c r="K604" t="s">
        <v>95</v>
      </c>
      <c r="L604" t="s">
        <v>1964</v>
      </c>
      <c r="M604" t="s">
        <v>49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50</v>
      </c>
      <c r="U604" t="s">
        <v>51</v>
      </c>
    </row>
    <row r="605" spans="1:21" x14ac:dyDescent="0.3">
      <c r="A605" t="s">
        <v>1965</v>
      </c>
      <c r="B605" s="3">
        <v>45717</v>
      </c>
      <c r="C605" s="3">
        <v>45668</v>
      </c>
      <c r="D605" t="s">
        <v>355</v>
      </c>
      <c r="E605" t="s">
        <v>86</v>
      </c>
      <c r="F605" t="s">
        <v>105</v>
      </c>
      <c r="G605" t="s">
        <v>4</v>
      </c>
      <c r="H605" t="s">
        <v>161</v>
      </c>
      <c r="I605" t="s">
        <v>162</v>
      </c>
      <c r="J605" t="s">
        <v>386</v>
      </c>
      <c r="K605" t="s">
        <v>90</v>
      </c>
      <c r="L605" t="s">
        <v>1966</v>
      </c>
      <c r="M605" t="s">
        <v>67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127</v>
      </c>
      <c r="U605" t="s">
        <v>83</v>
      </c>
    </row>
    <row r="606" spans="1:21" x14ac:dyDescent="0.3">
      <c r="A606" t="s">
        <v>1967</v>
      </c>
      <c r="B606" s="3">
        <v>45693</v>
      </c>
      <c r="C606" s="3">
        <v>45810</v>
      </c>
      <c r="D606" t="s">
        <v>1968</v>
      </c>
      <c r="E606" t="s">
        <v>78</v>
      </c>
      <c r="F606" t="s">
        <v>42</v>
      </c>
      <c r="G606" t="s">
        <v>6</v>
      </c>
      <c r="H606" t="s">
        <v>87</v>
      </c>
      <c r="I606" t="s">
        <v>88</v>
      </c>
      <c r="J606" t="s">
        <v>46</v>
      </c>
      <c r="K606" t="s">
        <v>169</v>
      </c>
      <c r="L606" t="s">
        <v>1969</v>
      </c>
      <c r="M606" t="s">
        <v>61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50</v>
      </c>
      <c r="U606" t="s">
        <v>51</v>
      </c>
    </row>
    <row r="607" spans="1:21" x14ac:dyDescent="0.3">
      <c r="A607" t="s">
        <v>1970</v>
      </c>
      <c r="B607" s="3">
        <v>45847</v>
      </c>
      <c r="C607" s="3">
        <v>45851</v>
      </c>
      <c r="D607" t="s">
        <v>1971</v>
      </c>
      <c r="E607" t="s">
        <v>284</v>
      </c>
      <c r="F607" t="s">
        <v>105</v>
      </c>
      <c r="G607" t="s">
        <v>6</v>
      </c>
      <c r="H607" t="s">
        <v>207</v>
      </c>
      <c r="I607" t="s">
        <v>208</v>
      </c>
      <c r="J607" t="s">
        <v>58</v>
      </c>
      <c r="K607" t="s">
        <v>73</v>
      </c>
      <c r="L607" t="s">
        <v>1972</v>
      </c>
      <c r="M607" t="s">
        <v>49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50</v>
      </c>
      <c r="U607" t="s">
        <v>83</v>
      </c>
    </row>
    <row r="608" spans="1:21" x14ac:dyDescent="0.3">
      <c r="A608" t="s">
        <v>1973</v>
      </c>
      <c r="B608" s="3">
        <v>45710</v>
      </c>
      <c r="C608" s="3"/>
      <c r="D608" t="s">
        <v>1974</v>
      </c>
      <c r="E608" t="s">
        <v>134</v>
      </c>
      <c r="F608" t="s">
        <v>110</v>
      </c>
      <c r="G608" t="s">
        <v>6</v>
      </c>
      <c r="H608" t="s">
        <v>87</v>
      </c>
      <c r="I608" t="s">
        <v>88</v>
      </c>
      <c r="J608" t="s">
        <v>89</v>
      </c>
      <c r="K608" t="s">
        <v>95</v>
      </c>
      <c r="L608" t="s">
        <v>1975</v>
      </c>
      <c r="M608" t="s">
        <v>61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50</v>
      </c>
      <c r="U608" t="s">
        <v>51</v>
      </c>
    </row>
    <row r="609" spans="1:21" x14ac:dyDescent="0.3">
      <c r="A609" t="s">
        <v>1976</v>
      </c>
      <c r="B609" s="3">
        <v>45704</v>
      </c>
      <c r="C609" s="3">
        <v>45710</v>
      </c>
      <c r="D609" t="s">
        <v>1977</v>
      </c>
      <c r="E609" t="s">
        <v>148</v>
      </c>
      <c r="F609" t="s">
        <v>110</v>
      </c>
      <c r="G609" t="s">
        <v>4</v>
      </c>
      <c r="H609" t="s">
        <v>161</v>
      </c>
      <c r="I609" t="s">
        <v>162</v>
      </c>
      <c r="J609" t="s">
        <v>46</v>
      </c>
      <c r="K609" t="s">
        <v>140</v>
      </c>
      <c r="L609" t="s">
        <v>1978</v>
      </c>
      <c r="M609" t="s">
        <v>61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50</v>
      </c>
      <c r="U609" t="s">
        <v>51</v>
      </c>
    </row>
    <row r="610" spans="1:21" x14ac:dyDescent="0.3">
      <c r="A610" t="s">
        <v>1979</v>
      </c>
      <c r="B610" s="3">
        <v>45464</v>
      </c>
      <c r="C610" s="3">
        <v>45466</v>
      </c>
      <c r="D610" t="s">
        <v>1752</v>
      </c>
      <c r="E610" t="s">
        <v>41</v>
      </c>
      <c r="F610" t="s">
        <v>110</v>
      </c>
      <c r="G610" t="s">
        <v>6</v>
      </c>
      <c r="H610" t="s">
        <v>207</v>
      </c>
      <c r="I610" t="s">
        <v>208</v>
      </c>
      <c r="J610" t="s">
        <v>58</v>
      </c>
      <c r="K610" t="s">
        <v>73</v>
      </c>
      <c r="L610" t="s">
        <v>1980</v>
      </c>
      <c r="M610" t="s">
        <v>49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50</v>
      </c>
      <c r="U610" t="s">
        <v>51</v>
      </c>
    </row>
    <row r="611" spans="1:21" x14ac:dyDescent="0.3">
      <c r="A611" t="s">
        <v>1981</v>
      </c>
      <c r="B611" s="3">
        <v>45665</v>
      </c>
      <c r="C611" s="3">
        <v>45669</v>
      </c>
      <c r="D611" t="s">
        <v>1982</v>
      </c>
      <c r="E611" t="s">
        <v>148</v>
      </c>
      <c r="F611" t="s">
        <v>110</v>
      </c>
      <c r="G611" t="s">
        <v>5</v>
      </c>
      <c r="H611" t="s">
        <v>192</v>
      </c>
      <c r="I611" t="s">
        <v>193</v>
      </c>
      <c r="J611" t="s">
        <v>58</v>
      </c>
      <c r="K611" t="s">
        <v>81</v>
      </c>
      <c r="L611" t="s">
        <v>1983</v>
      </c>
      <c r="M611" t="s">
        <v>75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50</v>
      </c>
      <c r="U611" t="s">
        <v>51</v>
      </c>
    </row>
    <row r="612" spans="1:21" x14ac:dyDescent="0.3">
      <c r="A612" t="s">
        <v>1984</v>
      </c>
      <c r="B612" s="3">
        <v>45432</v>
      </c>
      <c r="C612" s="3"/>
      <c r="D612" t="s">
        <v>1415</v>
      </c>
      <c r="E612" t="s">
        <v>41</v>
      </c>
      <c r="F612" t="s">
        <v>110</v>
      </c>
      <c r="G612" t="s">
        <v>6</v>
      </c>
      <c r="H612" t="s">
        <v>87</v>
      </c>
      <c r="I612" t="s">
        <v>88</v>
      </c>
      <c r="J612" t="s">
        <v>58</v>
      </c>
      <c r="K612" t="s">
        <v>81</v>
      </c>
      <c r="L612" t="s">
        <v>1985</v>
      </c>
      <c r="M612" t="s">
        <v>75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50</v>
      </c>
      <c r="U612" t="s">
        <v>51</v>
      </c>
    </row>
    <row r="613" spans="1:21" x14ac:dyDescent="0.3">
      <c r="A613" t="s">
        <v>1986</v>
      </c>
      <c r="B613" s="3">
        <v>45846</v>
      </c>
      <c r="C613" s="3">
        <v>45853</v>
      </c>
      <c r="D613" t="s">
        <v>1987</v>
      </c>
      <c r="E613" t="s">
        <v>78</v>
      </c>
      <c r="F613" t="s">
        <v>494</v>
      </c>
      <c r="G613" t="s">
        <v>3</v>
      </c>
      <c r="H613" t="s">
        <v>44</v>
      </c>
      <c r="I613" t="s">
        <v>45</v>
      </c>
      <c r="J613" t="s">
        <v>46</v>
      </c>
      <c r="K613" t="s">
        <v>169</v>
      </c>
      <c r="L613" t="s">
        <v>1988</v>
      </c>
      <c r="M613" t="s">
        <v>61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50</v>
      </c>
      <c r="U613" t="s">
        <v>51</v>
      </c>
    </row>
    <row r="614" spans="1:21" x14ac:dyDescent="0.3">
      <c r="A614" t="s">
        <v>1989</v>
      </c>
      <c r="B614" s="3">
        <v>45753</v>
      </c>
      <c r="C614" s="3">
        <v>45760</v>
      </c>
      <c r="D614" t="s">
        <v>1990</v>
      </c>
      <c r="E614" t="s">
        <v>104</v>
      </c>
      <c r="F614" t="s">
        <v>42</v>
      </c>
      <c r="H614" t="s">
        <v>56</v>
      </c>
      <c r="I614" t="s">
        <v>57</v>
      </c>
      <c r="J614" t="s">
        <v>89</v>
      </c>
      <c r="K614" t="s">
        <v>187</v>
      </c>
      <c r="L614" t="s">
        <v>1991</v>
      </c>
      <c r="M614" t="s">
        <v>75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50</v>
      </c>
      <c r="U614" t="s">
        <v>51</v>
      </c>
    </row>
    <row r="615" spans="1:21" x14ac:dyDescent="0.3">
      <c r="A615" t="s">
        <v>1992</v>
      </c>
      <c r="B615" s="3">
        <v>45570</v>
      </c>
      <c r="C615" s="3">
        <v>45575</v>
      </c>
      <c r="D615" t="s">
        <v>1993</v>
      </c>
      <c r="E615" t="s">
        <v>178</v>
      </c>
      <c r="F615" t="s">
        <v>110</v>
      </c>
      <c r="G615" t="s">
        <v>6</v>
      </c>
      <c r="H615" t="s">
        <v>197</v>
      </c>
      <c r="I615" t="s">
        <v>198</v>
      </c>
      <c r="J615" t="s">
        <v>89</v>
      </c>
      <c r="K615" t="s">
        <v>294</v>
      </c>
      <c r="L615" t="s">
        <v>1994</v>
      </c>
      <c r="M615" t="s">
        <v>61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50</v>
      </c>
      <c r="U615" t="s">
        <v>51</v>
      </c>
    </row>
    <row r="616" spans="1:21" x14ac:dyDescent="0.3">
      <c r="A616" t="s">
        <v>1995</v>
      </c>
      <c r="B616" s="3">
        <v>45333</v>
      </c>
      <c r="C616" s="3">
        <v>45341</v>
      </c>
      <c r="D616" t="s">
        <v>1996</v>
      </c>
      <c r="E616" t="s">
        <v>78</v>
      </c>
      <c r="F616" t="s">
        <v>110</v>
      </c>
      <c r="G616" t="s">
        <v>5</v>
      </c>
      <c r="H616" t="s">
        <v>71</v>
      </c>
      <c r="I616" t="s">
        <v>72</v>
      </c>
      <c r="J616" t="s">
        <v>58</v>
      </c>
      <c r="K616" t="s">
        <v>81</v>
      </c>
      <c r="L616" t="s">
        <v>1997</v>
      </c>
      <c r="M616" t="s">
        <v>75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117</v>
      </c>
      <c r="U616" t="s">
        <v>83</v>
      </c>
    </row>
    <row r="617" spans="1:21" x14ac:dyDescent="0.3">
      <c r="A617" t="s">
        <v>1998</v>
      </c>
      <c r="B617" s="3">
        <v>45569</v>
      </c>
      <c r="C617" s="3">
        <v>45483</v>
      </c>
      <c r="D617" t="s">
        <v>1999</v>
      </c>
      <c r="E617" t="s">
        <v>134</v>
      </c>
      <c r="F617" t="s">
        <v>105</v>
      </c>
      <c r="G617" t="s">
        <v>5</v>
      </c>
      <c r="H617" t="s">
        <v>202</v>
      </c>
      <c r="I617" t="s">
        <v>203</v>
      </c>
      <c r="J617" t="s">
        <v>46</v>
      </c>
      <c r="K617" t="s">
        <v>65</v>
      </c>
      <c r="L617" t="s">
        <v>2000</v>
      </c>
      <c r="M617" t="s">
        <v>49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50</v>
      </c>
      <c r="U617" t="s">
        <v>715</v>
      </c>
    </row>
    <row r="618" spans="1:21" x14ac:dyDescent="0.3">
      <c r="A618" t="s">
        <v>2001</v>
      </c>
      <c r="B618" s="3">
        <v>45520</v>
      </c>
      <c r="C618" s="3">
        <v>45523</v>
      </c>
      <c r="D618" t="s">
        <v>2002</v>
      </c>
      <c r="E618" t="s">
        <v>284</v>
      </c>
      <c r="F618" t="s">
        <v>42</v>
      </c>
      <c r="G618" t="s">
        <v>5</v>
      </c>
      <c r="H618" t="s">
        <v>71</v>
      </c>
      <c r="I618" t="s">
        <v>72</v>
      </c>
      <c r="J618" t="s">
        <v>46</v>
      </c>
      <c r="K618" t="s">
        <v>47</v>
      </c>
      <c r="L618" t="s">
        <v>2003</v>
      </c>
      <c r="M618" t="s">
        <v>75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50</v>
      </c>
      <c r="U618" t="s">
        <v>51</v>
      </c>
    </row>
    <row r="619" spans="1:21" x14ac:dyDescent="0.3">
      <c r="A619" t="s">
        <v>2004</v>
      </c>
      <c r="B619" s="3"/>
      <c r="C619" s="3">
        <v>45565</v>
      </c>
      <c r="D619" t="s">
        <v>2005</v>
      </c>
      <c r="E619" t="s">
        <v>54</v>
      </c>
      <c r="F619" t="s">
        <v>110</v>
      </c>
      <c r="G619" t="s">
        <v>5</v>
      </c>
      <c r="H619" t="s">
        <v>71</v>
      </c>
      <c r="I619" t="s">
        <v>72</v>
      </c>
      <c r="J619" t="s">
        <v>89</v>
      </c>
      <c r="K619" t="s">
        <v>187</v>
      </c>
      <c r="L619" t="s">
        <v>2006</v>
      </c>
      <c r="M619" t="s">
        <v>75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50</v>
      </c>
      <c r="U619" t="s">
        <v>51</v>
      </c>
    </row>
    <row r="620" spans="1:21" x14ac:dyDescent="0.3">
      <c r="A620" t="s">
        <v>2007</v>
      </c>
      <c r="B620" s="3">
        <v>45496</v>
      </c>
      <c r="C620" s="3">
        <v>45503</v>
      </c>
      <c r="D620" t="s">
        <v>2008</v>
      </c>
      <c r="E620" t="s">
        <v>284</v>
      </c>
      <c r="F620" t="s">
        <v>105</v>
      </c>
      <c r="G620" t="s">
        <v>3</v>
      </c>
      <c r="H620" t="s">
        <v>44</v>
      </c>
      <c r="I620" t="s">
        <v>45</v>
      </c>
      <c r="J620" t="s">
        <v>58</v>
      </c>
      <c r="K620" t="s">
        <v>59</v>
      </c>
      <c r="L620" t="s">
        <v>2009</v>
      </c>
      <c r="M620" t="s">
        <v>61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171</v>
      </c>
      <c r="U620" t="s">
        <v>83</v>
      </c>
    </row>
    <row r="621" spans="1:21" x14ac:dyDescent="0.3">
      <c r="A621" t="s">
        <v>2010</v>
      </c>
      <c r="B621" s="3"/>
      <c r="C621" s="3">
        <v>45623</v>
      </c>
      <c r="D621" t="s">
        <v>2011</v>
      </c>
      <c r="E621" t="s">
        <v>130</v>
      </c>
      <c r="F621" t="s">
        <v>105</v>
      </c>
      <c r="G621" t="s">
        <v>5</v>
      </c>
      <c r="H621" t="s">
        <v>265</v>
      </c>
      <c r="I621" t="s">
        <v>266</v>
      </c>
      <c r="J621" t="s">
        <v>46</v>
      </c>
      <c r="K621" t="s">
        <v>169</v>
      </c>
      <c r="L621" t="s">
        <v>2012</v>
      </c>
      <c r="M621" t="s">
        <v>67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117</v>
      </c>
      <c r="U621" t="s">
        <v>118</v>
      </c>
    </row>
    <row r="622" spans="1:21" x14ac:dyDescent="0.3">
      <c r="A622" t="s">
        <v>2013</v>
      </c>
      <c r="B622" s="3">
        <v>45522</v>
      </c>
      <c r="C622" s="3"/>
      <c r="D622" t="s">
        <v>2014</v>
      </c>
      <c r="E622" t="s">
        <v>86</v>
      </c>
      <c r="F622" t="s">
        <v>42</v>
      </c>
      <c r="G622" t="s">
        <v>3</v>
      </c>
      <c r="H622" t="s">
        <v>152</v>
      </c>
      <c r="I622" t="s">
        <v>153</v>
      </c>
      <c r="J622" t="s">
        <v>89</v>
      </c>
      <c r="K622" t="s">
        <v>294</v>
      </c>
      <c r="L622" t="s">
        <v>2015</v>
      </c>
      <c r="M622" t="s">
        <v>75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50</v>
      </c>
      <c r="U622" t="s">
        <v>51</v>
      </c>
    </row>
    <row r="623" spans="1:21" x14ac:dyDescent="0.3">
      <c r="A623" t="s">
        <v>2016</v>
      </c>
      <c r="B623" s="3">
        <v>45624</v>
      </c>
      <c r="C623" s="3">
        <v>45632</v>
      </c>
      <c r="D623" t="s">
        <v>2017</v>
      </c>
      <c r="E623" t="s">
        <v>104</v>
      </c>
      <c r="F623" t="s">
        <v>42</v>
      </c>
      <c r="G623" t="s">
        <v>6</v>
      </c>
      <c r="H623" t="s">
        <v>79</v>
      </c>
      <c r="I623" t="s">
        <v>80</v>
      </c>
      <c r="J623" t="s">
        <v>58</v>
      </c>
      <c r="K623" t="s">
        <v>81</v>
      </c>
      <c r="L623" t="s">
        <v>2018</v>
      </c>
      <c r="M623" t="s">
        <v>61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50</v>
      </c>
      <c r="U623" t="s">
        <v>51</v>
      </c>
    </row>
    <row r="624" spans="1:21" x14ac:dyDescent="0.3">
      <c r="A624" t="s">
        <v>2019</v>
      </c>
      <c r="B624" s="3">
        <v>45686</v>
      </c>
      <c r="C624" s="3">
        <v>45694</v>
      </c>
      <c r="D624" t="s">
        <v>2020</v>
      </c>
      <c r="E624" t="s">
        <v>86</v>
      </c>
      <c r="F624" t="s">
        <v>42</v>
      </c>
      <c r="G624" t="s">
        <v>4</v>
      </c>
      <c r="H624" t="s">
        <v>161</v>
      </c>
      <c r="I624" t="s">
        <v>162</v>
      </c>
      <c r="J624" t="s">
        <v>46</v>
      </c>
      <c r="K624" t="s">
        <v>140</v>
      </c>
      <c r="L624" t="s">
        <v>2021</v>
      </c>
      <c r="M624" t="s">
        <v>75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50</v>
      </c>
      <c r="U624" t="s">
        <v>51</v>
      </c>
    </row>
    <row r="625" spans="1:21" x14ac:dyDescent="0.3">
      <c r="A625" t="s">
        <v>2022</v>
      </c>
      <c r="B625" s="3">
        <v>45512</v>
      </c>
      <c r="C625" s="3">
        <v>45518</v>
      </c>
      <c r="D625" t="s">
        <v>2023</v>
      </c>
      <c r="E625" t="s">
        <v>86</v>
      </c>
      <c r="F625" t="s">
        <v>110</v>
      </c>
      <c r="G625" t="s">
        <v>3</v>
      </c>
      <c r="H625" t="s">
        <v>138</v>
      </c>
      <c r="I625" t="s">
        <v>139</v>
      </c>
      <c r="J625" t="s">
        <v>46</v>
      </c>
      <c r="K625" t="s">
        <v>140</v>
      </c>
      <c r="L625" t="s">
        <v>2024</v>
      </c>
      <c r="M625" t="s">
        <v>49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50</v>
      </c>
      <c r="U625" t="s">
        <v>51</v>
      </c>
    </row>
    <row r="626" spans="1:21" x14ac:dyDescent="0.3">
      <c r="A626" t="s">
        <v>2025</v>
      </c>
      <c r="B626" s="3"/>
      <c r="C626" s="3">
        <v>45323</v>
      </c>
      <c r="D626" t="s">
        <v>2026</v>
      </c>
      <c r="E626" t="s">
        <v>94</v>
      </c>
      <c r="F626" t="s">
        <v>110</v>
      </c>
      <c r="G626" t="s">
        <v>4</v>
      </c>
      <c r="H626" t="s">
        <v>182</v>
      </c>
      <c r="I626" t="s">
        <v>183</v>
      </c>
      <c r="J626" t="s">
        <v>58</v>
      </c>
      <c r="K626" t="s">
        <v>81</v>
      </c>
      <c r="L626" t="s">
        <v>2027</v>
      </c>
      <c r="M626" t="s">
        <v>67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50</v>
      </c>
      <c r="U626" t="s">
        <v>51</v>
      </c>
    </row>
    <row r="627" spans="1:21" x14ac:dyDescent="0.3">
      <c r="A627" t="s">
        <v>2028</v>
      </c>
      <c r="B627" s="3"/>
      <c r="C627" s="3">
        <v>45647</v>
      </c>
      <c r="D627" t="s">
        <v>2029</v>
      </c>
      <c r="E627" t="s">
        <v>178</v>
      </c>
      <c r="F627" t="s">
        <v>105</v>
      </c>
      <c r="G627" t="s">
        <v>6</v>
      </c>
      <c r="H627" t="s">
        <v>44</v>
      </c>
      <c r="I627" t="s">
        <v>125</v>
      </c>
      <c r="J627" t="s">
        <v>58</v>
      </c>
      <c r="K627" t="s">
        <v>81</v>
      </c>
      <c r="L627" t="s">
        <v>2030</v>
      </c>
      <c r="M627" t="s">
        <v>61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50</v>
      </c>
      <c r="U627" t="s">
        <v>51</v>
      </c>
    </row>
    <row r="628" spans="1:21" x14ac:dyDescent="0.3">
      <c r="A628" t="s">
        <v>2031</v>
      </c>
      <c r="B628" s="3">
        <v>45812</v>
      </c>
      <c r="C628" s="3">
        <v>45844</v>
      </c>
      <c r="D628" t="s">
        <v>2032</v>
      </c>
      <c r="E628" t="s">
        <v>148</v>
      </c>
      <c r="F628" t="s">
        <v>110</v>
      </c>
      <c r="G628" t="s">
        <v>4</v>
      </c>
      <c r="H628" t="s">
        <v>182</v>
      </c>
      <c r="I628" t="s">
        <v>183</v>
      </c>
      <c r="J628" t="s">
        <v>2033</v>
      </c>
      <c r="K628" t="s">
        <v>294</v>
      </c>
      <c r="L628" t="s">
        <v>2034</v>
      </c>
      <c r="M628" t="s">
        <v>75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127</v>
      </c>
      <c r="U628" t="s">
        <v>118</v>
      </c>
    </row>
    <row r="629" spans="1:21" x14ac:dyDescent="0.3">
      <c r="A629" t="s">
        <v>2035</v>
      </c>
      <c r="B629" s="3"/>
      <c r="C629" s="3">
        <v>45709</v>
      </c>
      <c r="D629" t="s">
        <v>2036</v>
      </c>
      <c r="E629" t="s">
        <v>41</v>
      </c>
      <c r="F629" t="s">
        <v>55</v>
      </c>
      <c r="G629" t="s">
        <v>5</v>
      </c>
      <c r="H629" t="s">
        <v>202</v>
      </c>
      <c r="I629" t="s">
        <v>203</v>
      </c>
      <c r="J629" t="s">
        <v>89</v>
      </c>
      <c r="K629" t="s">
        <v>187</v>
      </c>
      <c r="L629" t="s">
        <v>2037</v>
      </c>
      <c r="M629" t="s">
        <v>49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127</v>
      </c>
      <c r="U629" t="s">
        <v>83</v>
      </c>
    </row>
    <row r="630" spans="1:21" x14ac:dyDescent="0.3">
      <c r="A630" t="s">
        <v>2038</v>
      </c>
      <c r="B630" s="3">
        <v>45935</v>
      </c>
      <c r="C630" s="3">
        <v>45942</v>
      </c>
      <c r="D630" t="s">
        <v>2039</v>
      </c>
      <c r="E630" t="s">
        <v>78</v>
      </c>
      <c r="F630" t="s">
        <v>110</v>
      </c>
      <c r="G630" t="s">
        <v>4</v>
      </c>
      <c r="H630" t="s">
        <v>246</v>
      </c>
      <c r="I630" t="s">
        <v>247</v>
      </c>
      <c r="J630" t="s">
        <v>89</v>
      </c>
      <c r="K630" t="s">
        <v>90</v>
      </c>
      <c r="L630" t="s">
        <v>2040</v>
      </c>
      <c r="M630" t="s">
        <v>61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50</v>
      </c>
      <c r="U630" t="s">
        <v>51</v>
      </c>
    </row>
    <row r="631" spans="1:21" x14ac:dyDescent="0.3">
      <c r="A631" t="s">
        <v>2041</v>
      </c>
      <c r="B631" s="3">
        <v>45939</v>
      </c>
      <c r="C631" s="3">
        <v>45914</v>
      </c>
      <c r="D631" t="s">
        <v>2042</v>
      </c>
      <c r="E631" t="s">
        <v>70</v>
      </c>
      <c r="F631" t="s">
        <v>110</v>
      </c>
      <c r="G631" t="s">
        <v>6</v>
      </c>
      <c r="H631" t="s">
        <v>197</v>
      </c>
      <c r="I631" t="s">
        <v>198</v>
      </c>
      <c r="J631" t="s">
        <v>58</v>
      </c>
      <c r="K631" t="s">
        <v>59</v>
      </c>
      <c r="L631" t="s">
        <v>2043</v>
      </c>
      <c r="M631" t="s">
        <v>61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50</v>
      </c>
      <c r="U631" t="s">
        <v>51</v>
      </c>
    </row>
    <row r="632" spans="1:21" x14ac:dyDescent="0.3">
      <c r="A632" t="s">
        <v>2044</v>
      </c>
      <c r="B632" s="3">
        <v>45391</v>
      </c>
      <c r="C632" s="3">
        <v>45392</v>
      </c>
      <c r="D632" t="s">
        <v>2045</v>
      </c>
      <c r="E632" t="s">
        <v>130</v>
      </c>
      <c r="F632" t="s">
        <v>105</v>
      </c>
      <c r="G632" t="s">
        <v>4</v>
      </c>
      <c r="H632" t="s">
        <v>182</v>
      </c>
      <c r="I632" t="s">
        <v>183</v>
      </c>
      <c r="J632" t="s">
        <v>46</v>
      </c>
      <c r="K632" t="s">
        <v>47</v>
      </c>
      <c r="L632" t="s">
        <v>2046</v>
      </c>
      <c r="M632" t="s">
        <v>75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50</v>
      </c>
      <c r="U632" t="s">
        <v>51</v>
      </c>
    </row>
    <row r="633" spans="1:21" x14ac:dyDescent="0.3">
      <c r="A633" t="s">
        <v>2047</v>
      </c>
      <c r="B633" s="3">
        <v>45392</v>
      </c>
      <c r="C633" s="3">
        <v>45397</v>
      </c>
      <c r="D633" t="s">
        <v>2048</v>
      </c>
      <c r="E633" t="s">
        <v>144</v>
      </c>
      <c r="F633" t="s">
        <v>110</v>
      </c>
      <c r="G633" t="s">
        <v>6</v>
      </c>
      <c r="H633" t="s">
        <v>44</v>
      </c>
      <c r="I633" t="s">
        <v>125</v>
      </c>
      <c r="J633" t="s">
        <v>58</v>
      </c>
      <c r="K633" t="s">
        <v>81</v>
      </c>
      <c r="L633" t="s">
        <v>2049</v>
      </c>
      <c r="M633" t="s">
        <v>75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50</v>
      </c>
      <c r="U633" t="s">
        <v>51</v>
      </c>
    </row>
    <row r="634" spans="1:21" x14ac:dyDescent="0.3">
      <c r="A634" t="s">
        <v>2050</v>
      </c>
      <c r="B634" s="3">
        <v>45762</v>
      </c>
      <c r="C634" s="3">
        <v>45763</v>
      </c>
      <c r="D634" t="s">
        <v>2051</v>
      </c>
      <c r="E634" t="s">
        <v>148</v>
      </c>
      <c r="F634" t="s">
        <v>55</v>
      </c>
      <c r="G634" t="s">
        <v>5</v>
      </c>
      <c r="H634" t="s">
        <v>192</v>
      </c>
      <c r="I634" t="s">
        <v>193</v>
      </c>
      <c r="J634" t="s">
        <v>58</v>
      </c>
      <c r="K634" t="s">
        <v>73</v>
      </c>
      <c r="L634" t="s">
        <v>2052</v>
      </c>
      <c r="M634" t="s">
        <v>67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50</v>
      </c>
      <c r="U634" t="s">
        <v>51</v>
      </c>
    </row>
    <row r="635" spans="1:21" x14ac:dyDescent="0.3">
      <c r="A635" t="s">
        <v>2053</v>
      </c>
      <c r="B635" s="3"/>
      <c r="C635" s="3">
        <v>45767</v>
      </c>
      <c r="D635" t="s">
        <v>2054</v>
      </c>
      <c r="E635" t="s">
        <v>144</v>
      </c>
      <c r="F635" t="s">
        <v>55</v>
      </c>
      <c r="G635" t="s">
        <v>5</v>
      </c>
      <c r="H635" t="s">
        <v>265</v>
      </c>
      <c r="I635" t="s">
        <v>266</v>
      </c>
      <c r="J635" t="s">
        <v>89</v>
      </c>
      <c r="K635" t="s">
        <v>90</v>
      </c>
      <c r="L635" t="s">
        <v>2055</v>
      </c>
      <c r="M635" t="s">
        <v>49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50</v>
      </c>
      <c r="U635" t="s">
        <v>51</v>
      </c>
    </row>
    <row r="636" spans="1:21" x14ac:dyDescent="0.3">
      <c r="A636" t="s">
        <v>2056</v>
      </c>
      <c r="B636" s="3">
        <v>45962</v>
      </c>
      <c r="C636" s="3">
        <v>45669</v>
      </c>
      <c r="D636" t="s">
        <v>2057</v>
      </c>
      <c r="E636" t="s">
        <v>104</v>
      </c>
      <c r="F636" t="s">
        <v>42</v>
      </c>
      <c r="G636" t="s">
        <v>5</v>
      </c>
      <c r="H636" t="s">
        <v>71</v>
      </c>
      <c r="I636" t="s">
        <v>72</v>
      </c>
      <c r="J636" t="s">
        <v>58</v>
      </c>
      <c r="K636" t="s">
        <v>81</v>
      </c>
      <c r="L636" t="s">
        <v>2058</v>
      </c>
      <c r="M636" t="s">
        <v>49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50</v>
      </c>
      <c r="U636" t="s">
        <v>51</v>
      </c>
    </row>
    <row r="637" spans="1:21" x14ac:dyDescent="0.3">
      <c r="A637" t="s">
        <v>2059</v>
      </c>
      <c r="B637" s="3">
        <v>45432</v>
      </c>
      <c r="C637" s="3">
        <v>45437</v>
      </c>
      <c r="D637" t="s">
        <v>2060</v>
      </c>
      <c r="E637" t="s">
        <v>54</v>
      </c>
      <c r="F637" t="s">
        <v>105</v>
      </c>
      <c r="G637" t="s">
        <v>5</v>
      </c>
      <c r="H637" t="s">
        <v>99</v>
      </c>
      <c r="I637" t="s">
        <v>100</v>
      </c>
      <c r="J637" t="s">
        <v>58</v>
      </c>
      <c r="K637" t="s">
        <v>81</v>
      </c>
      <c r="L637" t="s">
        <v>2061</v>
      </c>
      <c r="M637" t="s">
        <v>61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50</v>
      </c>
      <c r="U637" t="s">
        <v>51</v>
      </c>
    </row>
    <row r="638" spans="1:21" x14ac:dyDescent="0.3">
      <c r="A638" t="s">
        <v>2062</v>
      </c>
      <c r="B638" s="3">
        <v>45567</v>
      </c>
      <c r="C638" s="3">
        <v>45574</v>
      </c>
      <c r="D638" t="s">
        <v>2063</v>
      </c>
      <c r="E638" t="s">
        <v>78</v>
      </c>
      <c r="F638" t="s">
        <v>42</v>
      </c>
      <c r="G638" t="s">
        <v>5</v>
      </c>
      <c r="H638" t="s">
        <v>265</v>
      </c>
      <c r="I638" t="s">
        <v>266</v>
      </c>
      <c r="J638" t="s">
        <v>46</v>
      </c>
      <c r="K638" t="s">
        <v>47</v>
      </c>
      <c r="L638" t="s">
        <v>2064</v>
      </c>
      <c r="M638" t="s">
        <v>75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50</v>
      </c>
      <c r="U638" t="s">
        <v>51</v>
      </c>
    </row>
    <row r="639" spans="1:21" x14ac:dyDescent="0.3">
      <c r="A639" t="s">
        <v>2065</v>
      </c>
      <c r="B639" s="3">
        <v>45438</v>
      </c>
      <c r="C639" s="3">
        <v>45438</v>
      </c>
      <c r="D639" t="s">
        <v>2066</v>
      </c>
      <c r="E639" t="s">
        <v>134</v>
      </c>
      <c r="F639" t="s">
        <v>55</v>
      </c>
      <c r="G639" t="s">
        <v>6</v>
      </c>
      <c r="H639" t="s">
        <v>207</v>
      </c>
      <c r="I639" t="s">
        <v>208</v>
      </c>
      <c r="J639" t="s">
        <v>89</v>
      </c>
      <c r="K639" t="s">
        <v>95</v>
      </c>
      <c r="L639" t="s">
        <v>2067</v>
      </c>
      <c r="M639" t="s">
        <v>67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50</v>
      </c>
      <c r="U639" t="s">
        <v>51</v>
      </c>
    </row>
    <row r="640" spans="1:21" x14ac:dyDescent="0.3">
      <c r="A640" t="s">
        <v>2068</v>
      </c>
      <c r="B640" s="3">
        <v>45317</v>
      </c>
      <c r="C640" s="3">
        <v>45322</v>
      </c>
      <c r="D640" t="s">
        <v>2069</v>
      </c>
      <c r="E640" t="s">
        <v>41</v>
      </c>
      <c r="F640" t="s">
        <v>105</v>
      </c>
      <c r="G640" t="s">
        <v>5</v>
      </c>
      <c r="H640" t="s">
        <v>202</v>
      </c>
      <c r="I640" t="s">
        <v>203</v>
      </c>
      <c r="J640" t="s">
        <v>46</v>
      </c>
      <c r="K640" t="s">
        <v>140</v>
      </c>
      <c r="L640" t="s">
        <v>2070</v>
      </c>
      <c r="M640" t="s">
        <v>49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171</v>
      </c>
      <c r="U640" t="s">
        <v>118</v>
      </c>
    </row>
    <row r="641" spans="1:21" x14ac:dyDescent="0.3">
      <c r="A641" t="s">
        <v>2071</v>
      </c>
      <c r="B641" s="3"/>
      <c r="C641" s="3">
        <v>45657</v>
      </c>
      <c r="D641" t="s">
        <v>2072</v>
      </c>
      <c r="E641" t="s">
        <v>64</v>
      </c>
      <c r="F641" t="s">
        <v>55</v>
      </c>
      <c r="G641" t="s">
        <v>4</v>
      </c>
      <c r="H641" t="s">
        <v>56</v>
      </c>
      <c r="I641" t="s">
        <v>57</v>
      </c>
      <c r="J641" t="s">
        <v>58</v>
      </c>
      <c r="K641" t="s">
        <v>81</v>
      </c>
      <c r="L641" t="s">
        <v>2073</v>
      </c>
      <c r="M641" t="s">
        <v>49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50</v>
      </c>
      <c r="U641" t="s">
        <v>51</v>
      </c>
    </row>
    <row r="642" spans="1:21" x14ac:dyDescent="0.3">
      <c r="A642" t="s">
        <v>2074</v>
      </c>
      <c r="B642" s="3">
        <v>45671</v>
      </c>
      <c r="C642" s="3">
        <v>45674</v>
      </c>
      <c r="D642" t="s">
        <v>2075</v>
      </c>
      <c r="E642" t="s">
        <v>86</v>
      </c>
      <c r="F642" t="s">
        <v>42</v>
      </c>
      <c r="G642" t="s">
        <v>6</v>
      </c>
      <c r="H642" t="s">
        <v>207</v>
      </c>
      <c r="I642" t="s">
        <v>208</v>
      </c>
      <c r="J642" t="s">
        <v>46</v>
      </c>
      <c r="K642" t="s">
        <v>140</v>
      </c>
      <c r="L642" t="s">
        <v>2076</v>
      </c>
      <c r="M642" t="s">
        <v>67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50</v>
      </c>
      <c r="U642" t="s">
        <v>51</v>
      </c>
    </row>
    <row r="643" spans="1:21" x14ac:dyDescent="0.3">
      <c r="A643" t="s">
        <v>2077</v>
      </c>
      <c r="B643" s="3">
        <v>45756</v>
      </c>
      <c r="C643" s="3">
        <v>45761</v>
      </c>
      <c r="D643" t="s">
        <v>2078</v>
      </c>
      <c r="E643" t="s">
        <v>41</v>
      </c>
      <c r="F643" t="s">
        <v>42</v>
      </c>
      <c r="G643" t="s">
        <v>3</v>
      </c>
      <c r="H643" t="s">
        <v>372</v>
      </c>
      <c r="I643" t="s">
        <v>373</v>
      </c>
      <c r="J643" t="s">
        <v>58</v>
      </c>
      <c r="K643" t="s">
        <v>73</v>
      </c>
      <c r="L643" t="s">
        <v>2079</v>
      </c>
      <c r="M643" t="s">
        <v>61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50</v>
      </c>
      <c r="U643" t="s">
        <v>51</v>
      </c>
    </row>
    <row r="644" spans="1:21" x14ac:dyDescent="0.3">
      <c r="A644" t="s">
        <v>2080</v>
      </c>
      <c r="B644" s="3"/>
      <c r="C644" s="3"/>
      <c r="D644" t="s">
        <v>2081</v>
      </c>
      <c r="E644" t="s">
        <v>64</v>
      </c>
      <c r="F644" t="s">
        <v>110</v>
      </c>
      <c r="G644" t="s">
        <v>4</v>
      </c>
      <c r="H644" t="s">
        <v>182</v>
      </c>
      <c r="I644" t="s">
        <v>183</v>
      </c>
      <c r="J644" t="s">
        <v>46</v>
      </c>
      <c r="K644" t="s">
        <v>2082</v>
      </c>
      <c r="L644" t="s">
        <v>2083</v>
      </c>
      <c r="M644" t="s">
        <v>49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171</v>
      </c>
      <c r="U644" t="s">
        <v>118</v>
      </c>
    </row>
    <row r="645" spans="1:21" x14ac:dyDescent="0.3">
      <c r="A645" t="s">
        <v>2084</v>
      </c>
      <c r="B645" s="3">
        <v>45327</v>
      </c>
      <c r="C645" s="3">
        <v>45335</v>
      </c>
      <c r="D645" t="s">
        <v>755</v>
      </c>
      <c r="E645" t="s">
        <v>144</v>
      </c>
      <c r="F645" t="s">
        <v>110</v>
      </c>
      <c r="G645" t="s">
        <v>3</v>
      </c>
      <c r="H645" t="s">
        <v>152</v>
      </c>
      <c r="I645" t="s">
        <v>153</v>
      </c>
      <c r="J645" t="s">
        <v>46</v>
      </c>
      <c r="K645" t="s">
        <v>106</v>
      </c>
      <c r="L645" t="s">
        <v>2085</v>
      </c>
      <c r="M645" t="s">
        <v>75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171</v>
      </c>
      <c r="U645" t="s">
        <v>118</v>
      </c>
    </row>
    <row r="646" spans="1:21" x14ac:dyDescent="0.3">
      <c r="A646" t="s">
        <v>2086</v>
      </c>
      <c r="B646" s="3">
        <v>45757</v>
      </c>
      <c r="C646" s="3"/>
      <c r="D646" t="s">
        <v>2087</v>
      </c>
      <c r="E646" t="s">
        <v>86</v>
      </c>
      <c r="F646" t="s">
        <v>42</v>
      </c>
      <c r="G646" t="s">
        <v>4</v>
      </c>
      <c r="H646" t="s">
        <v>114</v>
      </c>
      <c r="I646" t="s">
        <v>115</v>
      </c>
      <c r="J646" t="s">
        <v>58</v>
      </c>
      <c r="K646" t="s">
        <v>81</v>
      </c>
      <c r="L646" t="s">
        <v>2088</v>
      </c>
      <c r="M646" t="s">
        <v>75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50</v>
      </c>
      <c r="U646" t="s">
        <v>51</v>
      </c>
    </row>
    <row r="647" spans="1:21" x14ac:dyDescent="0.3">
      <c r="A647" t="s">
        <v>2089</v>
      </c>
      <c r="B647" s="3">
        <v>45295</v>
      </c>
      <c r="C647" s="3">
        <v>45300</v>
      </c>
      <c r="D647" t="s">
        <v>2090</v>
      </c>
      <c r="E647" t="s">
        <v>284</v>
      </c>
      <c r="F647" t="s">
        <v>42</v>
      </c>
      <c r="G647" t="s">
        <v>4</v>
      </c>
      <c r="H647" t="s">
        <v>161</v>
      </c>
      <c r="I647" t="s">
        <v>162</v>
      </c>
      <c r="J647" t="s">
        <v>58</v>
      </c>
      <c r="K647" t="s">
        <v>81</v>
      </c>
      <c r="L647" t="s">
        <v>2091</v>
      </c>
      <c r="M647" t="s">
        <v>49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50</v>
      </c>
      <c r="U647" t="s">
        <v>51</v>
      </c>
    </row>
    <row r="648" spans="1:21" x14ac:dyDescent="0.3">
      <c r="A648" t="s">
        <v>2092</v>
      </c>
      <c r="B648" s="3"/>
      <c r="C648" s="3">
        <v>45559</v>
      </c>
      <c r="D648" t="s">
        <v>2093</v>
      </c>
      <c r="E648" t="s">
        <v>86</v>
      </c>
      <c r="F648" t="s">
        <v>55</v>
      </c>
      <c r="G648" t="s">
        <v>4</v>
      </c>
      <c r="H648" t="s">
        <v>246</v>
      </c>
      <c r="I648" t="s">
        <v>247</v>
      </c>
      <c r="J648" t="s">
        <v>89</v>
      </c>
      <c r="K648" t="s">
        <v>294</v>
      </c>
      <c r="L648" t="s">
        <v>2094</v>
      </c>
      <c r="M648" t="s">
        <v>67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50</v>
      </c>
      <c r="U648" t="s">
        <v>51</v>
      </c>
    </row>
    <row r="649" spans="1:21" x14ac:dyDescent="0.3">
      <c r="A649" t="s">
        <v>2095</v>
      </c>
      <c r="B649" s="3">
        <v>45658</v>
      </c>
      <c r="C649" s="3">
        <v>45666</v>
      </c>
      <c r="D649" t="s">
        <v>2096</v>
      </c>
      <c r="E649" t="s">
        <v>2097</v>
      </c>
      <c r="F649" t="s">
        <v>55</v>
      </c>
      <c r="G649" t="s">
        <v>3</v>
      </c>
      <c r="H649" t="s">
        <v>138</v>
      </c>
      <c r="I649" t="s">
        <v>139</v>
      </c>
      <c r="J649" t="s">
        <v>46</v>
      </c>
      <c r="K649" t="s">
        <v>65</v>
      </c>
      <c r="L649" t="s">
        <v>2098</v>
      </c>
      <c r="M649" t="s">
        <v>67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50</v>
      </c>
      <c r="U649" t="s">
        <v>51</v>
      </c>
    </row>
    <row r="650" spans="1:21" x14ac:dyDescent="0.3">
      <c r="A650" t="s">
        <v>2099</v>
      </c>
      <c r="B650" s="3">
        <v>45403</v>
      </c>
      <c r="C650" s="3">
        <v>45406</v>
      </c>
      <c r="D650" t="s">
        <v>2100</v>
      </c>
      <c r="E650" t="s">
        <v>94</v>
      </c>
      <c r="F650" t="s">
        <v>55</v>
      </c>
      <c r="G650" t="s">
        <v>5</v>
      </c>
      <c r="H650" t="s">
        <v>99</v>
      </c>
      <c r="I650" t="s">
        <v>100</v>
      </c>
      <c r="J650" t="s">
        <v>46</v>
      </c>
      <c r="K650" t="s">
        <v>65</v>
      </c>
      <c r="L650" t="s">
        <v>2101</v>
      </c>
      <c r="M650" t="s">
        <v>61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171</v>
      </c>
      <c r="U650" t="s">
        <v>118</v>
      </c>
    </row>
    <row r="651" spans="1:21" x14ac:dyDescent="0.3">
      <c r="A651" t="s">
        <v>2102</v>
      </c>
      <c r="B651" s="3">
        <v>45880</v>
      </c>
      <c r="C651" s="3">
        <v>45888</v>
      </c>
      <c r="D651" t="s">
        <v>2103</v>
      </c>
      <c r="E651" t="s">
        <v>284</v>
      </c>
      <c r="F651" t="s">
        <v>55</v>
      </c>
      <c r="G651" t="s">
        <v>5</v>
      </c>
      <c r="H651" t="s">
        <v>202</v>
      </c>
      <c r="I651" t="s">
        <v>203</v>
      </c>
      <c r="J651" t="s">
        <v>89</v>
      </c>
      <c r="K651" t="s">
        <v>90</v>
      </c>
      <c r="L651" t="s">
        <v>2104</v>
      </c>
      <c r="M651" t="s">
        <v>75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50</v>
      </c>
      <c r="U651" t="s">
        <v>51</v>
      </c>
    </row>
    <row r="652" spans="1:21" x14ac:dyDescent="0.3">
      <c r="A652" t="s">
        <v>2105</v>
      </c>
      <c r="B652" s="3"/>
      <c r="C652" s="3">
        <v>45403</v>
      </c>
      <c r="D652" t="s">
        <v>401</v>
      </c>
      <c r="E652" t="s">
        <v>144</v>
      </c>
      <c r="F652" t="s">
        <v>110</v>
      </c>
      <c r="G652" t="s">
        <v>4</v>
      </c>
      <c r="H652" t="s">
        <v>161</v>
      </c>
      <c r="I652" t="s">
        <v>162</v>
      </c>
      <c r="J652" t="s">
        <v>89</v>
      </c>
      <c r="K652" t="s">
        <v>90</v>
      </c>
      <c r="L652" t="s">
        <v>2106</v>
      </c>
      <c r="M652" t="s">
        <v>61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171</v>
      </c>
      <c r="U652" t="s">
        <v>118</v>
      </c>
    </row>
    <row r="653" spans="1:21" x14ac:dyDescent="0.3">
      <c r="A653" t="s">
        <v>2107</v>
      </c>
      <c r="B653" s="3">
        <v>45875</v>
      </c>
      <c r="C653" s="3">
        <v>45878</v>
      </c>
      <c r="D653" t="s">
        <v>2108</v>
      </c>
      <c r="E653" t="s">
        <v>54</v>
      </c>
      <c r="F653" t="s">
        <v>55</v>
      </c>
      <c r="G653" t="s">
        <v>5</v>
      </c>
      <c r="H653" t="s">
        <v>99</v>
      </c>
      <c r="I653" t="s">
        <v>100</v>
      </c>
      <c r="J653" t="s">
        <v>46</v>
      </c>
      <c r="K653" t="s">
        <v>47</v>
      </c>
      <c r="L653" t="s">
        <v>2109</v>
      </c>
      <c r="M653" t="s">
        <v>49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50</v>
      </c>
      <c r="U653" t="s">
        <v>51</v>
      </c>
    </row>
    <row r="654" spans="1:21" x14ac:dyDescent="0.3">
      <c r="A654" t="s">
        <v>2110</v>
      </c>
      <c r="B654" s="3"/>
      <c r="C654" s="3">
        <v>45737</v>
      </c>
      <c r="D654" t="s">
        <v>1746</v>
      </c>
      <c r="E654" t="s">
        <v>148</v>
      </c>
      <c r="F654" t="s">
        <v>42</v>
      </c>
      <c r="G654" t="s">
        <v>3</v>
      </c>
      <c r="H654" t="s">
        <v>152</v>
      </c>
      <c r="I654" t="s">
        <v>153</v>
      </c>
      <c r="J654" t="s">
        <v>46</v>
      </c>
      <c r="K654" t="s">
        <v>169</v>
      </c>
      <c r="L654" t="s">
        <v>2111</v>
      </c>
      <c r="M654" t="s">
        <v>75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50</v>
      </c>
      <c r="U654" t="s">
        <v>51</v>
      </c>
    </row>
    <row r="655" spans="1:21" x14ac:dyDescent="0.3">
      <c r="A655" t="s">
        <v>2112</v>
      </c>
      <c r="B655" s="3">
        <v>45751</v>
      </c>
      <c r="C655" s="3">
        <v>45842</v>
      </c>
      <c r="D655" t="s">
        <v>2113</v>
      </c>
      <c r="E655" t="s">
        <v>130</v>
      </c>
      <c r="F655" t="s">
        <v>55</v>
      </c>
      <c r="G655" t="s">
        <v>5</v>
      </c>
      <c r="H655" t="s">
        <v>265</v>
      </c>
      <c r="I655" t="s">
        <v>266</v>
      </c>
      <c r="J655" t="s">
        <v>89</v>
      </c>
      <c r="K655" t="s">
        <v>95</v>
      </c>
      <c r="L655" t="s">
        <v>2114</v>
      </c>
      <c r="M655" t="s">
        <v>49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50</v>
      </c>
      <c r="U655" t="s">
        <v>51</v>
      </c>
    </row>
    <row r="656" spans="1:21" x14ac:dyDescent="0.3">
      <c r="A656" t="s">
        <v>2115</v>
      </c>
      <c r="B656" s="3">
        <v>46001</v>
      </c>
      <c r="C656" s="3">
        <v>45946</v>
      </c>
      <c r="D656" t="s">
        <v>967</v>
      </c>
      <c r="E656" t="s">
        <v>178</v>
      </c>
      <c r="F656" t="s">
        <v>105</v>
      </c>
      <c r="G656" t="s">
        <v>4</v>
      </c>
      <c r="H656" t="s">
        <v>161</v>
      </c>
      <c r="I656" t="s">
        <v>162</v>
      </c>
      <c r="J656" t="s">
        <v>89</v>
      </c>
      <c r="K656" t="s">
        <v>294</v>
      </c>
      <c r="L656" t="s">
        <v>2116</v>
      </c>
      <c r="M656" t="s">
        <v>61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50</v>
      </c>
      <c r="U656" t="s">
        <v>51</v>
      </c>
    </row>
    <row r="657" spans="1:21" x14ac:dyDescent="0.3">
      <c r="A657" t="s">
        <v>2117</v>
      </c>
      <c r="B657" s="3"/>
      <c r="C657" s="3"/>
      <c r="D657" t="s">
        <v>2118</v>
      </c>
      <c r="E657" t="s">
        <v>94</v>
      </c>
      <c r="F657" t="s">
        <v>110</v>
      </c>
      <c r="G657" t="s">
        <v>4</v>
      </c>
      <c r="H657" t="s">
        <v>114</v>
      </c>
      <c r="I657" t="s">
        <v>115</v>
      </c>
      <c r="J657" t="s">
        <v>58</v>
      </c>
      <c r="K657" t="s">
        <v>73</v>
      </c>
      <c r="L657" t="s">
        <v>2119</v>
      </c>
      <c r="M657" t="s">
        <v>75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50</v>
      </c>
      <c r="U657" t="s">
        <v>51</v>
      </c>
    </row>
    <row r="658" spans="1:21" x14ac:dyDescent="0.3">
      <c r="A658" t="s">
        <v>2120</v>
      </c>
      <c r="B658" s="3">
        <v>45419</v>
      </c>
      <c r="C658" s="3"/>
      <c r="D658" t="s">
        <v>2121</v>
      </c>
      <c r="E658" t="s">
        <v>94</v>
      </c>
      <c r="F658" t="s">
        <v>55</v>
      </c>
      <c r="G658" t="s">
        <v>3</v>
      </c>
      <c r="H658" t="s">
        <v>254</v>
      </c>
      <c r="I658" t="s">
        <v>255</v>
      </c>
      <c r="J658" t="s">
        <v>89</v>
      </c>
      <c r="K658" t="s">
        <v>294</v>
      </c>
      <c r="L658" t="s">
        <v>2122</v>
      </c>
      <c r="M658" t="s">
        <v>61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50</v>
      </c>
      <c r="U658" t="s">
        <v>51</v>
      </c>
    </row>
    <row r="659" spans="1:21" x14ac:dyDescent="0.3">
      <c r="A659" t="s">
        <v>2123</v>
      </c>
      <c r="B659" s="3">
        <v>45846</v>
      </c>
      <c r="C659" s="3">
        <v>45879</v>
      </c>
      <c r="D659" t="s">
        <v>2124</v>
      </c>
      <c r="E659" t="s">
        <v>104</v>
      </c>
      <c r="F659" t="s">
        <v>110</v>
      </c>
      <c r="G659" t="s">
        <v>4</v>
      </c>
      <c r="H659" t="s">
        <v>161</v>
      </c>
      <c r="I659" t="s">
        <v>162</v>
      </c>
      <c r="J659" t="s">
        <v>46</v>
      </c>
      <c r="K659" t="s">
        <v>140</v>
      </c>
      <c r="L659" t="s">
        <v>2125</v>
      </c>
      <c r="M659" t="s">
        <v>49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50</v>
      </c>
      <c r="U659" t="s">
        <v>51</v>
      </c>
    </row>
    <row r="660" spans="1:21" x14ac:dyDescent="0.3">
      <c r="A660" t="s">
        <v>2126</v>
      </c>
      <c r="B660" s="3">
        <v>45817</v>
      </c>
      <c r="C660" s="3">
        <v>45997</v>
      </c>
      <c r="D660" t="s">
        <v>2127</v>
      </c>
      <c r="E660" t="s">
        <v>148</v>
      </c>
      <c r="F660" t="s">
        <v>42</v>
      </c>
      <c r="H660" t="s">
        <v>161</v>
      </c>
      <c r="I660" t="s">
        <v>162</v>
      </c>
      <c r="J660" t="s">
        <v>46</v>
      </c>
      <c r="K660" t="s">
        <v>65</v>
      </c>
      <c r="L660" t="s">
        <v>2128</v>
      </c>
      <c r="M660" t="s">
        <v>67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117</v>
      </c>
      <c r="U660" t="s">
        <v>83</v>
      </c>
    </row>
    <row r="661" spans="1:21" x14ac:dyDescent="0.3">
      <c r="A661" t="s">
        <v>2129</v>
      </c>
      <c r="B661" s="3">
        <v>45678</v>
      </c>
      <c r="C661" s="3">
        <v>45679</v>
      </c>
      <c r="D661" t="s">
        <v>2130</v>
      </c>
      <c r="E661" t="s">
        <v>178</v>
      </c>
      <c r="F661" t="s">
        <v>105</v>
      </c>
      <c r="G661" t="s">
        <v>5</v>
      </c>
      <c r="H661" t="s">
        <v>192</v>
      </c>
      <c r="I661" t="s">
        <v>193</v>
      </c>
      <c r="J661" t="s">
        <v>89</v>
      </c>
      <c r="K661" t="s">
        <v>187</v>
      </c>
      <c r="L661" t="s">
        <v>2131</v>
      </c>
      <c r="M661" t="s">
        <v>49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117</v>
      </c>
      <c r="U661" t="s">
        <v>83</v>
      </c>
    </row>
    <row r="662" spans="1:21" x14ac:dyDescent="0.3">
      <c r="A662" t="s">
        <v>2132</v>
      </c>
      <c r="B662" s="3"/>
      <c r="C662" s="3">
        <v>45853</v>
      </c>
      <c r="D662" t="s">
        <v>2133</v>
      </c>
      <c r="E662" t="s">
        <v>70</v>
      </c>
      <c r="F662" t="s">
        <v>55</v>
      </c>
      <c r="G662" t="s">
        <v>4</v>
      </c>
      <c r="H662" t="s">
        <v>246</v>
      </c>
      <c r="I662" t="s">
        <v>247</v>
      </c>
      <c r="J662" t="s">
        <v>89</v>
      </c>
      <c r="K662" t="s">
        <v>187</v>
      </c>
      <c r="L662" t="s">
        <v>2134</v>
      </c>
      <c r="M662" t="s">
        <v>61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50</v>
      </c>
      <c r="U662" t="s">
        <v>51</v>
      </c>
    </row>
    <row r="663" spans="1:21" x14ac:dyDescent="0.3">
      <c r="A663" t="s">
        <v>2135</v>
      </c>
      <c r="B663" s="3">
        <v>45429</v>
      </c>
      <c r="C663" s="3">
        <v>45434</v>
      </c>
      <c r="D663" t="s">
        <v>2136</v>
      </c>
      <c r="E663" t="s">
        <v>148</v>
      </c>
      <c r="F663" t="s">
        <v>42</v>
      </c>
      <c r="G663" t="s">
        <v>5</v>
      </c>
      <c r="H663" t="s">
        <v>99</v>
      </c>
      <c r="I663" t="s">
        <v>100</v>
      </c>
      <c r="J663" t="s">
        <v>89</v>
      </c>
      <c r="K663" t="s">
        <v>294</v>
      </c>
      <c r="L663" t="s">
        <v>2137</v>
      </c>
      <c r="M663" t="s">
        <v>49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50</v>
      </c>
      <c r="U663" t="s">
        <v>51</v>
      </c>
    </row>
    <row r="664" spans="1:21" x14ac:dyDescent="0.3">
      <c r="A664" t="s">
        <v>2138</v>
      </c>
      <c r="B664" s="3">
        <v>45305</v>
      </c>
      <c r="C664" s="3">
        <v>45309</v>
      </c>
      <c r="D664" t="s">
        <v>2139</v>
      </c>
      <c r="E664" t="s">
        <v>54</v>
      </c>
      <c r="F664" t="s">
        <v>110</v>
      </c>
      <c r="G664" t="s">
        <v>6</v>
      </c>
      <c r="H664" t="s">
        <v>44</v>
      </c>
      <c r="I664" t="s">
        <v>125</v>
      </c>
      <c r="J664" t="s">
        <v>89</v>
      </c>
      <c r="K664" t="s">
        <v>294</v>
      </c>
      <c r="L664" t="s">
        <v>2140</v>
      </c>
      <c r="M664" t="s">
        <v>61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50</v>
      </c>
      <c r="U664" t="s">
        <v>51</v>
      </c>
    </row>
    <row r="665" spans="1:21" x14ac:dyDescent="0.3">
      <c r="A665" t="s">
        <v>2141</v>
      </c>
      <c r="B665" s="3">
        <v>45327</v>
      </c>
      <c r="C665" s="3">
        <v>45420</v>
      </c>
      <c r="D665" t="s">
        <v>2142</v>
      </c>
      <c r="E665" t="s">
        <v>134</v>
      </c>
      <c r="F665" t="s">
        <v>110</v>
      </c>
      <c r="G665" t="s">
        <v>4</v>
      </c>
      <c r="H665" t="s">
        <v>246</v>
      </c>
      <c r="I665" t="s">
        <v>247</v>
      </c>
      <c r="J665" t="s">
        <v>89</v>
      </c>
      <c r="K665" t="s">
        <v>95</v>
      </c>
      <c r="L665" t="s">
        <v>2143</v>
      </c>
      <c r="M665" t="s">
        <v>49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50</v>
      </c>
      <c r="U665" t="s">
        <v>51</v>
      </c>
    </row>
    <row r="666" spans="1:21" x14ac:dyDescent="0.3">
      <c r="A666" t="s">
        <v>2144</v>
      </c>
      <c r="B666" s="3">
        <v>45633</v>
      </c>
      <c r="C666" s="3">
        <v>45636</v>
      </c>
      <c r="D666" t="s">
        <v>2145</v>
      </c>
      <c r="E666" t="s">
        <v>54</v>
      </c>
      <c r="F666" t="s">
        <v>110</v>
      </c>
      <c r="G666" t="s">
        <v>5</v>
      </c>
      <c r="H666" t="s">
        <v>71</v>
      </c>
      <c r="I666" t="s">
        <v>72</v>
      </c>
      <c r="J666" t="s">
        <v>89</v>
      </c>
      <c r="K666" t="s">
        <v>90</v>
      </c>
      <c r="L666" t="s">
        <v>2146</v>
      </c>
      <c r="M666" t="s">
        <v>75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50</v>
      </c>
      <c r="U666" t="s">
        <v>51</v>
      </c>
    </row>
    <row r="667" spans="1:21" x14ac:dyDescent="0.3">
      <c r="A667" t="s">
        <v>2147</v>
      </c>
      <c r="B667" s="3">
        <v>45670</v>
      </c>
      <c r="C667" s="3"/>
      <c r="D667" t="s">
        <v>2148</v>
      </c>
      <c r="E667" t="s">
        <v>2149</v>
      </c>
      <c r="F667" t="s">
        <v>110</v>
      </c>
      <c r="G667" t="s">
        <v>6</v>
      </c>
      <c r="H667" t="s">
        <v>197</v>
      </c>
      <c r="I667" t="s">
        <v>198</v>
      </c>
      <c r="J667" t="s">
        <v>46</v>
      </c>
      <c r="K667" t="s">
        <v>65</v>
      </c>
      <c r="L667" t="s">
        <v>2150</v>
      </c>
      <c r="M667" t="s">
        <v>75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171</v>
      </c>
      <c r="U667" t="s">
        <v>83</v>
      </c>
    </row>
    <row r="668" spans="1:21" x14ac:dyDescent="0.3">
      <c r="A668" t="s">
        <v>2151</v>
      </c>
      <c r="B668" s="3">
        <v>45464</v>
      </c>
      <c r="C668" s="3"/>
      <c r="D668" t="s">
        <v>2152</v>
      </c>
      <c r="E668" t="s">
        <v>157</v>
      </c>
      <c r="F668" t="s">
        <v>55</v>
      </c>
      <c r="G668" t="s">
        <v>3</v>
      </c>
      <c r="H668" t="s">
        <v>138</v>
      </c>
      <c r="I668" t="s">
        <v>139</v>
      </c>
      <c r="J668" t="s">
        <v>89</v>
      </c>
      <c r="K668" t="s">
        <v>95</v>
      </c>
      <c r="L668" t="s">
        <v>2153</v>
      </c>
      <c r="M668" t="s">
        <v>61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50</v>
      </c>
      <c r="U668" t="s">
        <v>51</v>
      </c>
    </row>
    <row r="669" spans="1:21" x14ac:dyDescent="0.3">
      <c r="A669" t="s">
        <v>2154</v>
      </c>
      <c r="B669" s="3">
        <v>45797</v>
      </c>
      <c r="C669" s="3">
        <v>45804</v>
      </c>
      <c r="D669" t="s">
        <v>2155</v>
      </c>
      <c r="E669" t="s">
        <v>178</v>
      </c>
      <c r="F669" t="s">
        <v>55</v>
      </c>
      <c r="G669" t="s">
        <v>4</v>
      </c>
      <c r="H669" t="s">
        <v>161</v>
      </c>
      <c r="I669" t="s">
        <v>162</v>
      </c>
      <c r="J669" t="s">
        <v>89</v>
      </c>
      <c r="K669" t="s">
        <v>294</v>
      </c>
      <c r="L669" t="s">
        <v>2156</v>
      </c>
      <c r="M669" t="s">
        <v>75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127</v>
      </c>
      <c r="U669" t="s">
        <v>118</v>
      </c>
    </row>
    <row r="670" spans="1:21" x14ac:dyDescent="0.3">
      <c r="A670" t="s">
        <v>2157</v>
      </c>
      <c r="B670" s="3"/>
      <c r="C670" s="3">
        <v>45619</v>
      </c>
      <c r="D670" t="s">
        <v>2158</v>
      </c>
      <c r="E670" t="s">
        <v>54</v>
      </c>
      <c r="F670" t="s">
        <v>105</v>
      </c>
      <c r="G670" t="s">
        <v>6</v>
      </c>
      <c r="H670" t="s">
        <v>197</v>
      </c>
      <c r="I670" t="s">
        <v>198</v>
      </c>
      <c r="J670" t="s">
        <v>46</v>
      </c>
      <c r="K670" t="s">
        <v>47</v>
      </c>
      <c r="L670" t="s">
        <v>2159</v>
      </c>
      <c r="M670" t="s">
        <v>49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50</v>
      </c>
      <c r="U670" t="s">
        <v>51</v>
      </c>
    </row>
    <row r="671" spans="1:21" x14ac:dyDescent="0.3">
      <c r="A671" t="s">
        <v>2160</v>
      </c>
      <c r="B671" s="3">
        <v>45375</v>
      </c>
      <c r="C671" s="3">
        <v>45383</v>
      </c>
      <c r="D671" t="s">
        <v>2161</v>
      </c>
      <c r="E671" t="s">
        <v>78</v>
      </c>
      <c r="F671" t="s">
        <v>110</v>
      </c>
      <c r="G671" t="s">
        <v>6</v>
      </c>
      <c r="H671" t="s">
        <v>79</v>
      </c>
      <c r="I671" t="s">
        <v>80</v>
      </c>
      <c r="J671" t="s">
        <v>58</v>
      </c>
      <c r="K671" t="s">
        <v>59</v>
      </c>
      <c r="L671" t="s">
        <v>2162</v>
      </c>
      <c r="M671" t="s">
        <v>49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50</v>
      </c>
      <c r="U671" t="s">
        <v>51</v>
      </c>
    </row>
    <row r="672" spans="1:21" x14ac:dyDescent="0.3">
      <c r="A672" t="s">
        <v>2163</v>
      </c>
      <c r="B672" s="3">
        <v>45690</v>
      </c>
      <c r="C672" s="3">
        <v>45694</v>
      </c>
      <c r="D672" t="s">
        <v>1653</v>
      </c>
      <c r="E672" t="s">
        <v>148</v>
      </c>
      <c r="F672" t="s">
        <v>124</v>
      </c>
      <c r="G672" t="s">
        <v>3</v>
      </c>
      <c r="H672" t="s">
        <v>152</v>
      </c>
      <c r="I672" t="s">
        <v>153</v>
      </c>
      <c r="J672" t="s">
        <v>58</v>
      </c>
      <c r="K672" t="s">
        <v>59</v>
      </c>
      <c r="L672" t="s">
        <v>2164</v>
      </c>
      <c r="M672" t="s">
        <v>75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50</v>
      </c>
      <c r="U672" t="s">
        <v>51</v>
      </c>
    </row>
    <row r="673" spans="1:21" x14ac:dyDescent="0.3">
      <c r="A673" t="s">
        <v>2165</v>
      </c>
      <c r="B673" s="3">
        <v>45373</v>
      </c>
      <c r="C673" s="3">
        <v>45378</v>
      </c>
      <c r="D673" t="s">
        <v>2166</v>
      </c>
      <c r="E673" t="s">
        <v>104</v>
      </c>
      <c r="F673" t="s">
        <v>110</v>
      </c>
      <c r="G673" t="s">
        <v>6</v>
      </c>
      <c r="H673" t="s">
        <v>207</v>
      </c>
      <c r="I673" t="s">
        <v>208</v>
      </c>
      <c r="J673" t="s">
        <v>89</v>
      </c>
      <c r="K673" t="s">
        <v>2167</v>
      </c>
      <c r="L673" t="s">
        <v>2168</v>
      </c>
      <c r="M673" t="s">
        <v>49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50</v>
      </c>
      <c r="U673" t="s">
        <v>51</v>
      </c>
    </row>
    <row r="674" spans="1:21" x14ac:dyDescent="0.3">
      <c r="A674" t="s">
        <v>2169</v>
      </c>
      <c r="B674" s="3">
        <v>45539</v>
      </c>
      <c r="C674" s="3">
        <v>45540</v>
      </c>
      <c r="D674" t="s">
        <v>2170</v>
      </c>
      <c r="E674" t="s">
        <v>104</v>
      </c>
      <c r="F674" t="s">
        <v>105</v>
      </c>
      <c r="G674" t="s">
        <v>6</v>
      </c>
      <c r="H674" t="s">
        <v>87</v>
      </c>
      <c r="I674" t="s">
        <v>88</v>
      </c>
      <c r="J674" t="s">
        <v>58</v>
      </c>
      <c r="K674" t="s">
        <v>81</v>
      </c>
      <c r="L674" t="s">
        <v>2171</v>
      </c>
      <c r="M674" t="s">
        <v>75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50</v>
      </c>
      <c r="U674" t="s">
        <v>118</v>
      </c>
    </row>
    <row r="675" spans="1:21" x14ac:dyDescent="0.3">
      <c r="A675" t="s">
        <v>2172</v>
      </c>
      <c r="B675" s="3">
        <v>45701</v>
      </c>
      <c r="C675" s="3">
        <v>45704</v>
      </c>
      <c r="D675" t="s">
        <v>2173</v>
      </c>
      <c r="E675" t="s">
        <v>70</v>
      </c>
      <c r="F675" t="s">
        <v>55</v>
      </c>
      <c r="G675" t="s">
        <v>6</v>
      </c>
      <c r="H675" t="s">
        <v>44</v>
      </c>
      <c r="I675" t="s">
        <v>125</v>
      </c>
      <c r="J675" t="s">
        <v>58</v>
      </c>
      <c r="K675" t="s">
        <v>174</v>
      </c>
      <c r="L675" t="s">
        <v>2174</v>
      </c>
      <c r="M675" t="s">
        <v>49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50</v>
      </c>
      <c r="U675" t="s">
        <v>51</v>
      </c>
    </row>
    <row r="676" spans="1:21" x14ac:dyDescent="0.3">
      <c r="A676" t="s">
        <v>2175</v>
      </c>
      <c r="B676" s="3">
        <v>45430</v>
      </c>
      <c r="C676" s="3">
        <v>45433</v>
      </c>
      <c r="D676" t="s">
        <v>2176</v>
      </c>
      <c r="E676" t="s">
        <v>86</v>
      </c>
      <c r="F676" t="s">
        <v>105</v>
      </c>
      <c r="G676" t="s">
        <v>4</v>
      </c>
      <c r="H676" t="s">
        <v>246</v>
      </c>
      <c r="I676" t="s">
        <v>247</v>
      </c>
      <c r="J676" t="s">
        <v>89</v>
      </c>
      <c r="K676" t="s">
        <v>90</v>
      </c>
      <c r="L676" t="s">
        <v>2177</v>
      </c>
      <c r="M676" t="s">
        <v>49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127</v>
      </c>
      <c r="U676" t="s">
        <v>118</v>
      </c>
    </row>
    <row r="677" spans="1:21" x14ac:dyDescent="0.3">
      <c r="A677" t="s">
        <v>2178</v>
      </c>
      <c r="B677" s="3">
        <v>45815</v>
      </c>
      <c r="C677" s="3">
        <v>45936</v>
      </c>
      <c r="D677" t="s">
        <v>2075</v>
      </c>
      <c r="E677" t="s">
        <v>144</v>
      </c>
      <c r="F677" t="s">
        <v>42</v>
      </c>
      <c r="G677" t="s">
        <v>3</v>
      </c>
      <c r="H677" t="s">
        <v>44</v>
      </c>
      <c r="I677" t="s">
        <v>45</v>
      </c>
      <c r="J677" t="s">
        <v>58</v>
      </c>
      <c r="K677" t="s">
        <v>73</v>
      </c>
      <c r="L677" t="s">
        <v>2179</v>
      </c>
      <c r="M677" t="s">
        <v>61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50</v>
      </c>
      <c r="U677" t="s">
        <v>51</v>
      </c>
    </row>
    <row r="678" spans="1:21" x14ac:dyDescent="0.3">
      <c r="A678" t="s">
        <v>2180</v>
      </c>
      <c r="B678" s="3">
        <v>45970</v>
      </c>
      <c r="C678" s="3"/>
      <c r="D678" t="s">
        <v>2181</v>
      </c>
      <c r="E678" t="s">
        <v>134</v>
      </c>
      <c r="F678" t="s">
        <v>55</v>
      </c>
      <c r="G678" t="s">
        <v>3</v>
      </c>
      <c r="H678" t="s">
        <v>372</v>
      </c>
      <c r="I678" t="s">
        <v>373</v>
      </c>
      <c r="J678" t="s">
        <v>89</v>
      </c>
      <c r="K678" t="s">
        <v>187</v>
      </c>
      <c r="L678" t="s">
        <v>2182</v>
      </c>
      <c r="M678" t="s">
        <v>61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50</v>
      </c>
      <c r="U678" t="s">
        <v>51</v>
      </c>
    </row>
    <row r="679" spans="1:21" x14ac:dyDescent="0.3">
      <c r="A679" t="s">
        <v>2183</v>
      </c>
      <c r="B679" s="3">
        <v>45465</v>
      </c>
      <c r="C679" s="3">
        <v>45470</v>
      </c>
      <c r="D679" t="s">
        <v>40</v>
      </c>
      <c r="E679" t="s">
        <v>64</v>
      </c>
      <c r="F679" t="s">
        <v>110</v>
      </c>
      <c r="G679" t="s">
        <v>5</v>
      </c>
      <c r="H679" t="s">
        <v>192</v>
      </c>
      <c r="I679" t="s">
        <v>193</v>
      </c>
      <c r="J679" t="s">
        <v>58</v>
      </c>
      <c r="K679" t="s">
        <v>81</v>
      </c>
      <c r="L679" t="s">
        <v>2184</v>
      </c>
      <c r="M679" t="s">
        <v>61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50</v>
      </c>
      <c r="U679" t="s">
        <v>51</v>
      </c>
    </row>
    <row r="680" spans="1:21" x14ac:dyDescent="0.3">
      <c r="A680" t="s">
        <v>2185</v>
      </c>
      <c r="B680" s="3">
        <v>45620</v>
      </c>
      <c r="C680" s="3">
        <v>45303</v>
      </c>
      <c r="D680" t="s">
        <v>2186</v>
      </c>
      <c r="E680" t="s">
        <v>284</v>
      </c>
      <c r="F680" t="s">
        <v>105</v>
      </c>
      <c r="G680" t="s">
        <v>5</v>
      </c>
      <c r="H680" t="s">
        <v>192</v>
      </c>
      <c r="I680" t="s">
        <v>193</v>
      </c>
      <c r="J680" t="s">
        <v>58</v>
      </c>
      <c r="K680" t="s">
        <v>59</v>
      </c>
      <c r="L680" t="s">
        <v>2187</v>
      </c>
      <c r="M680" t="s">
        <v>49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50</v>
      </c>
      <c r="U680" t="s">
        <v>51</v>
      </c>
    </row>
    <row r="681" spans="1:21" x14ac:dyDescent="0.3">
      <c r="A681" t="s">
        <v>2188</v>
      </c>
      <c r="B681" s="3">
        <v>45885</v>
      </c>
      <c r="C681" s="3">
        <v>45892</v>
      </c>
      <c r="D681" t="s">
        <v>2189</v>
      </c>
      <c r="E681" t="s">
        <v>157</v>
      </c>
      <c r="F681" t="s">
        <v>105</v>
      </c>
      <c r="G681" t="s">
        <v>3</v>
      </c>
      <c r="H681" t="s">
        <v>138</v>
      </c>
      <c r="I681" t="s">
        <v>139</v>
      </c>
      <c r="J681" t="s">
        <v>89</v>
      </c>
      <c r="K681" t="s">
        <v>95</v>
      </c>
      <c r="L681" t="s">
        <v>2190</v>
      </c>
      <c r="M681" t="s">
        <v>61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117</v>
      </c>
      <c r="U681" t="s">
        <v>83</v>
      </c>
    </row>
    <row r="682" spans="1:21" x14ac:dyDescent="0.3">
      <c r="A682" t="s">
        <v>2191</v>
      </c>
      <c r="B682" s="3">
        <v>45441</v>
      </c>
      <c r="C682" s="3">
        <v>45448</v>
      </c>
      <c r="D682" t="s">
        <v>2192</v>
      </c>
      <c r="E682" t="s">
        <v>284</v>
      </c>
      <c r="F682" t="s">
        <v>105</v>
      </c>
      <c r="G682" t="s">
        <v>5</v>
      </c>
      <c r="H682" t="s">
        <v>265</v>
      </c>
      <c r="I682" t="s">
        <v>266</v>
      </c>
      <c r="J682" t="s">
        <v>89</v>
      </c>
      <c r="K682" t="s">
        <v>90</v>
      </c>
      <c r="L682" t="s">
        <v>2193</v>
      </c>
      <c r="M682" t="s">
        <v>67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50</v>
      </c>
      <c r="U682" t="s">
        <v>51</v>
      </c>
    </row>
    <row r="683" spans="1:21" x14ac:dyDescent="0.3">
      <c r="A683" t="s">
        <v>2194</v>
      </c>
      <c r="B683" s="3">
        <v>45389</v>
      </c>
      <c r="C683" s="3">
        <v>45483</v>
      </c>
      <c r="D683" t="s">
        <v>2195</v>
      </c>
      <c r="E683" t="s">
        <v>86</v>
      </c>
      <c r="F683" t="s">
        <v>105</v>
      </c>
      <c r="G683" t="s">
        <v>3</v>
      </c>
      <c r="H683" t="s">
        <v>372</v>
      </c>
      <c r="I683" t="s">
        <v>373</v>
      </c>
      <c r="J683" t="s">
        <v>58</v>
      </c>
      <c r="K683" t="s">
        <v>59</v>
      </c>
      <c r="L683" t="s">
        <v>2196</v>
      </c>
      <c r="M683" t="s">
        <v>49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50</v>
      </c>
      <c r="U683" t="s">
        <v>83</v>
      </c>
    </row>
    <row r="684" spans="1:21" x14ac:dyDescent="0.3">
      <c r="A684" t="s">
        <v>2197</v>
      </c>
      <c r="B684" s="3">
        <v>45693</v>
      </c>
      <c r="C684" s="3">
        <v>45693</v>
      </c>
      <c r="D684" t="s">
        <v>2198</v>
      </c>
      <c r="E684" t="s">
        <v>2199</v>
      </c>
      <c r="F684" t="s">
        <v>105</v>
      </c>
      <c r="G684" t="s">
        <v>3</v>
      </c>
      <c r="H684" t="s">
        <v>254</v>
      </c>
      <c r="I684" t="s">
        <v>255</v>
      </c>
      <c r="J684" t="s">
        <v>46</v>
      </c>
      <c r="K684" t="s">
        <v>140</v>
      </c>
      <c r="L684" t="s">
        <v>2200</v>
      </c>
      <c r="M684" t="s">
        <v>61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50</v>
      </c>
      <c r="U684" t="s">
        <v>51</v>
      </c>
    </row>
    <row r="685" spans="1:21" x14ac:dyDescent="0.3">
      <c r="A685" t="s">
        <v>2201</v>
      </c>
      <c r="B685" s="3">
        <v>45858</v>
      </c>
      <c r="C685" s="3">
        <v>45862</v>
      </c>
      <c r="D685" t="s">
        <v>2202</v>
      </c>
      <c r="E685" t="s">
        <v>70</v>
      </c>
      <c r="F685" t="s">
        <v>55</v>
      </c>
      <c r="G685" t="s">
        <v>5</v>
      </c>
      <c r="H685" t="s">
        <v>71</v>
      </c>
      <c r="I685" t="s">
        <v>72</v>
      </c>
      <c r="J685" t="s">
        <v>58</v>
      </c>
      <c r="K685" t="s">
        <v>73</v>
      </c>
      <c r="L685" t="s">
        <v>2203</v>
      </c>
      <c r="M685" t="s">
        <v>49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117</v>
      </c>
      <c r="U685" t="s">
        <v>83</v>
      </c>
    </row>
    <row r="686" spans="1:21" x14ac:dyDescent="0.3">
      <c r="A686" t="s">
        <v>2204</v>
      </c>
      <c r="B686" s="3">
        <v>45859</v>
      </c>
      <c r="C686" s="3">
        <v>45859</v>
      </c>
      <c r="D686" t="s">
        <v>2205</v>
      </c>
      <c r="E686" t="s">
        <v>64</v>
      </c>
      <c r="F686" t="s">
        <v>110</v>
      </c>
      <c r="G686" t="s">
        <v>5</v>
      </c>
      <c r="H686" t="s">
        <v>265</v>
      </c>
      <c r="I686" t="s">
        <v>266</v>
      </c>
      <c r="J686" t="s">
        <v>58</v>
      </c>
      <c r="K686" t="s">
        <v>174</v>
      </c>
      <c r="L686" t="s">
        <v>2206</v>
      </c>
      <c r="M686" t="s">
        <v>67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117</v>
      </c>
      <c r="U686" t="s">
        <v>83</v>
      </c>
    </row>
    <row r="687" spans="1:21" x14ac:dyDescent="0.3">
      <c r="A687" t="s">
        <v>2207</v>
      </c>
      <c r="B687" s="3">
        <v>45931</v>
      </c>
      <c r="C687" s="3">
        <v>45933</v>
      </c>
      <c r="D687" t="s">
        <v>1865</v>
      </c>
      <c r="E687" t="s">
        <v>94</v>
      </c>
      <c r="F687" t="s">
        <v>105</v>
      </c>
      <c r="G687" t="s">
        <v>6</v>
      </c>
      <c r="H687" t="s">
        <v>207</v>
      </c>
      <c r="I687" t="s">
        <v>208</v>
      </c>
      <c r="J687" t="s">
        <v>46</v>
      </c>
      <c r="K687" t="s">
        <v>65</v>
      </c>
      <c r="L687" t="s">
        <v>2208</v>
      </c>
      <c r="M687" t="s">
        <v>75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171</v>
      </c>
      <c r="U687" t="s">
        <v>83</v>
      </c>
    </row>
    <row r="688" spans="1:21" x14ac:dyDescent="0.3">
      <c r="A688" t="s">
        <v>2209</v>
      </c>
      <c r="B688" s="3">
        <v>45376</v>
      </c>
      <c r="C688" s="3">
        <v>45326</v>
      </c>
      <c r="D688" t="s">
        <v>2210</v>
      </c>
      <c r="E688" t="s">
        <v>148</v>
      </c>
      <c r="F688" t="s">
        <v>110</v>
      </c>
      <c r="G688" t="s">
        <v>5</v>
      </c>
      <c r="H688" t="s">
        <v>265</v>
      </c>
      <c r="I688" t="s">
        <v>266</v>
      </c>
      <c r="J688" t="s">
        <v>89</v>
      </c>
      <c r="K688" t="s">
        <v>95</v>
      </c>
      <c r="L688" t="s">
        <v>2211</v>
      </c>
      <c r="M688" t="s">
        <v>75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50</v>
      </c>
      <c r="U688" t="s">
        <v>51</v>
      </c>
    </row>
    <row r="689" spans="1:21" x14ac:dyDescent="0.3">
      <c r="A689" t="s">
        <v>2212</v>
      </c>
      <c r="B689" s="3">
        <v>45938</v>
      </c>
      <c r="C689" s="3">
        <v>45943</v>
      </c>
      <c r="D689" t="s">
        <v>2213</v>
      </c>
      <c r="E689" t="s">
        <v>54</v>
      </c>
      <c r="F689" t="s">
        <v>110</v>
      </c>
      <c r="G689" t="s">
        <v>3</v>
      </c>
      <c r="H689" t="s">
        <v>138</v>
      </c>
      <c r="I689" t="s">
        <v>139</v>
      </c>
      <c r="J689" t="s">
        <v>58</v>
      </c>
      <c r="K689" t="s">
        <v>59</v>
      </c>
      <c r="L689" t="s">
        <v>2214</v>
      </c>
      <c r="M689" t="s">
        <v>67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171</v>
      </c>
      <c r="U689" t="s">
        <v>83</v>
      </c>
    </row>
    <row r="690" spans="1:21" x14ac:dyDescent="0.3">
      <c r="A690" t="s">
        <v>2215</v>
      </c>
      <c r="B690" s="3">
        <v>45714</v>
      </c>
      <c r="C690" s="3">
        <v>45715</v>
      </c>
      <c r="D690" t="s">
        <v>2216</v>
      </c>
      <c r="E690" t="s">
        <v>94</v>
      </c>
      <c r="F690" t="s">
        <v>110</v>
      </c>
      <c r="G690" t="s">
        <v>3</v>
      </c>
      <c r="H690" t="s">
        <v>254</v>
      </c>
      <c r="I690" t="s">
        <v>255</v>
      </c>
      <c r="J690" t="s">
        <v>46</v>
      </c>
      <c r="K690" t="s">
        <v>65</v>
      </c>
      <c r="L690" t="s">
        <v>2217</v>
      </c>
      <c r="M690" t="s">
        <v>49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50</v>
      </c>
      <c r="U690" t="s">
        <v>51</v>
      </c>
    </row>
    <row r="691" spans="1:21" x14ac:dyDescent="0.3">
      <c r="A691" t="s">
        <v>2218</v>
      </c>
      <c r="B691" s="3">
        <v>45570</v>
      </c>
      <c r="C691" s="3">
        <v>45571</v>
      </c>
      <c r="D691" t="s">
        <v>2219</v>
      </c>
      <c r="E691" t="s">
        <v>157</v>
      </c>
      <c r="F691" t="s">
        <v>55</v>
      </c>
      <c r="G691" t="s">
        <v>3</v>
      </c>
      <c r="H691" t="s">
        <v>138</v>
      </c>
      <c r="I691" t="s">
        <v>139</v>
      </c>
      <c r="J691" t="s">
        <v>58</v>
      </c>
      <c r="K691" t="s">
        <v>59</v>
      </c>
      <c r="L691" t="s">
        <v>2220</v>
      </c>
      <c r="M691" t="s">
        <v>75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171</v>
      </c>
      <c r="U691" t="s">
        <v>83</v>
      </c>
    </row>
    <row r="692" spans="1:21" x14ac:dyDescent="0.3">
      <c r="A692" t="s">
        <v>2221</v>
      </c>
      <c r="B692" s="3">
        <v>45605</v>
      </c>
      <c r="C692" s="3">
        <v>45550</v>
      </c>
      <c r="D692" t="s">
        <v>2222</v>
      </c>
      <c r="E692" t="s">
        <v>148</v>
      </c>
      <c r="F692" t="s">
        <v>105</v>
      </c>
      <c r="G692" t="s">
        <v>5</v>
      </c>
      <c r="H692" t="s">
        <v>265</v>
      </c>
      <c r="I692" t="s">
        <v>266</v>
      </c>
      <c r="J692" t="s">
        <v>46</v>
      </c>
      <c r="K692" t="s">
        <v>65</v>
      </c>
      <c r="L692" t="s">
        <v>2223</v>
      </c>
      <c r="M692" t="s">
        <v>75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171</v>
      </c>
      <c r="U692" t="s">
        <v>118</v>
      </c>
    </row>
    <row r="693" spans="1:21" x14ac:dyDescent="0.3">
      <c r="A693" t="s">
        <v>2224</v>
      </c>
      <c r="B693" s="3">
        <v>45641</v>
      </c>
      <c r="C693" s="3">
        <v>45642</v>
      </c>
      <c r="D693" t="s">
        <v>2225</v>
      </c>
      <c r="E693" t="s">
        <v>157</v>
      </c>
      <c r="F693" t="s">
        <v>42</v>
      </c>
      <c r="G693" t="s">
        <v>4</v>
      </c>
      <c r="H693" t="s">
        <v>56</v>
      </c>
      <c r="I693" t="s">
        <v>57</v>
      </c>
      <c r="J693" t="s">
        <v>89</v>
      </c>
      <c r="K693" t="s">
        <v>95</v>
      </c>
      <c r="L693" t="s">
        <v>2226</v>
      </c>
      <c r="M693" t="s">
        <v>49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50</v>
      </c>
      <c r="U693" t="s">
        <v>51</v>
      </c>
    </row>
    <row r="694" spans="1:21" x14ac:dyDescent="0.3">
      <c r="A694" t="s">
        <v>2227</v>
      </c>
      <c r="B694" s="3">
        <v>45935</v>
      </c>
      <c r="C694" s="3">
        <v>45940</v>
      </c>
      <c r="D694" t="s">
        <v>2228</v>
      </c>
      <c r="E694" t="s">
        <v>64</v>
      </c>
      <c r="F694" t="s">
        <v>1211</v>
      </c>
      <c r="G694" t="s">
        <v>5</v>
      </c>
      <c r="H694" t="s">
        <v>192</v>
      </c>
      <c r="I694" t="s">
        <v>193</v>
      </c>
      <c r="J694" t="s">
        <v>58</v>
      </c>
      <c r="K694" t="s">
        <v>73</v>
      </c>
      <c r="L694" t="s">
        <v>2229</v>
      </c>
      <c r="M694" t="s">
        <v>49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50</v>
      </c>
      <c r="U694" t="s">
        <v>51</v>
      </c>
    </row>
    <row r="695" spans="1:21" x14ac:dyDescent="0.3">
      <c r="A695" t="s">
        <v>2230</v>
      </c>
      <c r="B695" s="3">
        <v>45750</v>
      </c>
      <c r="C695" s="3">
        <v>45758</v>
      </c>
      <c r="D695" t="s">
        <v>2231</v>
      </c>
      <c r="E695" t="s">
        <v>70</v>
      </c>
      <c r="F695" t="s">
        <v>42</v>
      </c>
      <c r="G695" t="s">
        <v>5</v>
      </c>
      <c r="H695" t="s">
        <v>265</v>
      </c>
      <c r="I695" t="s">
        <v>266</v>
      </c>
      <c r="J695" t="s">
        <v>58</v>
      </c>
      <c r="K695" t="s">
        <v>174</v>
      </c>
      <c r="L695" t="s">
        <v>2232</v>
      </c>
      <c r="M695" t="s">
        <v>49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50</v>
      </c>
      <c r="U695" t="s">
        <v>51</v>
      </c>
    </row>
    <row r="696" spans="1:21" x14ac:dyDescent="0.3">
      <c r="A696" t="s">
        <v>2233</v>
      </c>
      <c r="B696" s="3">
        <v>45870</v>
      </c>
      <c r="C696" s="3">
        <v>45878</v>
      </c>
      <c r="D696" t="s">
        <v>1180</v>
      </c>
      <c r="E696" t="s">
        <v>64</v>
      </c>
      <c r="F696" t="s">
        <v>42</v>
      </c>
      <c r="G696" t="s">
        <v>5</v>
      </c>
      <c r="H696" t="s">
        <v>99</v>
      </c>
      <c r="I696" t="s">
        <v>100</v>
      </c>
      <c r="J696" t="s">
        <v>46</v>
      </c>
      <c r="K696" t="s">
        <v>140</v>
      </c>
      <c r="L696" t="s">
        <v>2234</v>
      </c>
      <c r="M696" t="s">
        <v>67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50</v>
      </c>
      <c r="U696" t="s">
        <v>51</v>
      </c>
    </row>
    <row r="697" spans="1:21" x14ac:dyDescent="0.3">
      <c r="A697" t="s">
        <v>2235</v>
      </c>
      <c r="B697" s="3">
        <v>45474</v>
      </c>
      <c r="C697" s="3">
        <v>45474</v>
      </c>
      <c r="D697" t="s">
        <v>2236</v>
      </c>
      <c r="E697" t="s">
        <v>144</v>
      </c>
      <c r="F697" t="s">
        <v>42</v>
      </c>
      <c r="G697" t="s">
        <v>6</v>
      </c>
      <c r="H697" t="s">
        <v>87</v>
      </c>
      <c r="I697" t="s">
        <v>88</v>
      </c>
      <c r="J697" t="s">
        <v>89</v>
      </c>
      <c r="K697" t="s">
        <v>2237</v>
      </c>
      <c r="L697" t="s">
        <v>2238</v>
      </c>
      <c r="M697" t="s">
        <v>75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50</v>
      </c>
      <c r="U697" t="s">
        <v>51</v>
      </c>
    </row>
    <row r="698" spans="1:21" x14ac:dyDescent="0.3">
      <c r="A698" t="s">
        <v>2239</v>
      </c>
      <c r="B698" s="3">
        <v>45922</v>
      </c>
      <c r="C698" s="3">
        <v>45925</v>
      </c>
      <c r="D698" t="s">
        <v>2240</v>
      </c>
      <c r="E698" t="s">
        <v>64</v>
      </c>
      <c r="F698" t="s">
        <v>55</v>
      </c>
      <c r="G698" t="s">
        <v>5</v>
      </c>
      <c r="H698" t="s">
        <v>202</v>
      </c>
      <c r="I698" t="s">
        <v>203</v>
      </c>
      <c r="J698" t="s">
        <v>89</v>
      </c>
      <c r="K698" t="s">
        <v>187</v>
      </c>
      <c r="L698" t="s">
        <v>2241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50</v>
      </c>
      <c r="U698" t="s">
        <v>51</v>
      </c>
    </row>
    <row r="699" spans="1:21" x14ac:dyDescent="0.3">
      <c r="A699" t="s">
        <v>2242</v>
      </c>
      <c r="B699" s="3">
        <v>45660</v>
      </c>
      <c r="C699" s="3">
        <v>45723</v>
      </c>
      <c r="D699" t="s">
        <v>2243</v>
      </c>
      <c r="E699" t="s">
        <v>70</v>
      </c>
      <c r="F699" t="s">
        <v>105</v>
      </c>
      <c r="G699" t="s">
        <v>5</v>
      </c>
      <c r="H699" t="s">
        <v>99</v>
      </c>
      <c r="I699" t="s">
        <v>100</v>
      </c>
      <c r="J699" t="s">
        <v>46</v>
      </c>
      <c r="K699" t="s">
        <v>106</v>
      </c>
      <c r="L699" t="s">
        <v>2244</v>
      </c>
      <c r="M699" t="s">
        <v>67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117</v>
      </c>
      <c r="U699" t="s">
        <v>118</v>
      </c>
    </row>
    <row r="700" spans="1:21" x14ac:dyDescent="0.3">
      <c r="A700" t="s">
        <v>2245</v>
      </c>
      <c r="B700" s="3">
        <v>45549</v>
      </c>
      <c r="C700" s="3">
        <v>45549</v>
      </c>
      <c r="D700" t="s">
        <v>2246</v>
      </c>
      <c r="E700" t="s">
        <v>54</v>
      </c>
      <c r="F700" t="s">
        <v>105</v>
      </c>
      <c r="G700" t="s">
        <v>3</v>
      </c>
      <c r="H700" t="s">
        <v>44</v>
      </c>
      <c r="I700" t="s">
        <v>45</v>
      </c>
      <c r="J700" t="s">
        <v>89</v>
      </c>
      <c r="K700" t="s">
        <v>294</v>
      </c>
      <c r="L700" t="s">
        <v>2247</v>
      </c>
      <c r="M700" t="s">
        <v>75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50</v>
      </c>
      <c r="U700" t="s">
        <v>118</v>
      </c>
    </row>
    <row r="701" spans="1:21" x14ac:dyDescent="0.3">
      <c r="A701" t="s">
        <v>2248</v>
      </c>
      <c r="B701" s="3">
        <v>45454</v>
      </c>
      <c r="C701" s="3">
        <v>45454</v>
      </c>
      <c r="D701" t="s">
        <v>2249</v>
      </c>
      <c r="E701" t="s">
        <v>70</v>
      </c>
      <c r="F701" t="s">
        <v>55</v>
      </c>
      <c r="G701" t="s">
        <v>5</v>
      </c>
      <c r="H701" t="s">
        <v>192</v>
      </c>
      <c r="I701" t="s">
        <v>193</v>
      </c>
      <c r="J701" t="s">
        <v>58</v>
      </c>
      <c r="K701" t="s">
        <v>174</v>
      </c>
      <c r="L701" t="s">
        <v>2250</v>
      </c>
      <c r="M701" t="s">
        <v>75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50</v>
      </c>
      <c r="U701" t="s">
        <v>51</v>
      </c>
    </row>
    <row r="702" spans="1:21" x14ac:dyDescent="0.3">
      <c r="A702" t="s">
        <v>2251</v>
      </c>
      <c r="B702" s="3">
        <v>45553</v>
      </c>
      <c r="C702" s="3"/>
      <c r="D702" t="s">
        <v>2252</v>
      </c>
      <c r="E702" t="s">
        <v>94</v>
      </c>
      <c r="F702" t="s">
        <v>105</v>
      </c>
      <c r="G702" t="s">
        <v>4</v>
      </c>
      <c r="H702" t="s">
        <v>114</v>
      </c>
      <c r="I702" t="s">
        <v>115</v>
      </c>
      <c r="J702" t="s">
        <v>89</v>
      </c>
      <c r="K702" t="s">
        <v>294</v>
      </c>
      <c r="L702" t="s">
        <v>2253</v>
      </c>
      <c r="M702" t="s">
        <v>75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50</v>
      </c>
      <c r="U702" t="s">
        <v>51</v>
      </c>
    </row>
    <row r="703" spans="1:21" x14ac:dyDescent="0.3">
      <c r="A703" t="s">
        <v>2254</v>
      </c>
      <c r="B703" s="3">
        <v>45412</v>
      </c>
      <c r="C703" s="3">
        <v>45416</v>
      </c>
      <c r="D703" t="s">
        <v>2255</v>
      </c>
      <c r="E703" t="s">
        <v>157</v>
      </c>
      <c r="F703" t="s">
        <v>55</v>
      </c>
      <c r="G703" t="s">
        <v>6</v>
      </c>
      <c r="H703" t="s">
        <v>197</v>
      </c>
      <c r="I703" t="s">
        <v>198</v>
      </c>
      <c r="J703" t="s">
        <v>46</v>
      </c>
      <c r="K703" t="s">
        <v>65</v>
      </c>
      <c r="L703" t="s">
        <v>2256</v>
      </c>
      <c r="M703" t="s">
        <v>61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50</v>
      </c>
      <c r="U703" t="s">
        <v>118</v>
      </c>
    </row>
    <row r="704" spans="1:21" x14ac:dyDescent="0.3">
      <c r="A704" t="s">
        <v>2257</v>
      </c>
      <c r="B704" s="3">
        <v>45690</v>
      </c>
      <c r="C704" s="3">
        <v>45810</v>
      </c>
      <c r="D704" t="s">
        <v>2258</v>
      </c>
      <c r="E704" t="s">
        <v>41</v>
      </c>
      <c r="F704" t="s">
        <v>55</v>
      </c>
      <c r="G704" t="s">
        <v>6</v>
      </c>
      <c r="H704" t="s">
        <v>44</v>
      </c>
      <c r="I704" t="s">
        <v>125</v>
      </c>
      <c r="J704" t="s">
        <v>58</v>
      </c>
      <c r="K704" t="s">
        <v>59</v>
      </c>
      <c r="L704" t="s">
        <v>2259</v>
      </c>
      <c r="M704" t="s">
        <v>49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50</v>
      </c>
      <c r="U704" t="s">
        <v>51</v>
      </c>
    </row>
    <row r="705" spans="1:21" x14ac:dyDescent="0.3">
      <c r="A705" t="s">
        <v>2260</v>
      </c>
      <c r="B705" s="3">
        <v>45584</v>
      </c>
      <c r="C705" s="3">
        <v>45585</v>
      </c>
      <c r="D705" t="s">
        <v>2261</v>
      </c>
      <c r="E705" t="s">
        <v>104</v>
      </c>
      <c r="F705" t="s">
        <v>105</v>
      </c>
      <c r="G705" t="s">
        <v>3</v>
      </c>
      <c r="H705" t="s">
        <v>44</v>
      </c>
      <c r="I705" t="s">
        <v>45</v>
      </c>
      <c r="J705" t="s">
        <v>58</v>
      </c>
      <c r="K705" t="s">
        <v>59</v>
      </c>
      <c r="L705" t="s">
        <v>2262</v>
      </c>
      <c r="M705" t="s">
        <v>67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50</v>
      </c>
      <c r="U705" t="s">
        <v>51</v>
      </c>
    </row>
    <row r="706" spans="1:21" x14ac:dyDescent="0.3">
      <c r="A706" t="s">
        <v>2263</v>
      </c>
      <c r="B706" s="3">
        <v>45364</v>
      </c>
      <c r="C706" s="3"/>
      <c r="D706" t="s">
        <v>2264</v>
      </c>
      <c r="E706" t="s">
        <v>130</v>
      </c>
      <c r="F706" t="s">
        <v>110</v>
      </c>
      <c r="G706" t="s">
        <v>5</v>
      </c>
      <c r="H706" t="s">
        <v>265</v>
      </c>
      <c r="I706" t="s">
        <v>266</v>
      </c>
      <c r="J706" t="s">
        <v>58</v>
      </c>
      <c r="K706" t="s">
        <v>174</v>
      </c>
      <c r="L706" t="s">
        <v>2265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50</v>
      </c>
      <c r="U706" t="s">
        <v>51</v>
      </c>
    </row>
    <row r="707" spans="1:21" x14ac:dyDescent="0.3">
      <c r="A707" t="s">
        <v>2266</v>
      </c>
      <c r="B707" s="3">
        <v>45543</v>
      </c>
      <c r="C707" s="3"/>
      <c r="D707" t="s">
        <v>2267</v>
      </c>
      <c r="E707" t="s">
        <v>157</v>
      </c>
      <c r="F707" t="s">
        <v>42</v>
      </c>
      <c r="G707" t="s">
        <v>3</v>
      </c>
      <c r="H707" t="s">
        <v>44</v>
      </c>
      <c r="I707" t="s">
        <v>45</v>
      </c>
      <c r="J707" t="s">
        <v>46</v>
      </c>
      <c r="K707" t="s">
        <v>169</v>
      </c>
      <c r="L707" t="s">
        <v>2268</v>
      </c>
      <c r="M707" t="s">
        <v>75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50</v>
      </c>
      <c r="U707" t="s">
        <v>51</v>
      </c>
    </row>
    <row r="708" spans="1:21" x14ac:dyDescent="0.3">
      <c r="A708" t="s">
        <v>2269</v>
      </c>
      <c r="B708" s="3">
        <v>45467</v>
      </c>
      <c r="C708" s="3">
        <v>45471</v>
      </c>
      <c r="D708" t="s">
        <v>2270</v>
      </c>
      <c r="E708" t="s">
        <v>64</v>
      </c>
      <c r="F708" t="s">
        <v>55</v>
      </c>
      <c r="G708" t="s">
        <v>4</v>
      </c>
      <c r="H708" t="s">
        <v>56</v>
      </c>
      <c r="I708" t="s">
        <v>57</v>
      </c>
      <c r="J708" t="s">
        <v>46</v>
      </c>
      <c r="K708" t="s">
        <v>47</v>
      </c>
      <c r="L708" t="s">
        <v>2271</v>
      </c>
      <c r="M708" t="s">
        <v>61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50</v>
      </c>
      <c r="U708" t="s">
        <v>51</v>
      </c>
    </row>
    <row r="709" spans="1:21" x14ac:dyDescent="0.3">
      <c r="A709" t="s">
        <v>2272</v>
      </c>
      <c r="B709" s="3">
        <v>45832</v>
      </c>
      <c r="C709" s="3"/>
      <c r="D709" t="s">
        <v>2273</v>
      </c>
      <c r="E709" t="s">
        <v>86</v>
      </c>
      <c r="F709" t="s">
        <v>42</v>
      </c>
      <c r="G709" t="s">
        <v>3</v>
      </c>
      <c r="H709" t="s">
        <v>44</v>
      </c>
      <c r="I709" t="s">
        <v>45</v>
      </c>
      <c r="J709" t="s">
        <v>89</v>
      </c>
      <c r="K709" t="s">
        <v>1466</v>
      </c>
      <c r="L709" t="s">
        <v>2274</v>
      </c>
      <c r="M709" t="s">
        <v>61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50</v>
      </c>
      <c r="U709" t="s">
        <v>51</v>
      </c>
    </row>
    <row r="710" spans="1:21" x14ac:dyDescent="0.3">
      <c r="A710" t="s">
        <v>2275</v>
      </c>
      <c r="B710" s="3"/>
      <c r="C710" s="3">
        <v>45742</v>
      </c>
      <c r="D710" t="s">
        <v>2276</v>
      </c>
      <c r="E710" t="s">
        <v>148</v>
      </c>
      <c r="F710" t="s">
        <v>42</v>
      </c>
      <c r="G710" t="s">
        <v>4</v>
      </c>
      <c r="H710" t="s">
        <v>182</v>
      </c>
      <c r="I710" t="s">
        <v>183</v>
      </c>
      <c r="J710" t="s">
        <v>58</v>
      </c>
      <c r="K710" t="s">
        <v>174</v>
      </c>
      <c r="L710" t="s">
        <v>2277</v>
      </c>
      <c r="M710" t="s">
        <v>67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50</v>
      </c>
      <c r="U710" t="s">
        <v>51</v>
      </c>
    </row>
    <row r="711" spans="1:21" x14ac:dyDescent="0.3">
      <c r="A711" t="s">
        <v>2278</v>
      </c>
      <c r="B711" s="3">
        <v>45676</v>
      </c>
      <c r="C711" s="3">
        <v>45680</v>
      </c>
      <c r="D711" t="s">
        <v>2279</v>
      </c>
      <c r="E711" t="s">
        <v>284</v>
      </c>
      <c r="F711" t="s">
        <v>110</v>
      </c>
      <c r="G711" t="s">
        <v>3</v>
      </c>
      <c r="H711" t="s">
        <v>138</v>
      </c>
      <c r="I711" t="s">
        <v>139</v>
      </c>
      <c r="J711" t="s">
        <v>89</v>
      </c>
      <c r="K711" t="s">
        <v>187</v>
      </c>
      <c r="L711" t="s">
        <v>2280</v>
      </c>
      <c r="M711" t="s">
        <v>61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50</v>
      </c>
      <c r="U711" t="s">
        <v>83</v>
      </c>
    </row>
    <row r="712" spans="1:21" x14ac:dyDescent="0.3">
      <c r="A712" t="s">
        <v>2281</v>
      </c>
      <c r="B712" s="3">
        <v>45633</v>
      </c>
      <c r="C712" s="3"/>
      <c r="D712" t="s">
        <v>2282</v>
      </c>
      <c r="E712" t="s">
        <v>86</v>
      </c>
      <c r="F712" t="s">
        <v>105</v>
      </c>
      <c r="G712" t="s">
        <v>3</v>
      </c>
      <c r="H712" t="s">
        <v>138</v>
      </c>
      <c r="I712" t="s">
        <v>139</v>
      </c>
      <c r="J712" t="s">
        <v>46</v>
      </c>
      <c r="K712" t="s">
        <v>65</v>
      </c>
      <c r="L712" t="s">
        <v>2283</v>
      </c>
      <c r="M712" t="s">
        <v>49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50</v>
      </c>
      <c r="U712" t="s">
        <v>51</v>
      </c>
    </row>
    <row r="713" spans="1:21" x14ac:dyDescent="0.3">
      <c r="A713" t="s">
        <v>2284</v>
      </c>
      <c r="B713" s="3">
        <v>45690</v>
      </c>
      <c r="C713" s="3">
        <v>45690</v>
      </c>
      <c r="D713" t="s">
        <v>2285</v>
      </c>
      <c r="E713" t="s">
        <v>284</v>
      </c>
      <c r="F713" t="s">
        <v>105</v>
      </c>
      <c r="G713" t="s">
        <v>4</v>
      </c>
      <c r="H713" t="s">
        <v>114</v>
      </c>
      <c r="I713" t="s">
        <v>115</v>
      </c>
      <c r="J713" t="s">
        <v>89</v>
      </c>
      <c r="K713" t="s">
        <v>294</v>
      </c>
      <c r="L713" t="s">
        <v>2286</v>
      </c>
      <c r="M713" t="s">
        <v>67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127</v>
      </c>
      <c r="U713" t="s">
        <v>118</v>
      </c>
    </row>
    <row r="714" spans="1:21" x14ac:dyDescent="0.3">
      <c r="A714" t="s">
        <v>2287</v>
      </c>
      <c r="B714" s="3">
        <v>45332</v>
      </c>
      <c r="C714" s="3">
        <v>45340</v>
      </c>
      <c r="D714" t="s">
        <v>2288</v>
      </c>
      <c r="E714" t="s">
        <v>64</v>
      </c>
      <c r="F714" t="s">
        <v>110</v>
      </c>
      <c r="G714" t="s">
        <v>6</v>
      </c>
      <c r="H714" t="s">
        <v>87</v>
      </c>
      <c r="I714" t="s">
        <v>88</v>
      </c>
      <c r="J714" t="s">
        <v>58</v>
      </c>
      <c r="K714" t="s">
        <v>81</v>
      </c>
      <c r="L714" t="s">
        <v>2289</v>
      </c>
      <c r="M714" t="s">
        <v>67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50</v>
      </c>
      <c r="U714" t="s">
        <v>51</v>
      </c>
    </row>
    <row r="715" spans="1:21" x14ac:dyDescent="0.3">
      <c r="A715" t="s">
        <v>2290</v>
      </c>
      <c r="B715" s="3">
        <v>45814</v>
      </c>
      <c r="C715" s="3">
        <v>45936</v>
      </c>
      <c r="D715" t="s">
        <v>630</v>
      </c>
      <c r="E715" t="s">
        <v>54</v>
      </c>
      <c r="F715" t="s">
        <v>42</v>
      </c>
      <c r="G715" t="s">
        <v>6</v>
      </c>
      <c r="H715" t="s">
        <v>44</v>
      </c>
      <c r="I715" t="s">
        <v>125</v>
      </c>
      <c r="J715" t="s">
        <v>89</v>
      </c>
      <c r="K715" t="s">
        <v>294</v>
      </c>
      <c r="L715" t="s">
        <v>2291</v>
      </c>
      <c r="M715" t="s">
        <v>49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50</v>
      </c>
      <c r="U715" t="s">
        <v>51</v>
      </c>
    </row>
    <row r="716" spans="1:21" x14ac:dyDescent="0.3">
      <c r="A716" t="s">
        <v>2292</v>
      </c>
      <c r="B716" s="3">
        <v>45738</v>
      </c>
      <c r="C716" s="3">
        <v>45739</v>
      </c>
      <c r="D716" t="s">
        <v>2293</v>
      </c>
      <c r="E716" t="s">
        <v>41</v>
      </c>
      <c r="F716" t="s">
        <v>110</v>
      </c>
      <c r="G716" t="s">
        <v>3</v>
      </c>
      <c r="H716" t="s">
        <v>372</v>
      </c>
      <c r="I716" t="s">
        <v>373</v>
      </c>
      <c r="J716" t="s">
        <v>89</v>
      </c>
      <c r="K716" t="s">
        <v>95</v>
      </c>
      <c r="L716" t="s">
        <v>2294</v>
      </c>
      <c r="M716" t="s">
        <v>75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50</v>
      </c>
      <c r="U716" t="s">
        <v>51</v>
      </c>
    </row>
    <row r="717" spans="1:21" x14ac:dyDescent="0.3">
      <c r="A717" t="s">
        <v>2295</v>
      </c>
      <c r="B717" s="3">
        <v>45891</v>
      </c>
      <c r="C717" s="3">
        <v>45896</v>
      </c>
      <c r="D717" t="s">
        <v>2296</v>
      </c>
      <c r="E717" t="s">
        <v>130</v>
      </c>
      <c r="F717" t="s">
        <v>42</v>
      </c>
      <c r="G717" t="s">
        <v>3</v>
      </c>
      <c r="H717" t="s">
        <v>254</v>
      </c>
      <c r="I717" t="s">
        <v>255</v>
      </c>
      <c r="J717" t="s">
        <v>58</v>
      </c>
      <c r="K717" t="s">
        <v>81</v>
      </c>
      <c r="L717" t="s">
        <v>2297</v>
      </c>
      <c r="M717" t="s">
        <v>49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117</v>
      </c>
      <c r="U717" t="s">
        <v>83</v>
      </c>
    </row>
    <row r="718" spans="1:21" x14ac:dyDescent="0.3">
      <c r="A718" t="s">
        <v>2298</v>
      </c>
      <c r="B718" s="3">
        <v>45895</v>
      </c>
      <c r="C718" s="3">
        <v>45900</v>
      </c>
      <c r="D718" t="s">
        <v>2299</v>
      </c>
      <c r="E718" t="s">
        <v>178</v>
      </c>
      <c r="F718" t="s">
        <v>55</v>
      </c>
      <c r="G718" t="s">
        <v>3</v>
      </c>
      <c r="H718" t="s">
        <v>254</v>
      </c>
      <c r="I718" t="s">
        <v>255</v>
      </c>
      <c r="J718" t="s">
        <v>89</v>
      </c>
      <c r="K718" t="s">
        <v>187</v>
      </c>
      <c r="L718" t="s">
        <v>2300</v>
      </c>
      <c r="M718" t="s">
        <v>67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50</v>
      </c>
      <c r="U718" t="s">
        <v>51</v>
      </c>
    </row>
    <row r="719" spans="1:21" x14ac:dyDescent="0.3">
      <c r="A719" t="s">
        <v>2301</v>
      </c>
      <c r="B719" s="3">
        <v>45942</v>
      </c>
      <c r="C719" s="3">
        <v>45945</v>
      </c>
      <c r="D719" t="s">
        <v>2302</v>
      </c>
      <c r="E719" t="s">
        <v>284</v>
      </c>
      <c r="F719" t="s">
        <v>55</v>
      </c>
      <c r="G719" t="s">
        <v>3</v>
      </c>
      <c r="H719" t="s">
        <v>254</v>
      </c>
      <c r="I719" t="s">
        <v>255</v>
      </c>
      <c r="J719" t="s">
        <v>89</v>
      </c>
      <c r="K719" t="s">
        <v>294</v>
      </c>
      <c r="L719" t="s">
        <v>2303</v>
      </c>
      <c r="M719" t="s">
        <v>75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127</v>
      </c>
      <c r="U719" t="s">
        <v>83</v>
      </c>
    </row>
    <row r="720" spans="1:21" x14ac:dyDescent="0.3">
      <c r="A720" t="s">
        <v>2304</v>
      </c>
      <c r="B720" s="3">
        <v>45541</v>
      </c>
      <c r="C720" s="3">
        <v>45544</v>
      </c>
      <c r="D720" t="s">
        <v>2305</v>
      </c>
      <c r="E720" t="s">
        <v>54</v>
      </c>
      <c r="F720" t="s">
        <v>42</v>
      </c>
      <c r="G720" t="s">
        <v>6</v>
      </c>
      <c r="H720" t="s">
        <v>79</v>
      </c>
      <c r="I720" t="s">
        <v>80</v>
      </c>
      <c r="J720" t="s">
        <v>46</v>
      </c>
      <c r="K720" t="s">
        <v>65</v>
      </c>
      <c r="L720" t="s">
        <v>2306</v>
      </c>
      <c r="M720" t="s">
        <v>61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50</v>
      </c>
      <c r="U720" t="s">
        <v>51</v>
      </c>
    </row>
    <row r="721" spans="1:21" x14ac:dyDescent="0.3">
      <c r="A721" t="s">
        <v>2307</v>
      </c>
      <c r="B721" s="3">
        <v>45908</v>
      </c>
      <c r="C721" s="3">
        <v>45909</v>
      </c>
      <c r="D721" t="s">
        <v>160</v>
      </c>
      <c r="E721" t="s">
        <v>284</v>
      </c>
      <c r="F721" t="s">
        <v>105</v>
      </c>
      <c r="G721" t="s">
        <v>6</v>
      </c>
      <c r="H721" t="s">
        <v>197</v>
      </c>
      <c r="I721" t="s">
        <v>198</v>
      </c>
      <c r="J721" t="s">
        <v>46</v>
      </c>
      <c r="K721" t="s">
        <v>65</v>
      </c>
      <c r="L721" t="s">
        <v>2308</v>
      </c>
      <c r="M721" t="s">
        <v>61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50</v>
      </c>
      <c r="U721" t="s">
        <v>51</v>
      </c>
    </row>
    <row r="722" spans="1:21" x14ac:dyDescent="0.3">
      <c r="A722" t="s">
        <v>2309</v>
      </c>
      <c r="B722" s="3">
        <v>45489</v>
      </c>
      <c r="C722" s="3"/>
      <c r="D722" t="s">
        <v>2310</v>
      </c>
      <c r="E722" t="s">
        <v>104</v>
      </c>
      <c r="F722" t="s">
        <v>110</v>
      </c>
      <c r="G722" t="s">
        <v>6</v>
      </c>
      <c r="H722" t="s">
        <v>87</v>
      </c>
      <c r="I722" t="s">
        <v>88</v>
      </c>
      <c r="J722" t="s">
        <v>89</v>
      </c>
      <c r="K722" t="s">
        <v>95</v>
      </c>
      <c r="L722" t="s">
        <v>2311</v>
      </c>
      <c r="M722" t="s">
        <v>61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50</v>
      </c>
      <c r="U722" t="s">
        <v>51</v>
      </c>
    </row>
    <row r="723" spans="1:21" x14ac:dyDescent="0.3">
      <c r="A723" t="s">
        <v>2312</v>
      </c>
      <c r="B723" s="3">
        <v>45827</v>
      </c>
      <c r="C723" s="3">
        <v>45831</v>
      </c>
      <c r="D723" t="s">
        <v>2313</v>
      </c>
      <c r="E723" t="s">
        <v>148</v>
      </c>
      <c r="F723" t="s">
        <v>42</v>
      </c>
      <c r="G723" t="s">
        <v>5</v>
      </c>
      <c r="H723" t="s">
        <v>192</v>
      </c>
      <c r="I723" t="s">
        <v>193</v>
      </c>
      <c r="J723" t="s">
        <v>89</v>
      </c>
      <c r="K723" t="s">
        <v>95</v>
      </c>
      <c r="L723" t="s">
        <v>2314</v>
      </c>
      <c r="M723" t="s">
        <v>67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50</v>
      </c>
      <c r="U723" t="s">
        <v>51</v>
      </c>
    </row>
    <row r="724" spans="1:21" x14ac:dyDescent="0.3">
      <c r="A724" t="s">
        <v>2315</v>
      </c>
      <c r="B724" s="3">
        <v>45572</v>
      </c>
      <c r="C724" s="3">
        <v>45575</v>
      </c>
      <c r="D724" t="s">
        <v>2316</v>
      </c>
      <c r="E724" t="s">
        <v>86</v>
      </c>
      <c r="F724" t="s">
        <v>42</v>
      </c>
      <c r="G724" t="s">
        <v>4</v>
      </c>
      <c r="H724" t="s">
        <v>114</v>
      </c>
      <c r="I724" t="s">
        <v>115</v>
      </c>
      <c r="J724" t="s">
        <v>58</v>
      </c>
      <c r="K724" t="s">
        <v>81</v>
      </c>
      <c r="L724" t="s">
        <v>2317</v>
      </c>
      <c r="M724" t="s">
        <v>49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117</v>
      </c>
      <c r="U724" t="s">
        <v>83</v>
      </c>
    </row>
    <row r="725" spans="1:21" x14ac:dyDescent="0.3">
      <c r="A725" t="s">
        <v>2318</v>
      </c>
      <c r="B725" s="3">
        <v>45818</v>
      </c>
      <c r="C725" s="3">
        <v>45943</v>
      </c>
      <c r="D725" t="s">
        <v>2319</v>
      </c>
      <c r="E725" t="s">
        <v>284</v>
      </c>
      <c r="F725" t="s">
        <v>110</v>
      </c>
      <c r="G725" t="s">
        <v>4</v>
      </c>
      <c r="H725" t="s">
        <v>246</v>
      </c>
      <c r="I725" t="s">
        <v>247</v>
      </c>
      <c r="J725" t="s">
        <v>89</v>
      </c>
      <c r="K725" t="s">
        <v>90</v>
      </c>
      <c r="L725" t="s">
        <v>2320</v>
      </c>
      <c r="M725" t="s">
        <v>75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171</v>
      </c>
      <c r="U725" t="s">
        <v>118</v>
      </c>
    </row>
    <row r="726" spans="1:21" x14ac:dyDescent="0.3">
      <c r="A726" t="s">
        <v>2321</v>
      </c>
      <c r="B726" s="3">
        <v>45567</v>
      </c>
      <c r="C726" s="3">
        <v>45338</v>
      </c>
      <c r="D726" t="s">
        <v>2322</v>
      </c>
      <c r="E726" t="s">
        <v>41</v>
      </c>
      <c r="F726" t="s">
        <v>42</v>
      </c>
      <c r="G726" t="s">
        <v>6</v>
      </c>
      <c r="H726" t="s">
        <v>207</v>
      </c>
      <c r="I726" t="s">
        <v>208</v>
      </c>
      <c r="J726" t="s">
        <v>58</v>
      </c>
      <c r="K726" t="s">
        <v>73</v>
      </c>
      <c r="L726" t="s">
        <v>2323</v>
      </c>
      <c r="M726" t="s">
        <v>49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50</v>
      </c>
      <c r="U726" t="s">
        <v>51</v>
      </c>
    </row>
    <row r="727" spans="1:21" x14ac:dyDescent="0.3">
      <c r="A727" t="s">
        <v>2324</v>
      </c>
      <c r="B727" s="3">
        <v>45787</v>
      </c>
      <c r="C727" s="3">
        <v>45942</v>
      </c>
      <c r="D727" t="s">
        <v>2325</v>
      </c>
      <c r="E727" t="s">
        <v>130</v>
      </c>
      <c r="F727" t="s">
        <v>105</v>
      </c>
      <c r="G727" t="s">
        <v>5</v>
      </c>
      <c r="H727" t="s">
        <v>192</v>
      </c>
      <c r="I727" t="s">
        <v>193</v>
      </c>
      <c r="J727" t="s">
        <v>58</v>
      </c>
      <c r="K727" t="s">
        <v>59</v>
      </c>
      <c r="L727" t="s">
        <v>2326</v>
      </c>
      <c r="M727" t="s">
        <v>49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50</v>
      </c>
      <c r="U727" t="s">
        <v>51</v>
      </c>
    </row>
    <row r="728" spans="1:21" x14ac:dyDescent="0.3">
      <c r="A728" t="s">
        <v>2327</v>
      </c>
      <c r="B728" s="3">
        <v>45308</v>
      </c>
      <c r="C728" s="3"/>
      <c r="D728" t="s">
        <v>2328</v>
      </c>
      <c r="E728" t="s">
        <v>284</v>
      </c>
      <c r="F728" t="s">
        <v>110</v>
      </c>
      <c r="G728" t="s">
        <v>6</v>
      </c>
      <c r="H728" t="s">
        <v>197</v>
      </c>
      <c r="I728" t="s">
        <v>198</v>
      </c>
      <c r="J728" t="s">
        <v>89</v>
      </c>
      <c r="K728" t="s">
        <v>187</v>
      </c>
      <c r="L728" t="s">
        <v>2329</v>
      </c>
      <c r="M728" t="s">
        <v>75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127</v>
      </c>
      <c r="U728" t="s">
        <v>118</v>
      </c>
    </row>
    <row r="729" spans="1:21" x14ac:dyDescent="0.3">
      <c r="A729" t="s">
        <v>2330</v>
      </c>
      <c r="B729" s="3">
        <v>45578</v>
      </c>
      <c r="C729" s="3">
        <v>45578</v>
      </c>
      <c r="D729" t="s">
        <v>2331</v>
      </c>
      <c r="E729" t="s">
        <v>144</v>
      </c>
      <c r="F729" t="s">
        <v>55</v>
      </c>
      <c r="G729" t="s">
        <v>4</v>
      </c>
      <c r="H729" t="s">
        <v>182</v>
      </c>
      <c r="I729" t="s">
        <v>183</v>
      </c>
      <c r="J729" t="s">
        <v>89</v>
      </c>
      <c r="K729" t="s">
        <v>90</v>
      </c>
      <c r="L729" t="s">
        <v>2332</v>
      </c>
      <c r="M729" t="s">
        <v>49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50</v>
      </c>
      <c r="U729" t="s">
        <v>51</v>
      </c>
    </row>
    <row r="730" spans="1:21" x14ac:dyDescent="0.3">
      <c r="A730" t="s">
        <v>2333</v>
      </c>
      <c r="B730" s="3">
        <v>45295</v>
      </c>
      <c r="C730" s="3">
        <v>45298</v>
      </c>
      <c r="D730" t="s">
        <v>2334</v>
      </c>
      <c r="E730" t="s">
        <v>148</v>
      </c>
      <c r="F730" t="s">
        <v>55</v>
      </c>
      <c r="G730" t="s">
        <v>5</v>
      </c>
      <c r="H730" t="s">
        <v>192</v>
      </c>
      <c r="I730" t="s">
        <v>193</v>
      </c>
      <c r="J730" t="s">
        <v>89</v>
      </c>
      <c r="K730" t="s">
        <v>294</v>
      </c>
      <c r="L730" t="s">
        <v>2335</v>
      </c>
      <c r="M730" t="s">
        <v>67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50</v>
      </c>
      <c r="U730" t="s">
        <v>51</v>
      </c>
    </row>
    <row r="731" spans="1:21" x14ac:dyDescent="0.3">
      <c r="A731" t="s">
        <v>2336</v>
      </c>
      <c r="B731" s="3">
        <v>45794</v>
      </c>
      <c r="C731" s="3">
        <v>45802</v>
      </c>
      <c r="D731" t="s">
        <v>2337</v>
      </c>
      <c r="E731" t="s">
        <v>78</v>
      </c>
      <c r="F731" t="s">
        <v>105</v>
      </c>
      <c r="G731" t="s">
        <v>5</v>
      </c>
      <c r="H731" t="s">
        <v>265</v>
      </c>
      <c r="I731" t="s">
        <v>266</v>
      </c>
      <c r="J731" t="s">
        <v>89</v>
      </c>
      <c r="K731" t="s">
        <v>294</v>
      </c>
      <c r="L731" t="s">
        <v>2338</v>
      </c>
      <c r="M731" t="s">
        <v>61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50</v>
      </c>
      <c r="U731" t="s">
        <v>51</v>
      </c>
    </row>
    <row r="732" spans="1:21" x14ac:dyDescent="0.3">
      <c r="A732" t="s">
        <v>2339</v>
      </c>
      <c r="B732" s="3"/>
      <c r="C732" s="3">
        <v>45832</v>
      </c>
      <c r="D732" t="s">
        <v>2340</v>
      </c>
      <c r="E732" t="s">
        <v>70</v>
      </c>
      <c r="F732" t="s">
        <v>42</v>
      </c>
      <c r="G732" t="s">
        <v>4</v>
      </c>
      <c r="H732" t="s">
        <v>114</v>
      </c>
      <c r="I732" t="s">
        <v>115</v>
      </c>
      <c r="J732" t="s">
        <v>46</v>
      </c>
      <c r="K732" t="s">
        <v>65</v>
      </c>
      <c r="L732" t="s">
        <v>2341</v>
      </c>
      <c r="M732" t="s">
        <v>49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117</v>
      </c>
      <c r="U732" t="s">
        <v>118</v>
      </c>
    </row>
    <row r="733" spans="1:21" x14ac:dyDescent="0.3">
      <c r="A733" t="s">
        <v>2342</v>
      </c>
      <c r="B733" s="3">
        <v>45368</v>
      </c>
      <c r="C733" s="3">
        <v>45370</v>
      </c>
      <c r="D733" t="s">
        <v>2343</v>
      </c>
      <c r="E733" t="s">
        <v>78</v>
      </c>
      <c r="F733" t="s">
        <v>105</v>
      </c>
      <c r="G733" t="s">
        <v>4</v>
      </c>
      <c r="H733" t="s">
        <v>56</v>
      </c>
      <c r="I733" t="s">
        <v>57</v>
      </c>
      <c r="J733" t="s">
        <v>46</v>
      </c>
      <c r="K733" t="s">
        <v>169</v>
      </c>
      <c r="L733" t="s">
        <v>2344</v>
      </c>
      <c r="M733" t="s">
        <v>67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50</v>
      </c>
      <c r="U733" t="s">
        <v>51</v>
      </c>
    </row>
    <row r="734" spans="1:21" x14ac:dyDescent="0.3">
      <c r="A734" t="s">
        <v>2345</v>
      </c>
      <c r="B734" s="3">
        <v>45624</v>
      </c>
      <c r="C734" s="3">
        <v>45632</v>
      </c>
      <c r="D734" t="s">
        <v>2346</v>
      </c>
      <c r="E734" t="s">
        <v>70</v>
      </c>
      <c r="F734" t="s">
        <v>55</v>
      </c>
      <c r="G734" t="s">
        <v>3</v>
      </c>
      <c r="H734" t="s">
        <v>138</v>
      </c>
      <c r="I734" t="s">
        <v>139</v>
      </c>
      <c r="J734" t="s">
        <v>89</v>
      </c>
      <c r="K734" t="s">
        <v>187</v>
      </c>
      <c r="L734" t="s">
        <v>2347</v>
      </c>
      <c r="M734" t="s">
        <v>75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50</v>
      </c>
      <c r="U734" t="s">
        <v>51</v>
      </c>
    </row>
    <row r="735" spans="1:21" x14ac:dyDescent="0.3">
      <c r="A735" t="s">
        <v>2348</v>
      </c>
      <c r="B735" s="3">
        <v>45464</v>
      </c>
      <c r="C735" s="3">
        <v>45471</v>
      </c>
      <c r="D735" t="s">
        <v>2349</v>
      </c>
      <c r="E735" t="s">
        <v>144</v>
      </c>
      <c r="F735" t="s">
        <v>110</v>
      </c>
      <c r="G735" t="s">
        <v>3</v>
      </c>
      <c r="H735" t="s">
        <v>44</v>
      </c>
      <c r="I735" t="s">
        <v>45</v>
      </c>
      <c r="J735" t="s">
        <v>58</v>
      </c>
      <c r="K735" t="s">
        <v>73</v>
      </c>
      <c r="L735" t="s">
        <v>2350</v>
      </c>
      <c r="M735" t="s">
        <v>67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50</v>
      </c>
      <c r="U735" t="s">
        <v>51</v>
      </c>
    </row>
    <row r="736" spans="1:21" x14ac:dyDescent="0.3">
      <c r="A736" t="s">
        <v>2351</v>
      </c>
      <c r="B736" s="3">
        <v>45528</v>
      </c>
      <c r="C736" s="3">
        <v>45528</v>
      </c>
      <c r="D736" t="s">
        <v>2352</v>
      </c>
      <c r="E736" t="s">
        <v>78</v>
      </c>
      <c r="F736" t="s">
        <v>55</v>
      </c>
      <c r="G736" t="s">
        <v>3</v>
      </c>
      <c r="H736" t="s">
        <v>44</v>
      </c>
      <c r="I736" t="s">
        <v>45</v>
      </c>
      <c r="J736" t="s">
        <v>89</v>
      </c>
      <c r="K736" t="s">
        <v>90</v>
      </c>
      <c r="L736" t="s">
        <v>2353</v>
      </c>
      <c r="M736" t="s">
        <v>67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50</v>
      </c>
      <c r="U736" t="s">
        <v>51</v>
      </c>
    </row>
    <row r="737" spans="1:21" x14ac:dyDescent="0.3">
      <c r="A737" t="s">
        <v>2354</v>
      </c>
      <c r="B737" s="3">
        <v>45515</v>
      </c>
      <c r="C737" s="3">
        <v>45523</v>
      </c>
      <c r="D737" t="s">
        <v>2355</v>
      </c>
      <c r="E737" t="s">
        <v>54</v>
      </c>
      <c r="F737" t="s">
        <v>42</v>
      </c>
      <c r="G737" t="s">
        <v>6</v>
      </c>
      <c r="H737" t="s">
        <v>79</v>
      </c>
      <c r="I737" t="s">
        <v>80</v>
      </c>
      <c r="J737" t="s">
        <v>58</v>
      </c>
      <c r="K737" t="s">
        <v>59</v>
      </c>
      <c r="L737" t="s">
        <v>2356</v>
      </c>
      <c r="M737" t="s">
        <v>75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50</v>
      </c>
      <c r="U737" t="s">
        <v>51</v>
      </c>
    </row>
    <row r="738" spans="1:21" x14ac:dyDescent="0.3">
      <c r="A738" t="s">
        <v>2357</v>
      </c>
      <c r="B738" s="3">
        <v>45632</v>
      </c>
      <c r="C738" s="3">
        <v>45635</v>
      </c>
      <c r="D738" t="s">
        <v>2358</v>
      </c>
      <c r="E738" t="s">
        <v>104</v>
      </c>
      <c r="F738" t="s">
        <v>42</v>
      </c>
      <c r="G738" t="s">
        <v>6</v>
      </c>
      <c r="H738" t="s">
        <v>79</v>
      </c>
      <c r="I738" t="s">
        <v>80</v>
      </c>
      <c r="J738" t="s">
        <v>58</v>
      </c>
      <c r="K738" t="s">
        <v>81</v>
      </c>
      <c r="L738" t="s">
        <v>2359</v>
      </c>
      <c r="M738" t="s">
        <v>49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50</v>
      </c>
      <c r="U738" t="s">
        <v>51</v>
      </c>
    </row>
    <row r="739" spans="1:21" x14ac:dyDescent="0.3">
      <c r="A739" t="s">
        <v>2360</v>
      </c>
      <c r="B739" s="3">
        <v>45332</v>
      </c>
      <c r="C739" s="3">
        <v>45332</v>
      </c>
      <c r="D739" t="s">
        <v>2361</v>
      </c>
      <c r="E739" t="s">
        <v>64</v>
      </c>
      <c r="F739" t="s">
        <v>2362</v>
      </c>
      <c r="G739" t="s">
        <v>6</v>
      </c>
      <c r="H739" t="s">
        <v>79</v>
      </c>
      <c r="I739" t="s">
        <v>80</v>
      </c>
      <c r="J739" t="s">
        <v>58</v>
      </c>
      <c r="K739" t="s">
        <v>81</v>
      </c>
      <c r="L739" t="s">
        <v>2363</v>
      </c>
      <c r="M739" t="s">
        <v>61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50</v>
      </c>
      <c r="U739" t="s">
        <v>51</v>
      </c>
    </row>
    <row r="740" spans="1:21" x14ac:dyDescent="0.3">
      <c r="A740" t="s">
        <v>2364</v>
      </c>
      <c r="B740" s="3">
        <v>45708</v>
      </c>
      <c r="C740" s="3"/>
      <c r="D740" t="s">
        <v>2365</v>
      </c>
      <c r="E740" t="s">
        <v>130</v>
      </c>
      <c r="F740" t="s">
        <v>105</v>
      </c>
      <c r="G740" t="s">
        <v>5</v>
      </c>
      <c r="H740" t="s">
        <v>202</v>
      </c>
      <c r="I740" t="s">
        <v>203</v>
      </c>
      <c r="J740" t="s">
        <v>46</v>
      </c>
      <c r="K740" t="s">
        <v>47</v>
      </c>
      <c r="L740" t="s">
        <v>2366</v>
      </c>
      <c r="M740" t="s">
        <v>67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50</v>
      </c>
      <c r="U740" t="s">
        <v>51</v>
      </c>
    </row>
    <row r="741" spans="1:21" x14ac:dyDescent="0.3">
      <c r="A741" t="s">
        <v>2367</v>
      </c>
      <c r="B741" s="3">
        <v>45629</v>
      </c>
      <c r="C741" s="3">
        <v>45577</v>
      </c>
      <c r="D741" t="s">
        <v>2368</v>
      </c>
      <c r="E741" t="s">
        <v>94</v>
      </c>
      <c r="F741" t="s">
        <v>105</v>
      </c>
      <c r="G741" t="s">
        <v>3</v>
      </c>
      <c r="H741" t="s">
        <v>44</v>
      </c>
      <c r="I741" t="s">
        <v>45</v>
      </c>
      <c r="J741" t="s">
        <v>89</v>
      </c>
      <c r="K741" t="s">
        <v>187</v>
      </c>
      <c r="L741" t="s">
        <v>2369</v>
      </c>
      <c r="M741" t="s">
        <v>75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50</v>
      </c>
      <c r="U741" t="s">
        <v>51</v>
      </c>
    </row>
    <row r="742" spans="1:21" x14ac:dyDescent="0.3">
      <c r="A742" t="s">
        <v>2370</v>
      </c>
      <c r="B742" s="3">
        <v>45384</v>
      </c>
      <c r="C742" s="3">
        <v>45326</v>
      </c>
      <c r="D742" t="s">
        <v>552</v>
      </c>
      <c r="E742" t="s">
        <v>148</v>
      </c>
      <c r="F742" t="s">
        <v>55</v>
      </c>
      <c r="G742" t="s">
        <v>6</v>
      </c>
      <c r="H742" t="s">
        <v>79</v>
      </c>
      <c r="I742" t="s">
        <v>80</v>
      </c>
      <c r="J742" t="s">
        <v>58</v>
      </c>
      <c r="K742" t="s">
        <v>81</v>
      </c>
      <c r="L742" t="s">
        <v>2371</v>
      </c>
      <c r="M742" t="s">
        <v>67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50</v>
      </c>
      <c r="U742" t="s">
        <v>51</v>
      </c>
    </row>
    <row r="743" spans="1:21" x14ac:dyDescent="0.3">
      <c r="A743" t="s">
        <v>2372</v>
      </c>
      <c r="B743" s="3"/>
      <c r="C743" s="3">
        <v>45772</v>
      </c>
      <c r="D743" t="s">
        <v>2373</v>
      </c>
      <c r="E743" t="s">
        <v>64</v>
      </c>
      <c r="F743" t="s">
        <v>110</v>
      </c>
      <c r="G743" t="s">
        <v>5</v>
      </c>
      <c r="H743" t="s">
        <v>265</v>
      </c>
      <c r="I743" t="s">
        <v>266</v>
      </c>
      <c r="J743" t="s">
        <v>58</v>
      </c>
      <c r="K743" t="s">
        <v>81</v>
      </c>
      <c r="L743" t="s">
        <v>2374</v>
      </c>
      <c r="M743" t="s">
        <v>49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50</v>
      </c>
      <c r="U743" t="s">
        <v>83</v>
      </c>
    </row>
    <row r="744" spans="1:21" x14ac:dyDescent="0.3">
      <c r="A744" t="s">
        <v>2375</v>
      </c>
      <c r="B744" s="3"/>
      <c r="C744" s="3">
        <v>45587</v>
      </c>
      <c r="D744" t="s">
        <v>2376</v>
      </c>
      <c r="E744" t="s">
        <v>41</v>
      </c>
      <c r="F744" t="s">
        <v>105</v>
      </c>
      <c r="G744" t="s">
        <v>11</v>
      </c>
      <c r="H744" t="s">
        <v>56</v>
      </c>
      <c r="I744" t="s">
        <v>57</v>
      </c>
      <c r="J744" t="s">
        <v>46</v>
      </c>
      <c r="K744" t="s">
        <v>47</v>
      </c>
      <c r="L744" t="s">
        <v>2377</v>
      </c>
      <c r="M744" t="s">
        <v>75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50</v>
      </c>
      <c r="U744" t="s">
        <v>51</v>
      </c>
    </row>
    <row r="745" spans="1:21" x14ac:dyDescent="0.3">
      <c r="A745" t="s">
        <v>2378</v>
      </c>
      <c r="B745" s="3">
        <v>45993</v>
      </c>
      <c r="C745" s="3">
        <v>45702</v>
      </c>
      <c r="D745" t="s">
        <v>2379</v>
      </c>
      <c r="E745" t="s">
        <v>148</v>
      </c>
      <c r="F745" t="s">
        <v>42</v>
      </c>
      <c r="G745" t="s">
        <v>3</v>
      </c>
      <c r="H745" t="s">
        <v>152</v>
      </c>
      <c r="I745" t="s">
        <v>153</v>
      </c>
      <c r="J745" t="s">
        <v>46</v>
      </c>
      <c r="K745" t="s">
        <v>65</v>
      </c>
      <c r="L745" t="s">
        <v>2380</v>
      </c>
      <c r="M745" t="s">
        <v>75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50</v>
      </c>
      <c r="U745" t="s">
        <v>51</v>
      </c>
    </row>
    <row r="746" spans="1:21" x14ac:dyDescent="0.3">
      <c r="A746" t="s">
        <v>2381</v>
      </c>
      <c r="B746" s="3">
        <v>45886</v>
      </c>
      <c r="C746" s="3">
        <v>45889</v>
      </c>
      <c r="D746" t="s">
        <v>2382</v>
      </c>
      <c r="E746" t="s">
        <v>54</v>
      </c>
      <c r="F746" t="s">
        <v>110</v>
      </c>
      <c r="G746" t="s">
        <v>3</v>
      </c>
      <c r="H746" t="s">
        <v>138</v>
      </c>
      <c r="I746" t="s">
        <v>139</v>
      </c>
      <c r="J746" t="s">
        <v>46</v>
      </c>
      <c r="K746" t="s">
        <v>169</v>
      </c>
      <c r="L746" t="s">
        <v>2383</v>
      </c>
      <c r="M746" t="s">
        <v>67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50</v>
      </c>
      <c r="U746" t="s">
        <v>83</v>
      </c>
    </row>
    <row r="747" spans="1:21" x14ac:dyDescent="0.3">
      <c r="A747" t="s">
        <v>2384</v>
      </c>
      <c r="B747" s="3">
        <v>45589</v>
      </c>
      <c r="C747" s="3">
        <v>45593</v>
      </c>
      <c r="D747" t="s">
        <v>2385</v>
      </c>
      <c r="E747" t="s">
        <v>54</v>
      </c>
      <c r="F747" t="s">
        <v>55</v>
      </c>
      <c r="G747" t="s">
        <v>4</v>
      </c>
      <c r="H747" t="s">
        <v>182</v>
      </c>
      <c r="I747" t="s">
        <v>183</v>
      </c>
      <c r="J747" t="s">
        <v>89</v>
      </c>
      <c r="K747" t="s">
        <v>95</v>
      </c>
      <c r="L747" t="s">
        <v>2386</v>
      </c>
      <c r="M747" t="s">
        <v>75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50</v>
      </c>
      <c r="U747" t="s">
        <v>51</v>
      </c>
    </row>
    <row r="748" spans="1:21" x14ac:dyDescent="0.3">
      <c r="A748" t="s">
        <v>2387</v>
      </c>
      <c r="B748" s="3">
        <v>45661</v>
      </c>
      <c r="C748" s="3">
        <v>45667</v>
      </c>
      <c r="D748" t="s">
        <v>2090</v>
      </c>
      <c r="E748" t="s">
        <v>144</v>
      </c>
      <c r="F748" t="s">
        <v>110</v>
      </c>
      <c r="G748" t="s">
        <v>4</v>
      </c>
      <c r="H748" t="s">
        <v>114</v>
      </c>
      <c r="I748" t="s">
        <v>115</v>
      </c>
      <c r="J748" t="s">
        <v>46</v>
      </c>
      <c r="K748" t="s">
        <v>47</v>
      </c>
      <c r="L748" t="s">
        <v>2388</v>
      </c>
      <c r="M748" t="s">
        <v>75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50</v>
      </c>
      <c r="U748" t="s">
        <v>51</v>
      </c>
    </row>
    <row r="749" spans="1:21" x14ac:dyDescent="0.3">
      <c r="A749" t="s">
        <v>2389</v>
      </c>
      <c r="B749" s="3">
        <v>45413</v>
      </c>
      <c r="C749" s="3">
        <v>45419</v>
      </c>
      <c r="D749" t="s">
        <v>2390</v>
      </c>
      <c r="E749" t="s">
        <v>64</v>
      </c>
      <c r="F749" t="s">
        <v>110</v>
      </c>
      <c r="G749" t="s">
        <v>4</v>
      </c>
      <c r="H749" t="s">
        <v>56</v>
      </c>
      <c r="I749" t="s">
        <v>57</v>
      </c>
      <c r="J749" t="s">
        <v>46</v>
      </c>
      <c r="K749" t="s">
        <v>47</v>
      </c>
      <c r="L749" t="s">
        <v>2391</v>
      </c>
      <c r="M749" t="s">
        <v>61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50</v>
      </c>
      <c r="U749" t="s">
        <v>51</v>
      </c>
    </row>
    <row r="750" spans="1:21" x14ac:dyDescent="0.3">
      <c r="A750" t="s">
        <v>2392</v>
      </c>
      <c r="B750" s="3">
        <v>45442</v>
      </c>
      <c r="C750" s="3"/>
      <c r="D750" t="s">
        <v>2393</v>
      </c>
      <c r="E750" t="s">
        <v>178</v>
      </c>
      <c r="F750" t="s">
        <v>110</v>
      </c>
      <c r="G750" t="s">
        <v>3</v>
      </c>
      <c r="H750" t="s">
        <v>254</v>
      </c>
      <c r="I750" t="s">
        <v>255</v>
      </c>
      <c r="J750" t="s">
        <v>89</v>
      </c>
      <c r="K750" t="s">
        <v>187</v>
      </c>
      <c r="L750" t="s">
        <v>2394</v>
      </c>
      <c r="M750" t="s">
        <v>49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50</v>
      </c>
      <c r="U750" t="s">
        <v>51</v>
      </c>
    </row>
    <row r="751" spans="1:21" x14ac:dyDescent="0.3">
      <c r="A751" t="s">
        <v>2395</v>
      </c>
      <c r="B751" s="3">
        <v>45372</v>
      </c>
      <c r="C751" s="3">
        <v>45376</v>
      </c>
      <c r="D751" t="s">
        <v>2396</v>
      </c>
      <c r="E751" t="s">
        <v>104</v>
      </c>
      <c r="F751" t="s">
        <v>110</v>
      </c>
      <c r="G751" t="s">
        <v>4</v>
      </c>
      <c r="H751" t="s">
        <v>182</v>
      </c>
      <c r="I751" t="s">
        <v>183</v>
      </c>
      <c r="J751" t="s">
        <v>89</v>
      </c>
      <c r="K751" t="s">
        <v>294</v>
      </c>
      <c r="L751" t="s">
        <v>2397</v>
      </c>
      <c r="M751" t="s">
        <v>75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50</v>
      </c>
      <c r="U751" t="s">
        <v>51</v>
      </c>
    </row>
    <row r="752" spans="1:21" x14ac:dyDescent="0.3">
      <c r="A752" t="s">
        <v>2398</v>
      </c>
      <c r="B752" s="3">
        <v>45694</v>
      </c>
      <c r="C752" s="3">
        <v>45810</v>
      </c>
      <c r="D752" t="s">
        <v>2399</v>
      </c>
      <c r="E752" t="s">
        <v>144</v>
      </c>
      <c r="F752" t="s">
        <v>110</v>
      </c>
      <c r="G752" t="s">
        <v>5</v>
      </c>
      <c r="H752" t="s">
        <v>71</v>
      </c>
      <c r="I752" t="s">
        <v>72</v>
      </c>
      <c r="J752" t="s">
        <v>89</v>
      </c>
      <c r="K752" t="s">
        <v>90</v>
      </c>
      <c r="L752" t="s">
        <v>2400</v>
      </c>
      <c r="M752" t="s">
        <v>67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50</v>
      </c>
      <c r="U752" t="s">
        <v>51</v>
      </c>
    </row>
    <row r="753" spans="1:21" x14ac:dyDescent="0.3">
      <c r="A753" t="s">
        <v>2401</v>
      </c>
      <c r="B753" s="3">
        <v>45856</v>
      </c>
      <c r="C753" s="3">
        <v>45857</v>
      </c>
      <c r="D753" t="s">
        <v>2402</v>
      </c>
      <c r="E753" t="s">
        <v>130</v>
      </c>
      <c r="F753" t="s">
        <v>110</v>
      </c>
      <c r="H753" t="s">
        <v>152</v>
      </c>
      <c r="I753" t="s">
        <v>153</v>
      </c>
      <c r="J753" t="s">
        <v>89</v>
      </c>
      <c r="K753" t="s">
        <v>294</v>
      </c>
      <c r="L753" t="s">
        <v>2403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50</v>
      </c>
      <c r="U753" t="s">
        <v>51</v>
      </c>
    </row>
    <row r="754" spans="1:21" x14ac:dyDescent="0.3">
      <c r="A754" t="s">
        <v>2404</v>
      </c>
      <c r="B754" s="3">
        <v>45375</v>
      </c>
      <c r="C754" s="3">
        <v>45378</v>
      </c>
      <c r="D754" t="s">
        <v>2405</v>
      </c>
      <c r="E754" t="s">
        <v>104</v>
      </c>
      <c r="F754" t="s">
        <v>105</v>
      </c>
      <c r="G754" t="s">
        <v>2406</v>
      </c>
      <c r="H754" t="s">
        <v>197</v>
      </c>
      <c r="I754" t="s">
        <v>198</v>
      </c>
      <c r="J754" t="s">
        <v>46</v>
      </c>
      <c r="K754" t="s">
        <v>140</v>
      </c>
      <c r="L754" t="s">
        <v>2407</v>
      </c>
      <c r="M754" t="s">
        <v>67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50</v>
      </c>
      <c r="U754" t="s">
        <v>51</v>
      </c>
    </row>
    <row r="755" spans="1:21" x14ac:dyDescent="0.3">
      <c r="A755" t="s">
        <v>2408</v>
      </c>
      <c r="B755" s="3">
        <v>45515</v>
      </c>
      <c r="C755" s="3">
        <v>45514</v>
      </c>
      <c r="D755" t="s">
        <v>2409</v>
      </c>
      <c r="E755" t="s">
        <v>104</v>
      </c>
      <c r="F755" t="s">
        <v>105</v>
      </c>
      <c r="G755" t="s">
        <v>3</v>
      </c>
      <c r="H755" t="s">
        <v>372</v>
      </c>
      <c r="I755" t="s">
        <v>373</v>
      </c>
      <c r="J755" t="s">
        <v>368</v>
      </c>
      <c r="K755" t="s">
        <v>73</v>
      </c>
      <c r="L755" t="s">
        <v>2410</v>
      </c>
      <c r="M755" t="s">
        <v>49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171</v>
      </c>
      <c r="U755" t="s">
        <v>118</v>
      </c>
    </row>
    <row r="756" spans="1:21" x14ac:dyDescent="0.3">
      <c r="A756" t="s">
        <v>2411</v>
      </c>
      <c r="B756" s="3">
        <v>45753</v>
      </c>
      <c r="C756" s="3">
        <v>45753</v>
      </c>
      <c r="D756" t="s">
        <v>2412</v>
      </c>
      <c r="E756" t="s">
        <v>94</v>
      </c>
      <c r="F756" t="s">
        <v>105</v>
      </c>
      <c r="G756" t="s">
        <v>5</v>
      </c>
      <c r="H756" t="s">
        <v>202</v>
      </c>
      <c r="I756" t="s">
        <v>203</v>
      </c>
      <c r="J756" t="s">
        <v>46</v>
      </c>
      <c r="K756" t="s">
        <v>140</v>
      </c>
      <c r="L756" t="s">
        <v>2413</v>
      </c>
      <c r="M756" t="s">
        <v>75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50</v>
      </c>
      <c r="U756" t="s">
        <v>51</v>
      </c>
    </row>
    <row r="757" spans="1:21" x14ac:dyDescent="0.3">
      <c r="A757" t="s">
        <v>2414</v>
      </c>
      <c r="B757" s="3">
        <v>45858</v>
      </c>
      <c r="C757" s="3">
        <v>45862</v>
      </c>
      <c r="D757" t="s">
        <v>2415</v>
      </c>
      <c r="E757" t="s">
        <v>130</v>
      </c>
      <c r="F757" t="s">
        <v>110</v>
      </c>
      <c r="G757" t="s">
        <v>6</v>
      </c>
      <c r="H757" t="s">
        <v>87</v>
      </c>
      <c r="I757" t="s">
        <v>88</v>
      </c>
      <c r="J757" t="s">
        <v>46</v>
      </c>
      <c r="K757" t="s">
        <v>140</v>
      </c>
      <c r="L757" t="s">
        <v>2416</v>
      </c>
      <c r="M757" t="s">
        <v>49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50</v>
      </c>
      <c r="U757" t="s">
        <v>51</v>
      </c>
    </row>
    <row r="758" spans="1:21" x14ac:dyDescent="0.3">
      <c r="A758" t="s">
        <v>2417</v>
      </c>
      <c r="B758" s="3"/>
      <c r="C758" s="3">
        <v>45302</v>
      </c>
      <c r="D758" t="s">
        <v>2418</v>
      </c>
      <c r="E758" t="s">
        <v>157</v>
      </c>
      <c r="F758" t="s">
        <v>42</v>
      </c>
      <c r="G758" t="s">
        <v>3</v>
      </c>
      <c r="H758" t="s">
        <v>44</v>
      </c>
      <c r="I758" t="s">
        <v>45</v>
      </c>
      <c r="J758" t="s">
        <v>89</v>
      </c>
      <c r="K758" t="s">
        <v>90</v>
      </c>
      <c r="L758" t="s">
        <v>2419</v>
      </c>
      <c r="M758" t="s">
        <v>61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50</v>
      </c>
      <c r="U758" t="s">
        <v>118</v>
      </c>
    </row>
    <row r="759" spans="1:21" x14ac:dyDescent="0.3">
      <c r="A759" t="s">
        <v>2420</v>
      </c>
      <c r="B759" s="3">
        <v>45870</v>
      </c>
      <c r="C759" s="3">
        <v>45872</v>
      </c>
      <c r="D759" t="s">
        <v>2421</v>
      </c>
      <c r="E759" t="s">
        <v>104</v>
      </c>
      <c r="F759" t="s">
        <v>55</v>
      </c>
      <c r="G759" t="s">
        <v>5</v>
      </c>
      <c r="H759" t="s">
        <v>202</v>
      </c>
      <c r="I759" t="s">
        <v>203</v>
      </c>
      <c r="J759" t="s">
        <v>58</v>
      </c>
      <c r="K759" t="s">
        <v>174</v>
      </c>
      <c r="L759" t="s">
        <v>2422</v>
      </c>
      <c r="M759" t="s">
        <v>75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171</v>
      </c>
      <c r="U759" t="s">
        <v>83</v>
      </c>
    </row>
    <row r="760" spans="1:21" x14ac:dyDescent="0.3">
      <c r="A760" t="s">
        <v>2423</v>
      </c>
      <c r="B760" s="3">
        <v>45414</v>
      </c>
      <c r="C760" s="3">
        <v>45422</v>
      </c>
      <c r="D760" t="s">
        <v>2424</v>
      </c>
      <c r="E760" t="s">
        <v>144</v>
      </c>
      <c r="F760" t="s">
        <v>55</v>
      </c>
      <c r="G760" t="s">
        <v>5</v>
      </c>
      <c r="H760" t="s">
        <v>192</v>
      </c>
      <c r="I760" t="s">
        <v>193</v>
      </c>
      <c r="J760" t="s">
        <v>58</v>
      </c>
      <c r="K760" t="s">
        <v>81</v>
      </c>
      <c r="L760" t="s">
        <v>2425</v>
      </c>
      <c r="M760" t="s">
        <v>75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50</v>
      </c>
      <c r="U760" t="s">
        <v>51</v>
      </c>
    </row>
    <row r="761" spans="1:21" x14ac:dyDescent="0.3">
      <c r="A761" t="s">
        <v>2426</v>
      </c>
      <c r="B761" s="3">
        <v>45492</v>
      </c>
      <c r="C761" s="3">
        <v>45499</v>
      </c>
      <c r="D761" t="s">
        <v>2427</v>
      </c>
      <c r="E761" t="s">
        <v>70</v>
      </c>
      <c r="F761" t="s">
        <v>110</v>
      </c>
      <c r="G761" t="s">
        <v>2428</v>
      </c>
      <c r="H761" t="s">
        <v>192</v>
      </c>
      <c r="I761" t="s">
        <v>193</v>
      </c>
      <c r="J761" t="s">
        <v>58</v>
      </c>
      <c r="K761" t="s">
        <v>59</v>
      </c>
      <c r="L761" t="s">
        <v>2429</v>
      </c>
      <c r="M761" t="s">
        <v>49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50</v>
      </c>
      <c r="U761" t="s">
        <v>51</v>
      </c>
    </row>
    <row r="762" spans="1:21" x14ac:dyDescent="0.3">
      <c r="A762" t="s">
        <v>2430</v>
      </c>
      <c r="B762" s="3">
        <v>45532</v>
      </c>
      <c r="C762" s="3">
        <v>45537</v>
      </c>
      <c r="D762" t="s">
        <v>2431</v>
      </c>
      <c r="E762" t="s">
        <v>104</v>
      </c>
      <c r="F762" t="s">
        <v>110</v>
      </c>
      <c r="G762" t="s">
        <v>4</v>
      </c>
      <c r="H762" t="s">
        <v>182</v>
      </c>
      <c r="I762" t="s">
        <v>183</v>
      </c>
      <c r="J762" t="s">
        <v>46</v>
      </c>
      <c r="K762" t="s">
        <v>65</v>
      </c>
      <c r="L762" t="s">
        <v>2432</v>
      </c>
      <c r="M762" t="s">
        <v>49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127</v>
      </c>
      <c r="U762" t="s">
        <v>118</v>
      </c>
    </row>
    <row r="763" spans="1:21" x14ac:dyDescent="0.3">
      <c r="A763" t="s">
        <v>2433</v>
      </c>
      <c r="B763" s="3">
        <v>45896</v>
      </c>
      <c r="C763" s="3"/>
      <c r="D763" t="s">
        <v>2434</v>
      </c>
      <c r="E763" t="s">
        <v>64</v>
      </c>
      <c r="F763" t="s">
        <v>42</v>
      </c>
      <c r="G763" t="s">
        <v>5</v>
      </c>
      <c r="H763" t="s">
        <v>192</v>
      </c>
      <c r="I763" t="s">
        <v>193</v>
      </c>
      <c r="J763" t="s">
        <v>89</v>
      </c>
      <c r="K763" t="s">
        <v>294</v>
      </c>
      <c r="L763" t="s">
        <v>2435</v>
      </c>
      <c r="M763" t="s">
        <v>67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50</v>
      </c>
      <c r="U763" t="s">
        <v>51</v>
      </c>
    </row>
    <row r="764" spans="1:21" x14ac:dyDescent="0.3">
      <c r="A764" t="s">
        <v>2436</v>
      </c>
      <c r="B764" s="3">
        <v>45292</v>
      </c>
      <c r="C764" s="3">
        <v>45296</v>
      </c>
      <c r="D764" t="s">
        <v>2437</v>
      </c>
      <c r="E764" t="s">
        <v>178</v>
      </c>
      <c r="F764" t="s">
        <v>105</v>
      </c>
      <c r="G764" t="s">
        <v>6</v>
      </c>
      <c r="H764" t="s">
        <v>87</v>
      </c>
      <c r="I764" t="s">
        <v>88</v>
      </c>
      <c r="J764" t="s">
        <v>89</v>
      </c>
      <c r="K764" t="s">
        <v>294</v>
      </c>
      <c r="L764" t="s">
        <v>2438</v>
      </c>
      <c r="M764" t="s">
        <v>49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117</v>
      </c>
      <c r="U764" t="s">
        <v>118</v>
      </c>
    </row>
    <row r="765" spans="1:21" x14ac:dyDescent="0.3">
      <c r="A765" t="s">
        <v>2439</v>
      </c>
      <c r="B765" s="3">
        <v>45892</v>
      </c>
      <c r="C765" s="3">
        <v>45894</v>
      </c>
      <c r="D765" t="s">
        <v>2440</v>
      </c>
      <c r="E765" t="s">
        <v>178</v>
      </c>
      <c r="F765" t="s">
        <v>42</v>
      </c>
      <c r="G765" t="s">
        <v>3</v>
      </c>
      <c r="H765" t="s">
        <v>44</v>
      </c>
      <c r="I765" t="s">
        <v>45</v>
      </c>
      <c r="J765" t="s">
        <v>58</v>
      </c>
      <c r="K765" t="s">
        <v>73</v>
      </c>
      <c r="L765" t="s">
        <v>2441</v>
      </c>
      <c r="M765" t="s">
        <v>61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50</v>
      </c>
      <c r="U765" t="s">
        <v>51</v>
      </c>
    </row>
    <row r="766" spans="1:21" x14ac:dyDescent="0.3">
      <c r="A766" t="s">
        <v>2442</v>
      </c>
      <c r="B766" s="3">
        <v>45760</v>
      </c>
      <c r="C766" s="3">
        <v>45760</v>
      </c>
      <c r="D766" t="s">
        <v>925</v>
      </c>
      <c r="E766" t="s">
        <v>130</v>
      </c>
      <c r="F766" t="s">
        <v>105</v>
      </c>
      <c r="G766" t="s">
        <v>5</v>
      </c>
      <c r="H766" t="s">
        <v>202</v>
      </c>
      <c r="I766" t="s">
        <v>203</v>
      </c>
      <c r="J766" t="s">
        <v>58</v>
      </c>
      <c r="K766" t="s">
        <v>174</v>
      </c>
      <c r="L766" t="s">
        <v>2443</v>
      </c>
      <c r="M766" t="s">
        <v>67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50</v>
      </c>
      <c r="U766" t="s">
        <v>51</v>
      </c>
    </row>
    <row r="767" spans="1:21" x14ac:dyDescent="0.3">
      <c r="A767" t="s">
        <v>2444</v>
      </c>
      <c r="B767" s="3">
        <v>45837</v>
      </c>
      <c r="C767" s="3">
        <v>45841</v>
      </c>
      <c r="D767" t="s">
        <v>2445</v>
      </c>
      <c r="E767" t="s">
        <v>86</v>
      </c>
      <c r="F767" t="s">
        <v>105</v>
      </c>
      <c r="G767" t="s">
        <v>4</v>
      </c>
      <c r="H767" t="s">
        <v>246</v>
      </c>
      <c r="I767" t="s">
        <v>247</v>
      </c>
      <c r="J767" t="s">
        <v>46</v>
      </c>
      <c r="K767" t="s">
        <v>106</v>
      </c>
      <c r="L767" t="s">
        <v>2446</v>
      </c>
      <c r="M767" t="s">
        <v>67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50</v>
      </c>
      <c r="U767" t="s">
        <v>51</v>
      </c>
    </row>
    <row r="768" spans="1:21" x14ac:dyDescent="0.3">
      <c r="A768" t="s">
        <v>2447</v>
      </c>
      <c r="B768" s="3">
        <v>45552</v>
      </c>
      <c r="C768" s="3">
        <v>45559</v>
      </c>
      <c r="D768" t="s">
        <v>2448</v>
      </c>
      <c r="E768" t="s">
        <v>54</v>
      </c>
      <c r="F768" t="s">
        <v>105</v>
      </c>
      <c r="G768" t="s">
        <v>6</v>
      </c>
      <c r="H768" t="s">
        <v>197</v>
      </c>
      <c r="I768" t="s">
        <v>198</v>
      </c>
      <c r="J768" t="s">
        <v>46</v>
      </c>
      <c r="K768" t="s">
        <v>65</v>
      </c>
      <c r="L768" t="s">
        <v>2449</v>
      </c>
      <c r="M768" t="s">
        <v>49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50</v>
      </c>
      <c r="U768" t="s">
        <v>83</v>
      </c>
    </row>
    <row r="769" spans="1:21" x14ac:dyDescent="0.3">
      <c r="A769" t="s">
        <v>2450</v>
      </c>
      <c r="B769" s="3">
        <v>45415</v>
      </c>
      <c r="C769" s="3">
        <v>45448</v>
      </c>
      <c r="D769" t="s">
        <v>2451</v>
      </c>
      <c r="E769" t="s">
        <v>78</v>
      </c>
      <c r="F769" t="s">
        <v>110</v>
      </c>
      <c r="G769" t="s">
        <v>3</v>
      </c>
      <c r="H769" t="s">
        <v>152</v>
      </c>
      <c r="I769" t="s">
        <v>153</v>
      </c>
      <c r="J769" t="s">
        <v>640</v>
      </c>
      <c r="K769" t="s">
        <v>169</v>
      </c>
      <c r="L769" t="s">
        <v>2452</v>
      </c>
      <c r="M769" t="s">
        <v>75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50</v>
      </c>
      <c r="U769" t="s">
        <v>51</v>
      </c>
    </row>
    <row r="770" spans="1:21" x14ac:dyDescent="0.3">
      <c r="A770" t="s">
        <v>2453</v>
      </c>
      <c r="B770" s="3">
        <v>45749</v>
      </c>
      <c r="C770" s="3">
        <v>45751</v>
      </c>
      <c r="D770" t="s">
        <v>2454</v>
      </c>
      <c r="E770" t="s">
        <v>148</v>
      </c>
      <c r="F770" t="s">
        <v>110</v>
      </c>
      <c r="G770" t="s">
        <v>4</v>
      </c>
      <c r="H770" t="s">
        <v>246</v>
      </c>
      <c r="I770" t="s">
        <v>247</v>
      </c>
      <c r="J770" t="s">
        <v>46</v>
      </c>
      <c r="K770" t="s">
        <v>47</v>
      </c>
      <c r="L770" t="s">
        <v>2455</v>
      </c>
      <c r="M770" t="s">
        <v>61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50</v>
      </c>
      <c r="U770" t="s">
        <v>51</v>
      </c>
    </row>
    <row r="771" spans="1:21" x14ac:dyDescent="0.3">
      <c r="A771" t="s">
        <v>2456</v>
      </c>
      <c r="B771" s="3">
        <v>45601</v>
      </c>
      <c r="C771" s="3">
        <v>45425</v>
      </c>
      <c r="D771" t="s">
        <v>2457</v>
      </c>
      <c r="E771" t="s">
        <v>130</v>
      </c>
      <c r="F771" t="s">
        <v>110</v>
      </c>
      <c r="G771" t="s">
        <v>6</v>
      </c>
      <c r="H771" t="s">
        <v>207</v>
      </c>
      <c r="I771" t="s">
        <v>208</v>
      </c>
      <c r="J771" t="s">
        <v>58</v>
      </c>
      <c r="K771" t="s">
        <v>174</v>
      </c>
      <c r="L771" t="s">
        <v>2458</v>
      </c>
      <c r="M771" t="s">
        <v>61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50</v>
      </c>
      <c r="U771" t="s">
        <v>51</v>
      </c>
    </row>
    <row r="772" spans="1:21" x14ac:dyDescent="0.3">
      <c r="A772" t="s">
        <v>2459</v>
      </c>
      <c r="B772" s="3"/>
      <c r="C772" s="3">
        <v>45339</v>
      </c>
      <c r="D772" t="s">
        <v>2460</v>
      </c>
      <c r="E772" t="s">
        <v>94</v>
      </c>
      <c r="F772" t="s">
        <v>42</v>
      </c>
      <c r="G772" t="s">
        <v>3</v>
      </c>
      <c r="H772" t="s">
        <v>152</v>
      </c>
      <c r="I772" t="s">
        <v>153</v>
      </c>
      <c r="J772" t="s">
        <v>89</v>
      </c>
      <c r="K772" t="s">
        <v>95</v>
      </c>
      <c r="L772" t="s">
        <v>2461</v>
      </c>
      <c r="M772" t="s">
        <v>67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50</v>
      </c>
      <c r="U772" t="s">
        <v>51</v>
      </c>
    </row>
    <row r="773" spans="1:21" x14ac:dyDescent="0.3">
      <c r="A773" t="s">
        <v>2462</v>
      </c>
      <c r="B773" s="3">
        <v>45485</v>
      </c>
      <c r="C773" s="3">
        <v>45487</v>
      </c>
      <c r="D773" t="s">
        <v>493</v>
      </c>
      <c r="E773" t="s">
        <v>78</v>
      </c>
      <c r="F773" t="s">
        <v>42</v>
      </c>
      <c r="G773" t="s">
        <v>3</v>
      </c>
      <c r="H773" t="s">
        <v>254</v>
      </c>
      <c r="I773" t="s">
        <v>255</v>
      </c>
      <c r="J773" t="s">
        <v>89</v>
      </c>
      <c r="K773" t="s">
        <v>294</v>
      </c>
      <c r="L773" t="s">
        <v>2463</v>
      </c>
      <c r="M773" t="s">
        <v>49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50</v>
      </c>
      <c r="U773" t="s">
        <v>51</v>
      </c>
    </row>
    <row r="774" spans="1:21" x14ac:dyDescent="0.3">
      <c r="A774" t="s">
        <v>2464</v>
      </c>
      <c r="B774" s="3"/>
      <c r="C774" s="3">
        <v>45857</v>
      </c>
      <c r="D774" t="s">
        <v>2465</v>
      </c>
      <c r="E774" t="s">
        <v>178</v>
      </c>
      <c r="F774" t="s">
        <v>42</v>
      </c>
      <c r="G774" t="s">
        <v>5</v>
      </c>
      <c r="H774" t="s">
        <v>265</v>
      </c>
      <c r="I774" t="s">
        <v>266</v>
      </c>
      <c r="J774" t="s">
        <v>58</v>
      </c>
      <c r="K774" t="s">
        <v>81</v>
      </c>
      <c r="L774" t="s">
        <v>2466</v>
      </c>
      <c r="M774" t="s">
        <v>61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127</v>
      </c>
      <c r="U774" t="s">
        <v>83</v>
      </c>
    </row>
    <row r="775" spans="1:21" x14ac:dyDescent="0.3">
      <c r="A775" t="s">
        <v>2467</v>
      </c>
      <c r="B775" s="3">
        <v>45709</v>
      </c>
      <c r="C775" s="3">
        <v>45709</v>
      </c>
      <c r="D775" t="s">
        <v>2468</v>
      </c>
      <c r="E775" t="s">
        <v>41</v>
      </c>
      <c r="F775" t="s">
        <v>110</v>
      </c>
      <c r="G775" t="s">
        <v>6</v>
      </c>
      <c r="H775" t="s">
        <v>197</v>
      </c>
      <c r="I775" t="s">
        <v>198</v>
      </c>
      <c r="J775" t="s">
        <v>89</v>
      </c>
      <c r="K775" t="s">
        <v>187</v>
      </c>
      <c r="L775" t="s">
        <v>2469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50</v>
      </c>
      <c r="U775" t="s">
        <v>51</v>
      </c>
    </row>
    <row r="776" spans="1:21" x14ac:dyDescent="0.3">
      <c r="A776" t="s">
        <v>2470</v>
      </c>
      <c r="B776" s="3">
        <v>45876</v>
      </c>
      <c r="C776" s="3">
        <v>45876</v>
      </c>
      <c r="D776" t="s">
        <v>2471</v>
      </c>
      <c r="E776" t="s">
        <v>284</v>
      </c>
      <c r="F776" t="s">
        <v>42</v>
      </c>
      <c r="G776" t="s">
        <v>6</v>
      </c>
      <c r="H776" t="s">
        <v>44</v>
      </c>
      <c r="I776" t="s">
        <v>125</v>
      </c>
      <c r="J776" t="s">
        <v>89</v>
      </c>
      <c r="K776" t="s">
        <v>294</v>
      </c>
      <c r="L776" t="s">
        <v>2472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50</v>
      </c>
      <c r="U776" t="s">
        <v>51</v>
      </c>
    </row>
    <row r="777" spans="1:21" x14ac:dyDescent="0.3">
      <c r="A777" t="s">
        <v>2473</v>
      </c>
      <c r="B777" s="3">
        <v>45396</v>
      </c>
      <c r="C777" s="3">
        <v>45404</v>
      </c>
      <c r="D777" t="s">
        <v>2474</v>
      </c>
      <c r="E777" t="s">
        <v>70</v>
      </c>
      <c r="F777" t="s">
        <v>42</v>
      </c>
      <c r="G777" t="s">
        <v>3</v>
      </c>
      <c r="H777" t="s">
        <v>254</v>
      </c>
      <c r="I777" t="s">
        <v>255</v>
      </c>
      <c r="J777" t="s">
        <v>89</v>
      </c>
      <c r="K777" t="s">
        <v>90</v>
      </c>
      <c r="L777" t="s">
        <v>2475</v>
      </c>
      <c r="M777" t="s">
        <v>75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50</v>
      </c>
      <c r="U777" t="s">
        <v>51</v>
      </c>
    </row>
    <row r="778" spans="1:21" x14ac:dyDescent="0.3">
      <c r="A778" t="s">
        <v>2476</v>
      </c>
      <c r="B778" s="3">
        <v>45816</v>
      </c>
      <c r="C778" s="3"/>
      <c r="D778" t="s">
        <v>2477</v>
      </c>
      <c r="E778" t="s">
        <v>104</v>
      </c>
      <c r="F778" t="s">
        <v>55</v>
      </c>
      <c r="G778" t="s">
        <v>3</v>
      </c>
      <c r="H778" t="s">
        <v>44</v>
      </c>
      <c r="I778" t="s">
        <v>45</v>
      </c>
      <c r="J778" t="s">
        <v>89</v>
      </c>
      <c r="K778" t="s">
        <v>95</v>
      </c>
      <c r="L778" t="s">
        <v>2478</v>
      </c>
      <c r="M778" t="s">
        <v>49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50</v>
      </c>
      <c r="U778" t="s">
        <v>51</v>
      </c>
    </row>
    <row r="779" spans="1:21" x14ac:dyDescent="0.3">
      <c r="A779" t="s">
        <v>2479</v>
      </c>
      <c r="B779" s="3">
        <v>45326</v>
      </c>
      <c r="C779" s="3">
        <v>45328</v>
      </c>
      <c r="D779" t="s">
        <v>2480</v>
      </c>
      <c r="E779" t="s">
        <v>284</v>
      </c>
      <c r="F779" t="s">
        <v>55</v>
      </c>
      <c r="G779" t="s">
        <v>6</v>
      </c>
      <c r="H779" t="s">
        <v>87</v>
      </c>
      <c r="I779" t="s">
        <v>88</v>
      </c>
      <c r="J779" t="s">
        <v>89</v>
      </c>
      <c r="K779" t="s">
        <v>90</v>
      </c>
      <c r="L779" t="s">
        <v>2481</v>
      </c>
      <c r="M779" t="s">
        <v>49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171</v>
      </c>
      <c r="U779" t="s">
        <v>83</v>
      </c>
    </row>
    <row r="780" spans="1:21" x14ac:dyDescent="0.3">
      <c r="A780" t="s">
        <v>2482</v>
      </c>
      <c r="B780" s="3"/>
      <c r="C780" s="3">
        <v>45497</v>
      </c>
      <c r="D780" t="s">
        <v>2483</v>
      </c>
      <c r="E780" t="s">
        <v>41</v>
      </c>
      <c r="F780" t="s">
        <v>55</v>
      </c>
      <c r="G780" t="s">
        <v>3</v>
      </c>
      <c r="H780" t="s">
        <v>254</v>
      </c>
      <c r="I780" t="s">
        <v>255</v>
      </c>
      <c r="J780" t="s">
        <v>89</v>
      </c>
      <c r="K780" t="s">
        <v>95</v>
      </c>
      <c r="L780" t="s">
        <v>2484</v>
      </c>
      <c r="M780" t="s">
        <v>49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50</v>
      </c>
      <c r="U780" t="s">
        <v>51</v>
      </c>
    </row>
    <row r="781" spans="1:21" x14ac:dyDescent="0.3">
      <c r="A781" t="s">
        <v>2485</v>
      </c>
      <c r="B781" s="3"/>
      <c r="C781" s="3">
        <v>45311</v>
      </c>
      <c r="D781" t="s">
        <v>2486</v>
      </c>
      <c r="E781" t="s">
        <v>130</v>
      </c>
      <c r="F781" t="s">
        <v>55</v>
      </c>
      <c r="G781" t="s">
        <v>5</v>
      </c>
      <c r="H781" t="s">
        <v>99</v>
      </c>
      <c r="I781" t="s">
        <v>100</v>
      </c>
      <c r="J781" t="s">
        <v>58</v>
      </c>
      <c r="K781" t="s">
        <v>81</v>
      </c>
      <c r="L781" t="s">
        <v>2487</v>
      </c>
      <c r="M781" t="s">
        <v>75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50</v>
      </c>
      <c r="U781" t="s">
        <v>51</v>
      </c>
    </row>
    <row r="782" spans="1:21" x14ac:dyDescent="0.3">
      <c r="A782" t="s">
        <v>2488</v>
      </c>
      <c r="B782" s="3">
        <v>45508</v>
      </c>
      <c r="C782" s="3">
        <v>45573</v>
      </c>
      <c r="D782" t="s">
        <v>2489</v>
      </c>
      <c r="E782" t="s">
        <v>178</v>
      </c>
      <c r="F782" t="s">
        <v>55</v>
      </c>
      <c r="G782" t="s">
        <v>6</v>
      </c>
      <c r="H782" t="s">
        <v>44</v>
      </c>
      <c r="I782" t="s">
        <v>125</v>
      </c>
      <c r="J782" t="s">
        <v>58</v>
      </c>
      <c r="K782" t="s">
        <v>81</v>
      </c>
      <c r="L782" t="s">
        <v>2490</v>
      </c>
      <c r="M782" t="s">
        <v>61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50</v>
      </c>
      <c r="U782" t="s">
        <v>51</v>
      </c>
    </row>
    <row r="783" spans="1:21" x14ac:dyDescent="0.3">
      <c r="A783" t="s">
        <v>2491</v>
      </c>
      <c r="B783" s="3">
        <v>45324</v>
      </c>
      <c r="C783" s="3">
        <v>45332</v>
      </c>
      <c r="D783" t="s">
        <v>2492</v>
      </c>
      <c r="E783" t="s">
        <v>41</v>
      </c>
      <c r="F783" t="s">
        <v>110</v>
      </c>
      <c r="G783" t="s">
        <v>6</v>
      </c>
      <c r="H783" t="s">
        <v>44</v>
      </c>
      <c r="I783" t="s">
        <v>125</v>
      </c>
      <c r="J783" t="s">
        <v>46</v>
      </c>
      <c r="K783" t="s">
        <v>106</v>
      </c>
      <c r="L783" t="s">
        <v>2493</v>
      </c>
      <c r="M783" t="s">
        <v>67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127</v>
      </c>
      <c r="U783" t="s">
        <v>118</v>
      </c>
    </row>
    <row r="784" spans="1:21" x14ac:dyDescent="0.3">
      <c r="A784" t="s">
        <v>2494</v>
      </c>
      <c r="B784" s="3">
        <v>45730</v>
      </c>
      <c r="C784" s="3"/>
      <c r="D784" t="s">
        <v>2495</v>
      </c>
      <c r="E784" t="s">
        <v>54</v>
      </c>
      <c r="F784" t="s">
        <v>105</v>
      </c>
      <c r="G784" t="s">
        <v>4</v>
      </c>
      <c r="H784" t="s">
        <v>114</v>
      </c>
      <c r="I784" t="s">
        <v>115</v>
      </c>
      <c r="J784" t="s">
        <v>89</v>
      </c>
      <c r="K784" t="s">
        <v>95</v>
      </c>
      <c r="L784" t="s">
        <v>2496</v>
      </c>
      <c r="M784" t="s">
        <v>75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50</v>
      </c>
      <c r="U784" t="s">
        <v>51</v>
      </c>
    </row>
    <row r="785" spans="1:21" x14ac:dyDescent="0.3">
      <c r="A785" t="s">
        <v>2497</v>
      </c>
      <c r="B785" s="3">
        <v>45450</v>
      </c>
      <c r="C785" s="3">
        <v>45450</v>
      </c>
      <c r="D785" t="s">
        <v>2498</v>
      </c>
      <c r="E785" t="s">
        <v>144</v>
      </c>
      <c r="F785" t="s">
        <v>55</v>
      </c>
      <c r="G785" t="s">
        <v>4</v>
      </c>
      <c r="H785" t="s">
        <v>161</v>
      </c>
      <c r="I785" t="s">
        <v>162</v>
      </c>
      <c r="J785" t="s">
        <v>46</v>
      </c>
      <c r="K785" t="s">
        <v>65</v>
      </c>
      <c r="L785" t="s">
        <v>2499</v>
      </c>
      <c r="M785" t="s">
        <v>49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50</v>
      </c>
      <c r="U785" t="s">
        <v>51</v>
      </c>
    </row>
    <row r="786" spans="1:21" x14ac:dyDescent="0.3">
      <c r="A786" t="s">
        <v>2500</v>
      </c>
      <c r="B786" s="3">
        <v>45757</v>
      </c>
      <c r="C786" s="3">
        <v>45935</v>
      </c>
      <c r="D786" t="s">
        <v>2501</v>
      </c>
      <c r="E786" t="s">
        <v>130</v>
      </c>
      <c r="F786" t="s">
        <v>105</v>
      </c>
      <c r="G786" t="s">
        <v>12</v>
      </c>
      <c r="H786" t="s">
        <v>138</v>
      </c>
      <c r="I786" t="s">
        <v>139</v>
      </c>
      <c r="J786" t="s">
        <v>89</v>
      </c>
      <c r="K786" t="s">
        <v>95</v>
      </c>
      <c r="L786" t="s">
        <v>2502</v>
      </c>
      <c r="M786" t="s">
        <v>67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50</v>
      </c>
      <c r="U786" t="s">
        <v>51</v>
      </c>
    </row>
    <row r="787" spans="1:21" x14ac:dyDescent="0.3">
      <c r="A787" t="s">
        <v>2503</v>
      </c>
      <c r="B787" s="3">
        <v>45435</v>
      </c>
      <c r="C787" s="3">
        <v>45441</v>
      </c>
      <c r="D787" t="s">
        <v>2504</v>
      </c>
      <c r="E787" t="s">
        <v>178</v>
      </c>
      <c r="F787" t="s">
        <v>55</v>
      </c>
      <c r="G787" t="s">
        <v>3</v>
      </c>
      <c r="H787" t="s">
        <v>254</v>
      </c>
      <c r="I787" t="s">
        <v>255</v>
      </c>
      <c r="J787" t="s">
        <v>46</v>
      </c>
      <c r="K787" t="s">
        <v>140</v>
      </c>
      <c r="L787" t="s">
        <v>2505</v>
      </c>
      <c r="M787" t="s">
        <v>61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171</v>
      </c>
      <c r="U787" t="s">
        <v>83</v>
      </c>
    </row>
    <row r="788" spans="1:21" x14ac:dyDescent="0.3">
      <c r="A788" t="s">
        <v>2506</v>
      </c>
      <c r="B788" s="3">
        <v>45815</v>
      </c>
      <c r="C788" s="3">
        <v>45846</v>
      </c>
      <c r="D788" t="s">
        <v>2507</v>
      </c>
      <c r="E788" t="s">
        <v>78</v>
      </c>
      <c r="F788" t="s">
        <v>105</v>
      </c>
      <c r="G788" t="s">
        <v>3</v>
      </c>
      <c r="H788" t="s">
        <v>44</v>
      </c>
      <c r="I788" t="s">
        <v>45</v>
      </c>
      <c r="J788" t="s">
        <v>58</v>
      </c>
      <c r="K788" t="s">
        <v>73</v>
      </c>
      <c r="L788" t="s">
        <v>2508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117</v>
      </c>
      <c r="U788" t="s">
        <v>118</v>
      </c>
    </row>
    <row r="789" spans="1:21" x14ac:dyDescent="0.3">
      <c r="A789" t="s">
        <v>2509</v>
      </c>
      <c r="B789" s="3">
        <v>45547</v>
      </c>
      <c r="C789" s="3">
        <v>45553</v>
      </c>
      <c r="D789" t="s">
        <v>2510</v>
      </c>
      <c r="E789" t="s">
        <v>78</v>
      </c>
      <c r="F789" t="s">
        <v>110</v>
      </c>
      <c r="G789" t="s">
        <v>4</v>
      </c>
      <c r="H789" t="s">
        <v>161</v>
      </c>
      <c r="I789" t="s">
        <v>162</v>
      </c>
      <c r="J789" t="s">
        <v>46</v>
      </c>
      <c r="K789" t="s">
        <v>47</v>
      </c>
      <c r="L789" t="s">
        <v>2511</v>
      </c>
      <c r="M789" t="s">
        <v>49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189</v>
      </c>
      <c r="U789" t="s">
        <v>51</v>
      </c>
    </row>
    <row r="790" spans="1:21" x14ac:dyDescent="0.3">
      <c r="A790" t="s">
        <v>2512</v>
      </c>
      <c r="B790" s="3">
        <v>45505</v>
      </c>
      <c r="C790" s="3">
        <v>45506</v>
      </c>
      <c r="D790" t="s">
        <v>2513</v>
      </c>
      <c r="E790" t="s">
        <v>64</v>
      </c>
      <c r="F790" t="s">
        <v>105</v>
      </c>
      <c r="G790" t="s">
        <v>3</v>
      </c>
      <c r="H790" t="s">
        <v>152</v>
      </c>
      <c r="I790" t="s">
        <v>153</v>
      </c>
      <c r="J790" t="s">
        <v>58</v>
      </c>
      <c r="K790" t="s">
        <v>81</v>
      </c>
      <c r="L790" t="s">
        <v>2514</v>
      </c>
      <c r="M790" t="s">
        <v>75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171</v>
      </c>
      <c r="U790" t="s">
        <v>118</v>
      </c>
    </row>
    <row r="791" spans="1:21" x14ac:dyDescent="0.3">
      <c r="A791" t="s">
        <v>2515</v>
      </c>
      <c r="B791" s="3">
        <v>45723</v>
      </c>
      <c r="C791" s="3">
        <v>45724</v>
      </c>
      <c r="D791" t="s">
        <v>2516</v>
      </c>
      <c r="E791" t="s">
        <v>130</v>
      </c>
      <c r="F791" t="s">
        <v>110</v>
      </c>
      <c r="H791" t="s">
        <v>44</v>
      </c>
      <c r="I791" t="s">
        <v>125</v>
      </c>
      <c r="J791" t="s">
        <v>89</v>
      </c>
      <c r="K791" t="s">
        <v>95</v>
      </c>
      <c r="L791" t="s">
        <v>2517</v>
      </c>
      <c r="M791" t="s">
        <v>61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50</v>
      </c>
      <c r="U791" t="s">
        <v>51</v>
      </c>
    </row>
    <row r="792" spans="1:21" x14ac:dyDescent="0.3">
      <c r="A792" t="s">
        <v>2518</v>
      </c>
      <c r="B792" s="3">
        <v>45443</v>
      </c>
      <c r="C792" s="3">
        <v>45445</v>
      </c>
      <c r="D792" t="s">
        <v>2519</v>
      </c>
      <c r="E792" t="s">
        <v>134</v>
      </c>
      <c r="F792" t="s">
        <v>105</v>
      </c>
      <c r="G792" t="s">
        <v>5</v>
      </c>
      <c r="H792" t="s">
        <v>99</v>
      </c>
      <c r="I792" t="s">
        <v>100</v>
      </c>
      <c r="J792" t="s">
        <v>46</v>
      </c>
      <c r="K792" t="s">
        <v>65</v>
      </c>
      <c r="L792" t="s">
        <v>2520</v>
      </c>
      <c r="M792" t="s">
        <v>75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50</v>
      </c>
      <c r="U792" t="s">
        <v>51</v>
      </c>
    </row>
    <row r="793" spans="1:21" x14ac:dyDescent="0.3">
      <c r="A793" t="s">
        <v>2521</v>
      </c>
      <c r="B793" s="3">
        <v>45567</v>
      </c>
      <c r="C793" s="3">
        <v>45571</v>
      </c>
      <c r="D793" t="s">
        <v>2522</v>
      </c>
      <c r="E793" t="s">
        <v>134</v>
      </c>
      <c r="F793" t="s">
        <v>110</v>
      </c>
      <c r="G793" t="s">
        <v>5</v>
      </c>
      <c r="H793" t="s">
        <v>192</v>
      </c>
      <c r="I793" t="s">
        <v>193</v>
      </c>
      <c r="J793" t="s">
        <v>58</v>
      </c>
      <c r="K793" t="s">
        <v>174</v>
      </c>
      <c r="L793" t="s">
        <v>2523</v>
      </c>
      <c r="M793" t="s">
        <v>61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50</v>
      </c>
      <c r="U793" t="s">
        <v>51</v>
      </c>
    </row>
    <row r="794" spans="1:21" x14ac:dyDescent="0.3">
      <c r="A794" t="s">
        <v>2524</v>
      </c>
      <c r="B794" s="3">
        <v>45812</v>
      </c>
      <c r="C794" s="3">
        <v>45816</v>
      </c>
      <c r="D794" t="s">
        <v>2525</v>
      </c>
      <c r="E794" t="s">
        <v>70</v>
      </c>
      <c r="F794" t="s">
        <v>55</v>
      </c>
      <c r="G794" t="s">
        <v>4</v>
      </c>
      <c r="H794" t="s">
        <v>182</v>
      </c>
      <c r="I794" t="s">
        <v>183</v>
      </c>
      <c r="J794" t="s">
        <v>58</v>
      </c>
      <c r="K794" t="s">
        <v>73</v>
      </c>
      <c r="L794" t="s">
        <v>2526</v>
      </c>
      <c r="M794" t="s">
        <v>49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50</v>
      </c>
      <c r="U794" t="s">
        <v>118</v>
      </c>
    </row>
    <row r="795" spans="1:21" x14ac:dyDescent="0.3">
      <c r="A795" t="s">
        <v>2527</v>
      </c>
      <c r="B795" s="3">
        <v>45440</v>
      </c>
      <c r="C795" s="3">
        <v>45446</v>
      </c>
      <c r="D795" t="s">
        <v>2528</v>
      </c>
      <c r="E795" t="s">
        <v>86</v>
      </c>
      <c r="F795" t="s">
        <v>105</v>
      </c>
      <c r="G795" t="s">
        <v>3</v>
      </c>
      <c r="H795" t="s">
        <v>44</v>
      </c>
      <c r="I795" t="s">
        <v>45</v>
      </c>
      <c r="J795" t="s">
        <v>89</v>
      </c>
      <c r="K795" t="s">
        <v>95</v>
      </c>
      <c r="L795" t="s">
        <v>2529</v>
      </c>
      <c r="M795" t="s">
        <v>49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50</v>
      </c>
      <c r="U795" t="s">
        <v>51</v>
      </c>
    </row>
    <row r="796" spans="1:21" x14ac:dyDescent="0.3">
      <c r="A796" t="s">
        <v>2530</v>
      </c>
      <c r="B796" s="3">
        <v>45830</v>
      </c>
      <c r="C796" s="3">
        <v>45832</v>
      </c>
      <c r="D796" t="s">
        <v>2531</v>
      </c>
      <c r="E796" t="s">
        <v>148</v>
      </c>
      <c r="F796" t="s">
        <v>105</v>
      </c>
      <c r="G796" t="s">
        <v>4</v>
      </c>
      <c r="H796" t="s">
        <v>182</v>
      </c>
      <c r="I796" t="s">
        <v>183</v>
      </c>
      <c r="J796" t="s">
        <v>46</v>
      </c>
      <c r="K796" t="s">
        <v>47</v>
      </c>
      <c r="L796" t="s">
        <v>2532</v>
      </c>
      <c r="M796" t="s">
        <v>75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50</v>
      </c>
      <c r="U796" t="s">
        <v>51</v>
      </c>
    </row>
    <row r="797" spans="1:21" x14ac:dyDescent="0.3">
      <c r="A797" t="s">
        <v>2533</v>
      </c>
      <c r="B797" s="3">
        <v>45503</v>
      </c>
      <c r="C797" s="3">
        <v>45503</v>
      </c>
      <c r="D797" t="s">
        <v>2534</v>
      </c>
      <c r="E797" t="s">
        <v>178</v>
      </c>
      <c r="F797" t="s">
        <v>110</v>
      </c>
      <c r="G797" t="s">
        <v>4</v>
      </c>
      <c r="H797" t="s">
        <v>56</v>
      </c>
      <c r="I797" t="s">
        <v>57</v>
      </c>
      <c r="J797" t="s">
        <v>89</v>
      </c>
      <c r="K797" t="s">
        <v>95</v>
      </c>
      <c r="L797" t="s">
        <v>2535</v>
      </c>
      <c r="M797" t="s">
        <v>61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117</v>
      </c>
      <c r="U797" t="s">
        <v>83</v>
      </c>
    </row>
    <row r="798" spans="1:21" x14ac:dyDescent="0.3">
      <c r="A798" t="s">
        <v>2536</v>
      </c>
      <c r="B798" s="3"/>
      <c r="C798" s="3">
        <v>45381</v>
      </c>
      <c r="D798" t="s">
        <v>2537</v>
      </c>
      <c r="E798" t="s">
        <v>157</v>
      </c>
      <c r="F798" t="s">
        <v>55</v>
      </c>
      <c r="G798" t="s">
        <v>5</v>
      </c>
      <c r="H798" t="s">
        <v>99</v>
      </c>
      <c r="I798" t="s">
        <v>100</v>
      </c>
      <c r="J798" t="s">
        <v>89</v>
      </c>
      <c r="K798" t="s">
        <v>294</v>
      </c>
      <c r="L798" t="s">
        <v>2538</v>
      </c>
      <c r="M798" t="s">
        <v>67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50</v>
      </c>
      <c r="U798" t="s">
        <v>51</v>
      </c>
    </row>
    <row r="799" spans="1:21" x14ac:dyDescent="0.3">
      <c r="A799" t="s">
        <v>2539</v>
      </c>
      <c r="B799" s="3">
        <v>45400</v>
      </c>
      <c r="C799" s="3">
        <v>45404</v>
      </c>
      <c r="D799" t="s">
        <v>2540</v>
      </c>
      <c r="E799" t="s">
        <v>144</v>
      </c>
      <c r="F799" t="s">
        <v>42</v>
      </c>
      <c r="G799" t="s">
        <v>4</v>
      </c>
      <c r="H799" t="s">
        <v>56</v>
      </c>
      <c r="I799" t="s">
        <v>57</v>
      </c>
      <c r="J799" t="s">
        <v>46</v>
      </c>
      <c r="K799" t="s">
        <v>169</v>
      </c>
      <c r="L799" t="s">
        <v>2541</v>
      </c>
      <c r="M799" t="s">
        <v>67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171</v>
      </c>
      <c r="U799" t="s">
        <v>83</v>
      </c>
    </row>
    <row r="800" spans="1:21" x14ac:dyDescent="0.3">
      <c r="A800" t="s">
        <v>2542</v>
      </c>
      <c r="B800" s="3">
        <v>45849</v>
      </c>
      <c r="C800" s="3">
        <v>45847</v>
      </c>
      <c r="D800" t="s">
        <v>2543</v>
      </c>
      <c r="E800" t="s">
        <v>104</v>
      </c>
      <c r="F800" t="s">
        <v>105</v>
      </c>
      <c r="G800" t="s">
        <v>3</v>
      </c>
      <c r="H800" t="s">
        <v>372</v>
      </c>
      <c r="I800" t="s">
        <v>373</v>
      </c>
      <c r="J800" t="s">
        <v>58</v>
      </c>
      <c r="K800" t="s">
        <v>73</v>
      </c>
      <c r="L800" t="s">
        <v>2544</v>
      </c>
      <c r="M800" t="s">
        <v>75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50</v>
      </c>
      <c r="U800" t="s">
        <v>51</v>
      </c>
    </row>
    <row r="801" spans="1:21" x14ac:dyDescent="0.3">
      <c r="A801" t="s">
        <v>2545</v>
      </c>
      <c r="B801" s="3">
        <v>45575</v>
      </c>
      <c r="C801" s="3">
        <v>45582</v>
      </c>
      <c r="D801" t="s">
        <v>2546</v>
      </c>
      <c r="E801" t="s">
        <v>64</v>
      </c>
      <c r="F801" t="s">
        <v>110</v>
      </c>
      <c r="G801" t="s">
        <v>3</v>
      </c>
      <c r="H801" t="s">
        <v>254</v>
      </c>
      <c r="I801" t="s">
        <v>255</v>
      </c>
      <c r="J801" t="s">
        <v>89</v>
      </c>
      <c r="K801" t="s">
        <v>90</v>
      </c>
      <c r="L801" t="s">
        <v>2547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50</v>
      </c>
      <c r="U801" t="s">
        <v>118</v>
      </c>
    </row>
    <row r="802" spans="1:21" x14ac:dyDescent="0.3">
      <c r="A802" t="s">
        <v>2548</v>
      </c>
      <c r="B802" s="3">
        <v>45352</v>
      </c>
      <c r="C802" s="3">
        <v>45358</v>
      </c>
      <c r="D802" t="s">
        <v>2549</v>
      </c>
      <c r="E802" t="s">
        <v>86</v>
      </c>
      <c r="F802" t="s">
        <v>55</v>
      </c>
      <c r="G802" t="s">
        <v>6</v>
      </c>
      <c r="H802" t="s">
        <v>79</v>
      </c>
      <c r="I802" t="s">
        <v>80</v>
      </c>
      <c r="J802" t="s">
        <v>46</v>
      </c>
      <c r="K802" t="s">
        <v>140</v>
      </c>
      <c r="L802" t="s">
        <v>2550</v>
      </c>
      <c r="M802" t="s">
        <v>49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50</v>
      </c>
      <c r="U802" t="s">
        <v>51</v>
      </c>
    </row>
    <row r="803" spans="1:21" x14ac:dyDescent="0.3">
      <c r="A803" t="s">
        <v>2551</v>
      </c>
      <c r="B803" s="3">
        <v>45938</v>
      </c>
      <c r="C803" s="3">
        <v>45945</v>
      </c>
      <c r="D803" t="s">
        <v>2552</v>
      </c>
      <c r="E803" t="s">
        <v>144</v>
      </c>
      <c r="F803" t="s">
        <v>110</v>
      </c>
      <c r="G803" t="s">
        <v>4</v>
      </c>
      <c r="H803" t="s">
        <v>56</v>
      </c>
      <c r="I803" t="s">
        <v>57</v>
      </c>
      <c r="J803" t="s">
        <v>89</v>
      </c>
      <c r="K803" t="s">
        <v>90</v>
      </c>
      <c r="L803" t="s">
        <v>2553</v>
      </c>
      <c r="M803" t="s">
        <v>49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127</v>
      </c>
      <c r="U803" t="s">
        <v>83</v>
      </c>
    </row>
    <row r="804" spans="1:21" x14ac:dyDescent="0.3">
      <c r="A804" t="s">
        <v>2554</v>
      </c>
      <c r="B804" s="3">
        <v>45704</v>
      </c>
      <c r="C804" s="3">
        <v>45704</v>
      </c>
      <c r="D804" t="s">
        <v>2555</v>
      </c>
      <c r="E804" t="s">
        <v>157</v>
      </c>
      <c r="F804" t="s">
        <v>55</v>
      </c>
      <c r="G804" t="s">
        <v>4</v>
      </c>
      <c r="H804" t="s">
        <v>182</v>
      </c>
      <c r="I804" t="s">
        <v>183</v>
      </c>
      <c r="J804" t="s">
        <v>58</v>
      </c>
      <c r="K804" t="s">
        <v>73</v>
      </c>
      <c r="L804" t="s">
        <v>2556</v>
      </c>
      <c r="M804" t="s">
        <v>49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2557</v>
      </c>
      <c r="U804" t="s">
        <v>118</v>
      </c>
    </row>
    <row r="805" spans="1:21" x14ac:dyDescent="0.3">
      <c r="A805" t="s">
        <v>2558</v>
      </c>
      <c r="B805" s="3">
        <v>45635</v>
      </c>
      <c r="C805" s="3">
        <v>45639</v>
      </c>
      <c r="D805" t="s">
        <v>2559</v>
      </c>
      <c r="E805" t="s">
        <v>157</v>
      </c>
      <c r="F805" t="s">
        <v>42</v>
      </c>
      <c r="H805" t="s">
        <v>246</v>
      </c>
      <c r="I805" t="s">
        <v>247</v>
      </c>
      <c r="J805" t="s">
        <v>46</v>
      </c>
      <c r="K805" t="s">
        <v>106</v>
      </c>
      <c r="L805" t="s">
        <v>2560</v>
      </c>
      <c r="M805" t="s">
        <v>67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50</v>
      </c>
      <c r="U805" t="s">
        <v>51</v>
      </c>
    </row>
    <row r="806" spans="1:21" x14ac:dyDescent="0.3">
      <c r="A806" t="s">
        <v>2561</v>
      </c>
      <c r="B806" s="3">
        <v>45910</v>
      </c>
      <c r="C806" s="3">
        <v>45918</v>
      </c>
      <c r="D806" t="s">
        <v>2562</v>
      </c>
      <c r="E806" t="s">
        <v>134</v>
      </c>
      <c r="F806" t="s">
        <v>110</v>
      </c>
      <c r="G806" t="s">
        <v>5</v>
      </c>
      <c r="H806" t="s">
        <v>71</v>
      </c>
      <c r="I806" t="s">
        <v>72</v>
      </c>
      <c r="J806" t="s">
        <v>58</v>
      </c>
      <c r="K806" t="s">
        <v>73</v>
      </c>
      <c r="L806" t="s">
        <v>2563</v>
      </c>
      <c r="M806" t="s">
        <v>75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50</v>
      </c>
      <c r="U806" t="s">
        <v>51</v>
      </c>
    </row>
    <row r="807" spans="1:21" x14ac:dyDescent="0.3">
      <c r="A807" t="s">
        <v>2564</v>
      </c>
      <c r="B807" s="3">
        <v>45753</v>
      </c>
      <c r="C807" s="3">
        <v>45754</v>
      </c>
      <c r="D807" t="s">
        <v>2427</v>
      </c>
      <c r="E807" t="s">
        <v>130</v>
      </c>
      <c r="F807" t="s">
        <v>110</v>
      </c>
      <c r="G807" t="s">
        <v>4</v>
      </c>
      <c r="H807" t="s">
        <v>182</v>
      </c>
      <c r="I807" t="s">
        <v>183</v>
      </c>
      <c r="J807" t="s">
        <v>46</v>
      </c>
      <c r="K807" t="s">
        <v>169</v>
      </c>
      <c r="L807" t="s">
        <v>2565</v>
      </c>
      <c r="M807" t="s">
        <v>49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50</v>
      </c>
      <c r="U807" t="s">
        <v>51</v>
      </c>
    </row>
    <row r="808" spans="1:21" x14ac:dyDescent="0.3">
      <c r="A808" t="s">
        <v>2566</v>
      </c>
      <c r="B808" s="3">
        <v>45605</v>
      </c>
      <c r="C808" s="3">
        <v>45611</v>
      </c>
      <c r="D808" t="s">
        <v>2567</v>
      </c>
      <c r="E808" t="s">
        <v>64</v>
      </c>
      <c r="F808" t="s">
        <v>110</v>
      </c>
      <c r="G808" t="s">
        <v>3</v>
      </c>
      <c r="H808" t="s">
        <v>44</v>
      </c>
      <c r="I808" t="s">
        <v>45</v>
      </c>
      <c r="J808" t="s">
        <v>89</v>
      </c>
      <c r="K808" t="s">
        <v>95</v>
      </c>
      <c r="L808" t="s">
        <v>2568</v>
      </c>
      <c r="M808" t="s">
        <v>75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171</v>
      </c>
      <c r="U808" t="s">
        <v>83</v>
      </c>
    </row>
    <row r="809" spans="1:21" x14ac:dyDescent="0.3">
      <c r="A809" t="s">
        <v>2569</v>
      </c>
      <c r="B809" s="3">
        <v>45695</v>
      </c>
      <c r="C809" s="3">
        <v>45696</v>
      </c>
      <c r="D809" t="s">
        <v>2570</v>
      </c>
      <c r="E809" t="s">
        <v>41</v>
      </c>
      <c r="F809" t="s">
        <v>55</v>
      </c>
      <c r="G809" t="s">
        <v>5</v>
      </c>
      <c r="H809" t="s">
        <v>71</v>
      </c>
      <c r="I809" t="s">
        <v>72</v>
      </c>
      <c r="J809" t="s">
        <v>46</v>
      </c>
      <c r="K809" t="s">
        <v>106</v>
      </c>
      <c r="L809" t="s">
        <v>2571</v>
      </c>
      <c r="M809" t="s">
        <v>2572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50</v>
      </c>
      <c r="U809" t="s">
        <v>51</v>
      </c>
    </row>
    <row r="810" spans="1:21" x14ac:dyDescent="0.3">
      <c r="A810" t="s">
        <v>2573</v>
      </c>
      <c r="B810" s="3">
        <v>45900</v>
      </c>
      <c r="C810" s="3">
        <v>45897</v>
      </c>
      <c r="D810" t="s">
        <v>2574</v>
      </c>
      <c r="E810" t="s">
        <v>144</v>
      </c>
      <c r="F810" t="s">
        <v>55</v>
      </c>
      <c r="G810" t="s">
        <v>5</v>
      </c>
      <c r="H810" t="s">
        <v>265</v>
      </c>
      <c r="I810" t="s">
        <v>266</v>
      </c>
      <c r="J810" t="s">
        <v>58</v>
      </c>
      <c r="K810" t="s">
        <v>73</v>
      </c>
      <c r="L810" t="s">
        <v>2575</v>
      </c>
      <c r="M810" t="s">
        <v>67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50</v>
      </c>
      <c r="U810" t="s">
        <v>51</v>
      </c>
    </row>
    <row r="811" spans="1:21" x14ac:dyDescent="0.3">
      <c r="A811" t="s">
        <v>2576</v>
      </c>
      <c r="B811" s="3">
        <v>45833</v>
      </c>
      <c r="C811" s="3">
        <v>45833</v>
      </c>
      <c r="D811" t="s">
        <v>2577</v>
      </c>
      <c r="E811" t="s">
        <v>70</v>
      </c>
      <c r="F811" t="s">
        <v>55</v>
      </c>
      <c r="H811" t="s">
        <v>138</v>
      </c>
      <c r="I811" t="s">
        <v>139</v>
      </c>
      <c r="J811" t="s">
        <v>46</v>
      </c>
      <c r="K811" t="s">
        <v>169</v>
      </c>
      <c r="L811" t="s">
        <v>2578</v>
      </c>
      <c r="M811" t="s">
        <v>49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50</v>
      </c>
      <c r="U811" t="s">
        <v>51</v>
      </c>
    </row>
    <row r="812" spans="1:21" x14ac:dyDescent="0.3">
      <c r="A812" t="s">
        <v>2579</v>
      </c>
      <c r="B812" s="3">
        <v>45355</v>
      </c>
      <c r="C812" s="3">
        <v>45390</v>
      </c>
      <c r="D812" t="s">
        <v>1726</v>
      </c>
      <c r="E812" t="s">
        <v>284</v>
      </c>
      <c r="F812" t="s">
        <v>2362</v>
      </c>
      <c r="G812" t="s">
        <v>6</v>
      </c>
      <c r="H812" t="s">
        <v>197</v>
      </c>
      <c r="I812" t="s">
        <v>198</v>
      </c>
      <c r="J812" t="s">
        <v>89</v>
      </c>
      <c r="K812" t="s">
        <v>95</v>
      </c>
      <c r="L812" t="s">
        <v>2580</v>
      </c>
      <c r="M812" t="s">
        <v>67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50</v>
      </c>
      <c r="U812" t="s">
        <v>51</v>
      </c>
    </row>
    <row r="813" spans="1:21" x14ac:dyDescent="0.3">
      <c r="A813" t="s">
        <v>2581</v>
      </c>
      <c r="B813" s="3">
        <v>45638</v>
      </c>
      <c r="C813" s="3">
        <v>45645</v>
      </c>
      <c r="D813" t="s">
        <v>2582</v>
      </c>
      <c r="E813" t="s">
        <v>157</v>
      </c>
      <c r="F813" t="s">
        <v>110</v>
      </c>
      <c r="G813" t="s">
        <v>3</v>
      </c>
      <c r="H813" t="s">
        <v>254</v>
      </c>
      <c r="I813" t="s">
        <v>255</v>
      </c>
      <c r="J813" t="s">
        <v>89</v>
      </c>
      <c r="K813" t="s">
        <v>90</v>
      </c>
      <c r="L813" t="s">
        <v>2583</v>
      </c>
      <c r="M813" t="s">
        <v>67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50</v>
      </c>
      <c r="U813" t="s">
        <v>51</v>
      </c>
    </row>
    <row r="814" spans="1:21" x14ac:dyDescent="0.3">
      <c r="A814" t="s">
        <v>2584</v>
      </c>
      <c r="B814" s="3">
        <v>45458</v>
      </c>
      <c r="C814" s="3">
        <v>45463</v>
      </c>
      <c r="D814" t="s">
        <v>2585</v>
      </c>
      <c r="E814" t="s">
        <v>148</v>
      </c>
      <c r="F814" t="s">
        <v>55</v>
      </c>
      <c r="G814" t="s">
        <v>4</v>
      </c>
      <c r="H814" t="s">
        <v>246</v>
      </c>
      <c r="I814" t="s">
        <v>247</v>
      </c>
      <c r="J814" t="s">
        <v>58</v>
      </c>
      <c r="K814" t="s">
        <v>59</v>
      </c>
      <c r="L814" t="s">
        <v>2586</v>
      </c>
      <c r="M814" t="s">
        <v>67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50</v>
      </c>
      <c r="U814" t="s">
        <v>51</v>
      </c>
    </row>
    <row r="815" spans="1:21" x14ac:dyDescent="0.3">
      <c r="A815" t="s">
        <v>2587</v>
      </c>
      <c r="B815" s="3">
        <v>45812</v>
      </c>
      <c r="C815" s="3">
        <v>45757</v>
      </c>
      <c r="D815" t="s">
        <v>2588</v>
      </c>
      <c r="E815" t="s">
        <v>157</v>
      </c>
      <c r="F815" t="s">
        <v>42</v>
      </c>
      <c r="G815" t="s">
        <v>4</v>
      </c>
      <c r="H815" t="s">
        <v>56</v>
      </c>
      <c r="I815" t="s">
        <v>57</v>
      </c>
      <c r="J815" t="s">
        <v>58</v>
      </c>
      <c r="K815" t="s">
        <v>174</v>
      </c>
      <c r="L815" t="s">
        <v>1166</v>
      </c>
      <c r="M815" t="s">
        <v>75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50</v>
      </c>
      <c r="U815" t="s">
        <v>51</v>
      </c>
    </row>
    <row r="816" spans="1:21" x14ac:dyDescent="0.3">
      <c r="A816" t="s">
        <v>2589</v>
      </c>
      <c r="B816" s="3">
        <v>45875</v>
      </c>
      <c r="C816" s="3">
        <v>45880</v>
      </c>
      <c r="D816" t="s">
        <v>2590</v>
      </c>
      <c r="E816" t="s">
        <v>70</v>
      </c>
      <c r="F816" t="s">
        <v>42</v>
      </c>
      <c r="G816" t="s">
        <v>6</v>
      </c>
      <c r="H816" t="s">
        <v>87</v>
      </c>
      <c r="I816" t="s">
        <v>88</v>
      </c>
      <c r="J816" t="s">
        <v>46</v>
      </c>
      <c r="K816" t="s">
        <v>106</v>
      </c>
      <c r="L816" t="s">
        <v>2591</v>
      </c>
      <c r="M816" t="s">
        <v>67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50</v>
      </c>
      <c r="U816" t="s">
        <v>51</v>
      </c>
    </row>
    <row r="817" spans="1:21" x14ac:dyDescent="0.3">
      <c r="A817" t="s">
        <v>2592</v>
      </c>
      <c r="B817" s="3">
        <v>45295</v>
      </c>
      <c r="C817" s="3">
        <v>45390</v>
      </c>
      <c r="D817" t="s">
        <v>2593</v>
      </c>
      <c r="E817" t="s">
        <v>178</v>
      </c>
      <c r="F817" t="s">
        <v>42</v>
      </c>
      <c r="G817" t="s">
        <v>4</v>
      </c>
      <c r="H817" t="s">
        <v>56</v>
      </c>
      <c r="I817" t="s">
        <v>57</v>
      </c>
      <c r="J817" t="s">
        <v>89</v>
      </c>
      <c r="K817" t="s">
        <v>294</v>
      </c>
      <c r="L817" t="s">
        <v>2594</v>
      </c>
      <c r="M817" t="s">
        <v>75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127</v>
      </c>
      <c r="U817" t="s">
        <v>83</v>
      </c>
    </row>
    <row r="818" spans="1:21" x14ac:dyDescent="0.3">
      <c r="A818" t="s">
        <v>2595</v>
      </c>
      <c r="B818" s="3"/>
      <c r="C818" s="3">
        <v>45626</v>
      </c>
      <c r="D818" t="s">
        <v>2596</v>
      </c>
      <c r="E818" t="s">
        <v>134</v>
      </c>
      <c r="F818" t="s">
        <v>55</v>
      </c>
      <c r="G818" t="s">
        <v>4</v>
      </c>
      <c r="H818" t="s">
        <v>246</v>
      </c>
      <c r="I818" t="s">
        <v>247</v>
      </c>
      <c r="J818" t="s">
        <v>58</v>
      </c>
      <c r="K818" t="s">
        <v>73</v>
      </c>
      <c r="L818" t="s">
        <v>2597</v>
      </c>
      <c r="M818" t="s">
        <v>67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50</v>
      </c>
      <c r="U818" t="s">
        <v>51</v>
      </c>
    </row>
    <row r="819" spans="1:21" x14ac:dyDescent="0.3">
      <c r="A819" t="s">
        <v>2598</v>
      </c>
      <c r="B819" s="3">
        <v>45752</v>
      </c>
      <c r="C819" s="3">
        <v>45781</v>
      </c>
      <c r="D819" t="s">
        <v>2599</v>
      </c>
      <c r="E819" t="s">
        <v>148</v>
      </c>
      <c r="F819" t="s">
        <v>42</v>
      </c>
      <c r="G819" t="s">
        <v>4</v>
      </c>
      <c r="H819" t="s">
        <v>161</v>
      </c>
      <c r="I819" t="s">
        <v>162</v>
      </c>
      <c r="J819" t="s">
        <v>46</v>
      </c>
      <c r="K819" t="s">
        <v>169</v>
      </c>
      <c r="L819" t="s">
        <v>2600</v>
      </c>
      <c r="M819" t="s">
        <v>75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50</v>
      </c>
      <c r="U819" t="s">
        <v>51</v>
      </c>
    </row>
    <row r="820" spans="1:21" x14ac:dyDescent="0.3">
      <c r="A820" t="s">
        <v>2601</v>
      </c>
      <c r="B820" s="3">
        <v>45564</v>
      </c>
      <c r="C820" s="3">
        <v>45570</v>
      </c>
      <c r="D820" t="s">
        <v>2602</v>
      </c>
      <c r="E820" t="s">
        <v>130</v>
      </c>
      <c r="F820" t="s">
        <v>55</v>
      </c>
      <c r="G820" t="s">
        <v>6</v>
      </c>
      <c r="H820" t="s">
        <v>79</v>
      </c>
      <c r="I820" t="s">
        <v>80</v>
      </c>
      <c r="J820" t="s">
        <v>46</v>
      </c>
      <c r="K820" t="s">
        <v>106</v>
      </c>
      <c r="L820" t="s">
        <v>2603</v>
      </c>
      <c r="M820" t="s">
        <v>67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50</v>
      </c>
      <c r="U820" t="s">
        <v>51</v>
      </c>
    </row>
    <row r="821" spans="1:21" x14ac:dyDescent="0.3">
      <c r="A821" t="s">
        <v>2604</v>
      </c>
      <c r="B821" s="3"/>
      <c r="C821" s="3">
        <v>45504</v>
      </c>
      <c r="D821" t="s">
        <v>2605</v>
      </c>
      <c r="E821" t="s">
        <v>41</v>
      </c>
      <c r="F821" t="s">
        <v>110</v>
      </c>
      <c r="G821" t="s">
        <v>5</v>
      </c>
      <c r="H821" t="s">
        <v>202</v>
      </c>
      <c r="I821" t="s">
        <v>203</v>
      </c>
      <c r="J821" t="s">
        <v>89</v>
      </c>
      <c r="K821" t="s">
        <v>2606</v>
      </c>
      <c r="L821" t="s">
        <v>2607</v>
      </c>
      <c r="M821" t="s">
        <v>75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171</v>
      </c>
      <c r="U821" t="s">
        <v>83</v>
      </c>
    </row>
    <row r="822" spans="1:21" x14ac:dyDescent="0.3">
      <c r="A822" t="s">
        <v>2608</v>
      </c>
      <c r="B822" s="3">
        <v>45694</v>
      </c>
      <c r="C822" s="3">
        <v>45698</v>
      </c>
      <c r="D822" t="s">
        <v>2609</v>
      </c>
      <c r="E822" t="s">
        <v>78</v>
      </c>
      <c r="F822" t="s">
        <v>110</v>
      </c>
      <c r="G822" t="s">
        <v>3</v>
      </c>
      <c r="H822" t="s">
        <v>152</v>
      </c>
      <c r="I822" t="s">
        <v>153</v>
      </c>
      <c r="J822" t="s">
        <v>58</v>
      </c>
      <c r="K822" t="s">
        <v>174</v>
      </c>
      <c r="L822" t="s">
        <v>2610</v>
      </c>
      <c r="M822" t="s">
        <v>75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50</v>
      </c>
      <c r="U822" t="s">
        <v>51</v>
      </c>
    </row>
    <row r="823" spans="1:21" x14ac:dyDescent="0.3">
      <c r="A823" t="s">
        <v>2611</v>
      </c>
      <c r="B823" s="3">
        <v>45476</v>
      </c>
      <c r="C823" s="3">
        <v>45479</v>
      </c>
      <c r="D823" t="s">
        <v>2612</v>
      </c>
      <c r="E823" t="s">
        <v>144</v>
      </c>
      <c r="F823" t="s">
        <v>105</v>
      </c>
      <c r="G823" t="s">
        <v>5</v>
      </c>
      <c r="H823" t="s">
        <v>192</v>
      </c>
      <c r="I823" t="s">
        <v>193</v>
      </c>
      <c r="J823" t="s">
        <v>89</v>
      </c>
      <c r="K823" t="s">
        <v>90</v>
      </c>
      <c r="L823" t="s">
        <v>2613</v>
      </c>
      <c r="M823" t="s">
        <v>67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50</v>
      </c>
      <c r="U823" t="s">
        <v>51</v>
      </c>
    </row>
    <row r="824" spans="1:21" x14ac:dyDescent="0.3">
      <c r="A824" t="s">
        <v>2614</v>
      </c>
      <c r="B824" s="3">
        <v>45636</v>
      </c>
      <c r="C824" s="3">
        <v>45573</v>
      </c>
      <c r="D824" t="s">
        <v>2615</v>
      </c>
      <c r="E824" t="s">
        <v>54</v>
      </c>
      <c r="F824" t="s">
        <v>105</v>
      </c>
      <c r="G824" t="s">
        <v>4</v>
      </c>
      <c r="H824" t="s">
        <v>182</v>
      </c>
      <c r="I824" t="s">
        <v>183</v>
      </c>
      <c r="J824" t="s">
        <v>58</v>
      </c>
      <c r="K824" t="s">
        <v>73</v>
      </c>
      <c r="L824" t="s">
        <v>2616</v>
      </c>
      <c r="M824" t="s">
        <v>49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127</v>
      </c>
      <c r="U824" t="s">
        <v>118</v>
      </c>
    </row>
    <row r="825" spans="1:21" x14ac:dyDescent="0.3">
      <c r="A825" t="s">
        <v>2617</v>
      </c>
      <c r="B825" s="3">
        <v>45663</v>
      </c>
      <c r="C825" s="3">
        <v>45669</v>
      </c>
      <c r="D825" t="s">
        <v>2618</v>
      </c>
      <c r="E825" t="s">
        <v>54</v>
      </c>
      <c r="F825" t="s">
        <v>110</v>
      </c>
      <c r="G825" t="s">
        <v>6</v>
      </c>
      <c r="H825" t="s">
        <v>207</v>
      </c>
      <c r="I825" t="s">
        <v>208</v>
      </c>
      <c r="J825" t="s">
        <v>46</v>
      </c>
      <c r="K825" t="s">
        <v>47</v>
      </c>
      <c r="L825" t="s">
        <v>2619</v>
      </c>
      <c r="M825" t="s">
        <v>61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50</v>
      </c>
      <c r="U825" t="s">
        <v>51</v>
      </c>
    </row>
    <row r="826" spans="1:21" x14ac:dyDescent="0.3">
      <c r="A826" t="s">
        <v>2620</v>
      </c>
      <c r="B826" s="3">
        <v>45737</v>
      </c>
      <c r="C826" s="3">
        <v>45738</v>
      </c>
      <c r="D826" t="s">
        <v>2621</v>
      </c>
      <c r="E826" t="s">
        <v>130</v>
      </c>
      <c r="F826" t="s">
        <v>42</v>
      </c>
      <c r="G826" t="s">
        <v>6</v>
      </c>
      <c r="H826" t="s">
        <v>207</v>
      </c>
      <c r="I826" t="s">
        <v>208</v>
      </c>
      <c r="J826" t="s">
        <v>46</v>
      </c>
      <c r="K826" t="s">
        <v>47</v>
      </c>
      <c r="L826" t="s">
        <v>2622</v>
      </c>
      <c r="M826" t="s">
        <v>67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50</v>
      </c>
      <c r="U826" t="s">
        <v>51</v>
      </c>
    </row>
    <row r="827" spans="1:21" x14ac:dyDescent="0.3">
      <c r="A827" t="s">
        <v>2623</v>
      </c>
      <c r="B827" s="3">
        <v>45763</v>
      </c>
      <c r="C827" s="3">
        <v>45764</v>
      </c>
      <c r="D827" t="s">
        <v>2624</v>
      </c>
      <c r="E827" t="s">
        <v>86</v>
      </c>
      <c r="F827" t="s">
        <v>55</v>
      </c>
      <c r="G827" t="s">
        <v>3</v>
      </c>
      <c r="H827" t="s">
        <v>152</v>
      </c>
      <c r="I827" t="s">
        <v>153</v>
      </c>
      <c r="J827" t="s">
        <v>89</v>
      </c>
      <c r="K827" t="s">
        <v>294</v>
      </c>
      <c r="L827" t="s">
        <v>2625</v>
      </c>
      <c r="M827" t="s">
        <v>67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50</v>
      </c>
      <c r="U827" t="s">
        <v>51</v>
      </c>
    </row>
    <row r="828" spans="1:21" x14ac:dyDescent="0.3">
      <c r="A828" t="s">
        <v>2626</v>
      </c>
      <c r="B828" s="3">
        <v>45879</v>
      </c>
      <c r="C828" s="3">
        <v>45883</v>
      </c>
      <c r="D828" t="s">
        <v>2627</v>
      </c>
      <c r="E828" t="s">
        <v>104</v>
      </c>
      <c r="F828" t="s">
        <v>42</v>
      </c>
      <c r="G828" t="s">
        <v>6</v>
      </c>
      <c r="H828" t="s">
        <v>44</v>
      </c>
      <c r="I828" t="s">
        <v>125</v>
      </c>
      <c r="J828" t="s">
        <v>89</v>
      </c>
      <c r="K828" t="s">
        <v>90</v>
      </c>
      <c r="L828" t="s">
        <v>2628</v>
      </c>
      <c r="M828" t="s">
        <v>75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50</v>
      </c>
      <c r="U828" t="s">
        <v>51</v>
      </c>
    </row>
    <row r="829" spans="1:21" x14ac:dyDescent="0.3">
      <c r="A829" t="s">
        <v>2629</v>
      </c>
      <c r="B829" s="3">
        <v>45620</v>
      </c>
      <c r="C829" s="3">
        <v>45627</v>
      </c>
      <c r="D829" t="s">
        <v>2630</v>
      </c>
      <c r="E829" t="s">
        <v>130</v>
      </c>
      <c r="F829" t="s">
        <v>110</v>
      </c>
      <c r="G829" t="s">
        <v>5</v>
      </c>
      <c r="H829" t="s">
        <v>265</v>
      </c>
      <c r="I829" t="s">
        <v>266</v>
      </c>
      <c r="J829" t="s">
        <v>46</v>
      </c>
      <c r="K829" t="s">
        <v>47</v>
      </c>
      <c r="L829" t="s">
        <v>2631</v>
      </c>
      <c r="M829" t="s">
        <v>61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50</v>
      </c>
      <c r="U829" t="s">
        <v>83</v>
      </c>
    </row>
    <row r="830" spans="1:21" x14ac:dyDescent="0.3">
      <c r="A830" t="s">
        <v>2632</v>
      </c>
      <c r="B830" s="3">
        <v>45940</v>
      </c>
      <c r="C830" s="3">
        <v>45941</v>
      </c>
      <c r="D830" t="s">
        <v>2633</v>
      </c>
      <c r="E830" t="s">
        <v>2634</v>
      </c>
      <c r="F830" t="s">
        <v>105</v>
      </c>
      <c r="G830" t="s">
        <v>4</v>
      </c>
      <c r="H830" t="s">
        <v>56</v>
      </c>
      <c r="I830" t="s">
        <v>57</v>
      </c>
      <c r="J830" t="s">
        <v>58</v>
      </c>
      <c r="K830" t="s">
        <v>81</v>
      </c>
      <c r="L830" t="s">
        <v>2635</v>
      </c>
      <c r="M830" t="s">
        <v>49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171</v>
      </c>
      <c r="U830" t="s">
        <v>83</v>
      </c>
    </row>
    <row r="831" spans="1:21" x14ac:dyDescent="0.3">
      <c r="A831" t="s">
        <v>2636</v>
      </c>
      <c r="B831" s="3"/>
      <c r="C831" s="3">
        <v>45350</v>
      </c>
      <c r="D831" t="s">
        <v>2637</v>
      </c>
      <c r="E831" t="s">
        <v>104</v>
      </c>
      <c r="F831" t="s">
        <v>55</v>
      </c>
      <c r="G831" t="s">
        <v>6</v>
      </c>
      <c r="H831" t="s">
        <v>207</v>
      </c>
      <c r="I831" t="s">
        <v>208</v>
      </c>
      <c r="J831" t="s">
        <v>58</v>
      </c>
      <c r="K831" t="s">
        <v>73</v>
      </c>
      <c r="L831" t="s">
        <v>2638</v>
      </c>
      <c r="M831" t="s">
        <v>49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50</v>
      </c>
      <c r="U831" t="s">
        <v>51</v>
      </c>
    </row>
    <row r="832" spans="1:21" x14ac:dyDescent="0.3">
      <c r="A832" t="s">
        <v>2639</v>
      </c>
      <c r="B832" s="3">
        <v>45853</v>
      </c>
      <c r="C832" s="3">
        <v>45856</v>
      </c>
      <c r="D832" t="s">
        <v>2640</v>
      </c>
      <c r="E832" t="s">
        <v>104</v>
      </c>
      <c r="F832" t="s">
        <v>55</v>
      </c>
      <c r="H832" t="s">
        <v>265</v>
      </c>
      <c r="I832" t="s">
        <v>266</v>
      </c>
      <c r="J832" t="s">
        <v>89</v>
      </c>
      <c r="K832" t="s">
        <v>294</v>
      </c>
      <c r="L832" t="s">
        <v>2641</v>
      </c>
      <c r="M832" t="s">
        <v>67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50</v>
      </c>
      <c r="U832" t="s">
        <v>51</v>
      </c>
    </row>
    <row r="833" spans="1:21" x14ac:dyDescent="0.3">
      <c r="A833" t="s">
        <v>2642</v>
      </c>
      <c r="B833" s="3">
        <v>45720</v>
      </c>
      <c r="C833" s="3">
        <v>45750</v>
      </c>
      <c r="D833" t="s">
        <v>2643</v>
      </c>
      <c r="E833" t="s">
        <v>178</v>
      </c>
      <c r="F833" t="s">
        <v>110</v>
      </c>
      <c r="H833" t="s">
        <v>254</v>
      </c>
      <c r="I833" t="s">
        <v>255</v>
      </c>
      <c r="J833" t="s">
        <v>58</v>
      </c>
      <c r="K833" t="s">
        <v>81</v>
      </c>
      <c r="L833" t="s">
        <v>2644</v>
      </c>
      <c r="M833" t="s">
        <v>67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171</v>
      </c>
      <c r="U833" t="s">
        <v>118</v>
      </c>
    </row>
    <row r="834" spans="1:21" x14ac:dyDescent="0.3">
      <c r="A834" t="s">
        <v>2645</v>
      </c>
      <c r="B834" s="3">
        <v>45803</v>
      </c>
      <c r="C834" s="3">
        <v>45805</v>
      </c>
      <c r="D834" t="s">
        <v>2646</v>
      </c>
      <c r="E834" t="s">
        <v>284</v>
      </c>
      <c r="F834" t="s">
        <v>55</v>
      </c>
      <c r="G834" t="s">
        <v>5</v>
      </c>
      <c r="H834" t="s">
        <v>99</v>
      </c>
      <c r="I834" t="s">
        <v>100</v>
      </c>
      <c r="J834" t="s">
        <v>89</v>
      </c>
      <c r="K834" t="s">
        <v>187</v>
      </c>
      <c r="L834" t="s">
        <v>2647</v>
      </c>
      <c r="M834" t="s">
        <v>49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50</v>
      </c>
      <c r="U834" t="s">
        <v>51</v>
      </c>
    </row>
    <row r="835" spans="1:21" x14ac:dyDescent="0.3">
      <c r="A835" t="s">
        <v>2648</v>
      </c>
      <c r="B835" s="3">
        <v>45447</v>
      </c>
      <c r="C835" s="3">
        <v>45388</v>
      </c>
      <c r="D835" t="s">
        <v>2649</v>
      </c>
      <c r="E835" t="s">
        <v>134</v>
      </c>
      <c r="F835" t="s">
        <v>110</v>
      </c>
      <c r="G835" t="s">
        <v>4</v>
      </c>
      <c r="H835" t="s">
        <v>114</v>
      </c>
      <c r="I835" t="s">
        <v>115</v>
      </c>
      <c r="J835" t="s">
        <v>58</v>
      </c>
      <c r="K835" t="s">
        <v>174</v>
      </c>
      <c r="L835" t="s">
        <v>2650</v>
      </c>
      <c r="M835" t="s">
        <v>67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50</v>
      </c>
      <c r="U835" t="s">
        <v>51</v>
      </c>
    </row>
    <row r="836" spans="1:21" x14ac:dyDescent="0.3">
      <c r="A836" t="s">
        <v>2651</v>
      </c>
      <c r="B836" s="3">
        <v>45583</v>
      </c>
      <c r="C836" s="3">
        <v>45587</v>
      </c>
      <c r="D836" t="s">
        <v>2652</v>
      </c>
      <c r="E836" t="s">
        <v>144</v>
      </c>
      <c r="F836" t="s">
        <v>110</v>
      </c>
      <c r="G836" t="s">
        <v>5</v>
      </c>
      <c r="H836" t="s">
        <v>71</v>
      </c>
      <c r="I836" t="s">
        <v>72</v>
      </c>
      <c r="J836" t="s">
        <v>46</v>
      </c>
      <c r="K836" t="s">
        <v>65</v>
      </c>
      <c r="L836" t="s">
        <v>2653</v>
      </c>
      <c r="M836" t="s">
        <v>67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50</v>
      </c>
      <c r="U836" t="s">
        <v>51</v>
      </c>
    </row>
    <row r="837" spans="1:21" x14ac:dyDescent="0.3">
      <c r="A837" t="s">
        <v>2654</v>
      </c>
      <c r="B837" s="3"/>
      <c r="C837" s="3">
        <v>45934</v>
      </c>
      <c r="D837" t="s">
        <v>2655</v>
      </c>
      <c r="E837" t="s">
        <v>130</v>
      </c>
      <c r="F837" t="s">
        <v>55</v>
      </c>
      <c r="G837" t="s">
        <v>4</v>
      </c>
      <c r="H837" t="s">
        <v>182</v>
      </c>
      <c r="I837" t="s">
        <v>183</v>
      </c>
      <c r="J837" t="s">
        <v>89</v>
      </c>
      <c r="K837" t="s">
        <v>187</v>
      </c>
      <c r="L837" t="s">
        <v>2656</v>
      </c>
      <c r="M837" t="s">
        <v>49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50</v>
      </c>
      <c r="U837" t="s">
        <v>51</v>
      </c>
    </row>
    <row r="838" spans="1:21" x14ac:dyDescent="0.3">
      <c r="A838" t="s">
        <v>2657</v>
      </c>
      <c r="B838" s="3">
        <v>45641</v>
      </c>
      <c r="C838" s="3">
        <v>45644</v>
      </c>
      <c r="D838" t="s">
        <v>2658</v>
      </c>
      <c r="E838" t="s">
        <v>64</v>
      </c>
      <c r="F838" t="s">
        <v>55</v>
      </c>
      <c r="G838" t="s">
        <v>3</v>
      </c>
      <c r="H838" t="s">
        <v>44</v>
      </c>
      <c r="I838" t="s">
        <v>45</v>
      </c>
      <c r="J838" t="s">
        <v>46</v>
      </c>
      <c r="K838" t="s">
        <v>106</v>
      </c>
      <c r="L838" t="s">
        <v>2659</v>
      </c>
      <c r="M838" t="s">
        <v>49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50</v>
      </c>
      <c r="U838" t="s">
        <v>51</v>
      </c>
    </row>
    <row r="839" spans="1:21" x14ac:dyDescent="0.3">
      <c r="A839" t="s">
        <v>2660</v>
      </c>
      <c r="B839" s="3">
        <v>45927</v>
      </c>
      <c r="C839" s="3"/>
      <c r="D839" t="s">
        <v>2661</v>
      </c>
      <c r="E839" t="s">
        <v>41</v>
      </c>
      <c r="F839" t="s">
        <v>110</v>
      </c>
      <c r="G839" t="s">
        <v>6</v>
      </c>
      <c r="H839" t="s">
        <v>79</v>
      </c>
      <c r="I839" t="s">
        <v>80</v>
      </c>
      <c r="J839" t="s">
        <v>46</v>
      </c>
      <c r="K839" t="s">
        <v>47</v>
      </c>
      <c r="L839" t="s">
        <v>2662</v>
      </c>
      <c r="M839" t="s">
        <v>67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50</v>
      </c>
      <c r="U839" t="s">
        <v>51</v>
      </c>
    </row>
    <row r="840" spans="1:21" x14ac:dyDescent="0.3">
      <c r="A840" t="s">
        <v>2663</v>
      </c>
      <c r="B840" s="3">
        <v>45720</v>
      </c>
      <c r="C840" s="3">
        <v>45754</v>
      </c>
      <c r="D840" t="s">
        <v>2664</v>
      </c>
      <c r="E840" t="s">
        <v>78</v>
      </c>
      <c r="F840" t="s">
        <v>55</v>
      </c>
      <c r="G840" t="s">
        <v>6</v>
      </c>
      <c r="H840" t="s">
        <v>207</v>
      </c>
      <c r="I840" t="s">
        <v>208</v>
      </c>
      <c r="J840" t="s">
        <v>46</v>
      </c>
      <c r="K840" t="s">
        <v>47</v>
      </c>
      <c r="L840" t="s">
        <v>2665</v>
      </c>
      <c r="M840" t="s">
        <v>61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50</v>
      </c>
      <c r="U840" t="s">
        <v>118</v>
      </c>
    </row>
    <row r="841" spans="1:21" x14ac:dyDescent="0.3">
      <c r="A841" t="s">
        <v>2666</v>
      </c>
      <c r="B841" s="3"/>
      <c r="C841" s="3">
        <v>45557</v>
      </c>
      <c r="D841" t="s">
        <v>2667</v>
      </c>
      <c r="E841" t="s">
        <v>157</v>
      </c>
      <c r="F841" t="s">
        <v>110</v>
      </c>
      <c r="G841" t="s">
        <v>4</v>
      </c>
      <c r="H841" t="s">
        <v>56</v>
      </c>
      <c r="I841" t="s">
        <v>57</v>
      </c>
      <c r="J841" t="s">
        <v>89</v>
      </c>
      <c r="K841" t="s">
        <v>187</v>
      </c>
      <c r="L841" t="s">
        <v>2668</v>
      </c>
      <c r="M841" t="s">
        <v>75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50</v>
      </c>
      <c r="U841" t="s">
        <v>51</v>
      </c>
    </row>
    <row r="842" spans="1:21" x14ac:dyDescent="0.3">
      <c r="A842" t="s">
        <v>2669</v>
      </c>
      <c r="B842" s="3">
        <v>45919</v>
      </c>
      <c r="C842" s="3">
        <v>45919</v>
      </c>
      <c r="D842" t="s">
        <v>2670</v>
      </c>
      <c r="E842" t="s">
        <v>94</v>
      </c>
      <c r="F842" t="s">
        <v>110</v>
      </c>
      <c r="G842" t="s">
        <v>3</v>
      </c>
      <c r="H842" t="s">
        <v>372</v>
      </c>
      <c r="I842" t="s">
        <v>373</v>
      </c>
      <c r="J842" t="s">
        <v>58</v>
      </c>
      <c r="K842" t="s">
        <v>81</v>
      </c>
      <c r="L842" t="s">
        <v>2671</v>
      </c>
      <c r="M842" t="s">
        <v>61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50</v>
      </c>
      <c r="U842" t="s">
        <v>51</v>
      </c>
    </row>
    <row r="843" spans="1:21" x14ac:dyDescent="0.3">
      <c r="A843" t="s">
        <v>2672</v>
      </c>
      <c r="B843" s="3">
        <v>45694</v>
      </c>
      <c r="C843" s="3">
        <v>45700</v>
      </c>
      <c r="D843" t="s">
        <v>2673</v>
      </c>
      <c r="E843" t="s">
        <v>78</v>
      </c>
      <c r="F843" t="s">
        <v>55</v>
      </c>
      <c r="G843" t="s">
        <v>4</v>
      </c>
      <c r="H843" t="s">
        <v>161</v>
      </c>
      <c r="I843" t="s">
        <v>162</v>
      </c>
      <c r="J843" t="s">
        <v>46</v>
      </c>
      <c r="K843" t="s">
        <v>65</v>
      </c>
      <c r="L843" t="s">
        <v>2674</v>
      </c>
      <c r="M843" t="s">
        <v>75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50</v>
      </c>
      <c r="U843" t="s">
        <v>51</v>
      </c>
    </row>
    <row r="844" spans="1:21" x14ac:dyDescent="0.3">
      <c r="A844" t="s">
        <v>2675</v>
      </c>
      <c r="B844" s="3">
        <v>45382</v>
      </c>
      <c r="C844" s="3"/>
      <c r="D844" t="s">
        <v>2676</v>
      </c>
      <c r="E844" t="s">
        <v>2677</v>
      </c>
      <c r="F844" t="s">
        <v>42</v>
      </c>
      <c r="G844" t="s">
        <v>3</v>
      </c>
      <c r="H844" t="s">
        <v>254</v>
      </c>
      <c r="I844" t="s">
        <v>255</v>
      </c>
      <c r="J844" t="s">
        <v>89</v>
      </c>
      <c r="K844" t="s">
        <v>294</v>
      </c>
      <c r="L844" t="s">
        <v>2678</v>
      </c>
      <c r="M844" t="s">
        <v>67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50</v>
      </c>
      <c r="U844" t="s">
        <v>118</v>
      </c>
    </row>
    <row r="845" spans="1:21" x14ac:dyDescent="0.3">
      <c r="A845" t="s">
        <v>2679</v>
      </c>
      <c r="B845" s="3">
        <v>45856</v>
      </c>
      <c r="C845" s="3">
        <v>45863</v>
      </c>
      <c r="D845" t="s">
        <v>2680</v>
      </c>
      <c r="E845" t="s">
        <v>130</v>
      </c>
      <c r="F845" t="s">
        <v>55</v>
      </c>
      <c r="G845" t="s">
        <v>3</v>
      </c>
      <c r="H845" t="s">
        <v>152</v>
      </c>
      <c r="I845" t="s">
        <v>153</v>
      </c>
      <c r="J845" t="s">
        <v>89</v>
      </c>
      <c r="K845" t="s">
        <v>187</v>
      </c>
      <c r="L845" t="s">
        <v>2681</v>
      </c>
      <c r="M845" t="s">
        <v>67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50</v>
      </c>
      <c r="U845" t="s">
        <v>51</v>
      </c>
    </row>
    <row r="846" spans="1:21" x14ac:dyDescent="0.3">
      <c r="A846" t="s">
        <v>2682</v>
      </c>
      <c r="B846" s="3">
        <v>45677</v>
      </c>
      <c r="C846" s="3">
        <v>45682</v>
      </c>
      <c r="D846" t="s">
        <v>2683</v>
      </c>
      <c r="E846" t="s">
        <v>104</v>
      </c>
      <c r="F846" t="s">
        <v>110</v>
      </c>
      <c r="G846" t="s">
        <v>6</v>
      </c>
      <c r="H846" t="s">
        <v>207</v>
      </c>
      <c r="I846" t="s">
        <v>208</v>
      </c>
      <c r="J846" t="s">
        <v>46</v>
      </c>
      <c r="K846" t="s">
        <v>65</v>
      </c>
      <c r="L846" t="s">
        <v>2684</v>
      </c>
      <c r="M846" t="s">
        <v>67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50</v>
      </c>
      <c r="U846" t="s">
        <v>51</v>
      </c>
    </row>
    <row r="847" spans="1:21" x14ac:dyDescent="0.3">
      <c r="A847" t="s">
        <v>2685</v>
      </c>
      <c r="B847" s="3">
        <v>45345</v>
      </c>
      <c r="C847" s="3">
        <v>45349</v>
      </c>
      <c r="D847" t="s">
        <v>623</v>
      </c>
      <c r="E847" t="s">
        <v>41</v>
      </c>
      <c r="F847" t="s">
        <v>42</v>
      </c>
      <c r="G847" t="s">
        <v>4</v>
      </c>
      <c r="H847" t="s">
        <v>56</v>
      </c>
      <c r="I847" t="s">
        <v>57</v>
      </c>
      <c r="J847" t="s">
        <v>58</v>
      </c>
      <c r="K847" t="s">
        <v>59</v>
      </c>
      <c r="L847" t="s">
        <v>2686</v>
      </c>
      <c r="M847" t="s">
        <v>67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127</v>
      </c>
      <c r="U847" t="s">
        <v>118</v>
      </c>
    </row>
    <row r="848" spans="1:21" x14ac:dyDescent="0.3">
      <c r="A848" t="s">
        <v>2687</v>
      </c>
      <c r="B848" s="3">
        <v>45396</v>
      </c>
      <c r="C848" s="3">
        <v>45404</v>
      </c>
      <c r="D848" t="s">
        <v>2688</v>
      </c>
      <c r="E848" t="s">
        <v>130</v>
      </c>
      <c r="F848" t="s">
        <v>55</v>
      </c>
      <c r="G848" t="s">
        <v>6</v>
      </c>
      <c r="H848" t="s">
        <v>197</v>
      </c>
      <c r="I848" t="s">
        <v>198</v>
      </c>
      <c r="J848" t="s">
        <v>58</v>
      </c>
      <c r="K848" t="s">
        <v>174</v>
      </c>
      <c r="L848" t="s">
        <v>2689</v>
      </c>
      <c r="M848" t="s">
        <v>75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127</v>
      </c>
      <c r="U848" t="s">
        <v>118</v>
      </c>
    </row>
    <row r="849" spans="1:21" x14ac:dyDescent="0.3">
      <c r="A849" t="s">
        <v>2690</v>
      </c>
      <c r="B849" s="3">
        <v>45797</v>
      </c>
      <c r="C849" s="3"/>
      <c r="D849" t="s">
        <v>2691</v>
      </c>
      <c r="E849" t="s">
        <v>178</v>
      </c>
      <c r="F849" t="s">
        <v>110</v>
      </c>
      <c r="G849" t="s">
        <v>4</v>
      </c>
      <c r="H849" t="s">
        <v>56</v>
      </c>
      <c r="I849" t="s">
        <v>57</v>
      </c>
      <c r="J849" t="s">
        <v>58</v>
      </c>
      <c r="K849" t="s">
        <v>59</v>
      </c>
      <c r="L849" t="s">
        <v>2692</v>
      </c>
      <c r="M849" t="s">
        <v>49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50</v>
      </c>
      <c r="U849" t="s">
        <v>51</v>
      </c>
    </row>
    <row r="850" spans="1:21" x14ac:dyDescent="0.3">
      <c r="A850" t="s">
        <v>2693</v>
      </c>
      <c r="B850" s="3">
        <v>45804</v>
      </c>
      <c r="C850" s="3">
        <v>45806</v>
      </c>
      <c r="D850" t="s">
        <v>2694</v>
      </c>
      <c r="E850" t="s">
        <v>134</v>
      </c>
      <c r="F850" t="s">
        <v>110</v>
      </c>
      <c r="G850" t="s">
        <v>5</v>
      </c>
      <c r="H850" t="s">
        <v>265</v>
      </c>
      <c r="I850" t="s">
        <v>266</v>
      </c>
      <c r="J850" t="s">
        <v>58</v>
      </c>
      <c r="K850" t="s">
        <v>73</v>
      </c>
      <c r="L850" t="s">
        <v>2695</v>
      </c>
      <c r="M850" t="s">
        <v>49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50</v>
      </c>
      <c r="U850" t="s">
        <v>51</v>
      </c>
    </row>
    <row r="851" spans="1:21" x14ac:dyDescent="0.3">
      <c r="A851" t="s">
        <v>2696</v>
      </c>
      <c r="B851" s="3">
        <v>45357</v>
      </c>
      <c r="C851" s="3">
        <v>45363</v>
      </c>
      <c r="D851" t="s">
        <v>2697</v>
      </c>
      <c r="E851" t="s">
        <v>64</v>
      </c>
      <c r="F851" t="s">
        <v>110</v>
      </c>
      <c r="G851" t="s">
        <v>6</v>
      </c>
      <c r="H851" t="s">
        <v>197</v>
      </c>
      <c r="I851" t="s">
        <v>198</v>
      </c>
      <c r="J851" t="s">
        <v>58</v>
      </c>
      <c r="K851" t="s">
        <v>174</v>
      </c>
      <c r="L851" t="s">
        <v>2698</v>
      </c>
      <c r="M851" t="s">
        <v>75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50</v>
      </c>
      <c r="U851" t="s">
        <v>512</v>
      </c>
    </row>
    <row r="852" spans="1:21" x14ac:dyDescent="0.3">
      <c r="A852" t="s">
        <v>2699</v>
      </c>
      <c r="B852" s="3">
        <v>45473</v>
      </c>
      <c r="C852" s="3">
        <v>45476</v>
      </c>
      <c r="D852" t="s">
        <v>2700</v>
      </c>
      <c r="E852" t="s">
        <v>130</v>
      </c>
      <c r="F852" t="s">
        <v>110</v>
      </c>
      <c r="G852" t="s">
        <v>4</v>
      </c>
      <c r="H852" t="s">
        <v>114</v>
      </c>
      <c r="I852" t="s">
        <v>115</v>
      </c>
      <c r="J852" t="s">
        <v>46</v>
      </c>
      <c r="K852" t="s">
        <v>47</v>
      </c>
      <c r="L852" t="s">
        <v>2701</v>
      </c>
      <c r="M852" t="s">
        <v>67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50</v>
      </c>
      <c r="U852" t="s">
        <v>51</v>
      </c>
    </row>
    <row r="853" spans="1:21" x14ac:dyDescent="0.3">
      <c r="A853" t="s">
        <v>2702</v>
      </c>
      <c r="B853" s="3">
        <v>45377</v>
      </c>
      <c r="C853" s="3">
        <v>45383</v>
      </c>
      <c r="D853" t="s">
        <v>2703</v>
      </c>
      <c r="E853" t="s">
        <v>41</v>
      </c>
      <c r="F853" t="s">
        <v>55</v>
      </c>
      <c r="G853" t="s">
        <v>6</v>
      </c>
      <c r="H853" t="s">
        <v>197</v>
      </c>
      <c r="I853" t="s">
        <v>198</v>
      </c>
      <c r="J853" t="s">
        <v>89</v>
      </c>
      <c r="K853" t="s">
        <v>90</v>
      </c>
      <c r="L853" t="s">
        <v>2704</v>
      </c>
      <c r="M853" t="s">
        <v>67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50</v>
      </c>
      <c r="U853" t="s">
        <v>51</v>
      </c>
    </row>
    <row r="854" spans="1:21" x14ac:dyDescent="0.3">
      <c r="A854" t="s">
        <v>2705</v>
      </c>
      <c r="B854" s="3">
        <v>45383</v>
      </c>
      <c r="C854" s="3">
        <v>45390</v>
      </c>
      <c r="D854" t="s">
        <v>2706</v>
      </c>
      <c r="E854" t="s">
        <v>78</v>
      </c>
      <c r="F854" t="s">
        <v>42</v>
      </c>
      <c r="G854" t="s">
        <v>4</v>
      </c>
      <c r="H854" t="s">
        <v>182</v>
      </c>
      <c r="I854" t="s">
        <v>183</v>
      </c>
      <c r="J854" t="s">
        <v>58</v>
      </c>
      <c r="K854" t="s">
        <v>59</v>
      </c>
      <c r="L854" t="s">
        <v>2707</v>
      </c>
      <c r="M854" t="s">
        <v>49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127</v>
      </c>
      <c r="U854" t="s">
        <v>83</v>
      </c>
    </row>
    <row r="855" spans="1:21" x14ac:dyDescent="0.3">
      <c r="A855" t="s">
        <v>2708</v>
      </c>
      <c r="B855" s="3">
        <v>45793</v>
      </c>
      <c r="C855" s="3"/>
      <c r="D855" t="s">
        <v>2709</v>
      </c>
      <c r="E855" t="s">
        <v>70</v>
      </c>
      <c r="F855" t="s">
        <v>105</v>
      </c>
      <c r="G855" t="s">
        <v>5</v>
      </c>
      <c r="H855" t="s">
        <v>265</v>
      </c>
      <c r="I855" t="s">
        <v>266</v>
      </c>
      <c r="J855" t="s">
        <v>89</v>
      </c>
      <c r="K855" t="s">
        <v>90</v>
      </c>
      <c r="L855" t="s">
        <v>2710</v>
      </c>
      <c r="M855" t="s">
        <v>61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50</v>
      </c>
      <c r="U855" t="s">
        <v>51</v>
      </c>
    </row>
    <row r="856" spans="1:21" x14ac:dyDescent="0.3">
      <c r="A856" t="s">
        <v>2711</v>
      </c>
      <c r="B856" s="3"/>
      <c r="C856" s="3">
        <v>45692</v>
      </c>
      <c r="D856" t="s">
        <v>2712</v>
      </c>
      <c r="E856" t="s">
        <v>130</v>
      </c>
      <c r="F856" t="s">
        <v>42</v>
      </c>
      <c r="G856" t="s">
        <v>5</v>
      </c>
      <c r="H856" t="s">
        <v>192</v>
      </c>
      <c r="I856" t="s">
        <v>193</v>
      </c>
      <c r="J856" t="s">
        <v>58</v>
      </c>
      <c r="K856" t="s">
        <v>174</v>
      </c>
      <c r="L856" t="s">
        <v>2713</v>
      </c>
      <c r="M856" t="s">
        <v>49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50</v>
      </c>
      <c r="U856" t="s">
        <v>51</v>
      </c>
    </row>
    <row r="857" spans="1:21" x14ac:dyDescent="0.3">
      <c r="A857" t="s">
        <v>2714</v>
      </c>
      <c r="B857" s="3">
        <v>45498</v>
      </c>
      <c r="C857" s="3">
        <v>45506</v>
      </c>
      <c r="D857" t="s">
        <v>1165</v>
      </c>
      <c r="E857" t="s">
        <v>134</v>
      </c>
      <c r="F857" t="s">
        <v>42</v>
      </c>
      <c r="G857" t="s">
        <v>3</v>
      </c>
      <c r="H857" t="s">
        <v>44</v>
      </c>
      <c r="I857" t="s">
        <v>45</v>
      </c>
      <c r="J857" t="s">
        <v>46</v>
      </c>
      <c r="K857" t="s">
        <v>2715</v>
      </c>
      <c r="L857" t="s">
        <v>2716</v>
      </c>
      <c r="M857" t="s">
        <v>49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50</v>
      </c>
      <c r="U857" t="s">
        <v>51</v>
      </c>
    </row>
    <row r="858" spans="1:21" x14ac:dyDescent="0.3">
      <c r="A858" t="s">
        <v>2717</v>
      </c>
      <c r="B858" s="3">
        <v>45455</v>
      </c>
      <c r="C858" s="3">
        <v>45462</v>
      </c>
      <c r="D858" t="s">
        <v>1348</v>
      </c>
      <c r="E858" t="s">
        <v>157</v>
      </c>
      <c r="F858" t="s">
        <v>110</v>
      </c>
      <c r="G858" t="s">
        <v>5</v>
      </c>
      <c r="H858" t="s">
        <v>265</v>
      </c>
      <c r="I858" t="s">
        <v>266</v>
      </c>
      <c r="J858" t="s">
        <v>46</v>
      </c>
      <c r="K858" t="s">
        <v>140</v>
      </c>
      <c r="L858" t="s">
        <v>2718</v>
      </c>
      <c r="M858" t="s">
        <v>75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171</v>
      </c>
      <c r="U858" t="s">
        <v>83</v>
      </c>
    </row>
    <row r="859" spans="1:21" x14ac:dyDescent="0.3">
      <c r="A859" t="s">
        <v>2719</v>
      </c>
      <c r="B859" s="3">
        <v>45447</v>
      </c>
      <c r="C859" s="3">
        <v>45447</v>
      </c>
      <c r="D859" t="s">
        <v>2216</v>
      </c>
      <c r="E859" t="s">
        <v>148</v>
      </c>
      <c r="F859" t="s">
        <v>110</v>
      </c>
      <c r="G859" t="s">
        <v>5</v>
      </c>
      <c r="H859" t="s">
        <v>202</v>
      </c>
      <c r="I859" t="s">
        <v>203</v>
      </c>
      <c r="J859" t="s">
        <v>46</v>
      </c>
      <c r="K859" t="s">
        <v>140</v>
      </c>
      <c r="L859" t="s">
        <v>2720</v>
      </c>
      <c r="M859" t="s">
        <v>67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50</v>
      </c>
      <c r="U859" t="s">
        <v>51</v>
      </c>
    </row>
    <row r="860" spans="1:21" x14ac:dyDescent="0.3">
      <c r="A860" t="s">
        <v>2721</v>
      </c>
      <c r="B860" s="3">
        <v>45327</v>
      </c>
      <c r="C860" s="3">
        <v>45421</v>
      </c>
      <c r="D860" t="s">
        <v>2722</v>
      </c>
      <c r="E860" t="s">
        <v>70</v>
      </c>
      <c r="F860" t="s">
        <v>42</v>
      </c>
      <c r="G860" t="s">
        <v>4</v>
      </c>
      <c r="H860" t="s">
        <v>56</v>
      </c>
      <c r="I860" t="s">
        <v>57</v>
      </c>
      <c r="J860" t="s">
        <v>89</v>
      </c>
      <c r="K860" t="s">
        <v>90</v>
      </c>
      <c r="L860" t="s">
        <v>2723</v>
      </c>
      <c r="M860" t="s">
        <v>49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50</v>
      </c>
      <c r="U860" t="s">
        <v>51</v>
      </c>
    </row>
    <row r="861" spans="1:21" x14ac:dyDescent="0.3">
      <c r="A861" t="s">
        <v>2724</v>
      </c>
      <c r="B861" s="3"/>
      <c r="C861" s="3">
        <v>45597</v>
      </c>
      <c r="D861" t="s">
        <v>2725</v>
      </c>
      <c r="E861" t="s">
        <v>104</v>
      </c>
      <c r="F861" t="s">
        <v>105</v>
      </c>
      <c r="G861" t="s">
        <v>5</v>
      </c>
      <c r="H861" t="s">
        <v>265</v>
      </c>
      <c r="I861" t="s">
        <v>266</v>
      </c>
      <c r="J861" t="s">
        <v>89</v>
      </c>
      <c r="K861" t="s">
        <v>187</v>
      </c>
      <c r="L861" t="s">
        <v>2726</v>
      </c>
      <c r="M861" t="s">
        <v>75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50</v>
      </c>
      <c r="U861" t="s">
        <v>51</v>
      </c>
    </row>
    <row r="862" spans="1:21" x14ac:dyDescent="0.3">
      <c r="A862" t="s">
        <v>2727</v>
      </c>
      <c r="B862" s="3">
        <v>45324</v>
      </c>
      <c r="C862" s="3">
        <v>45326</v>
      </c>
      <c r="D862" t="s">
        <v>2728</v>
      </c>
      <c r="E862" t="s">
        <v>86</v>
      </c>
      <c r="F862" t="s">
        <v>110</v>
      </c>
      <c r="G862" t="s">
        <v>3</v>
      </c>
      <c r="H862" t="s">
        <v>152</v>
      </c>
      <c r="I862" t="s">
        <v>153</v>
      </c>
      <c r="J862" t="s">
        <v>46</v>
      </c>
      <c r="K862" t="s">
        <v>140</v>
      </c>
      <c r="L862" t="s">
        <v>2729</v>
      </c>
      <c r="M862" t="s">
        <v>49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50</v>
      </c>
      <c r="U862" t="s">
        <v>51</v>
      </c>
    </row>
    <row r="863" spans="1:21" x14ac:dyDescent="0.3">
      <c r="A863" t="s">
        <v>2730</v>
      </c>
      <c r="B863" s="3">
        <v>45724</v>
      </c>
      <c r="C863" s="3">
        <v>45725</v>
      </c>
      <c r="D863" t="s">
        <v>2731</v>
      </c>
      <c r="E863" t="s">
        <v>130</v>
      </c>
      <c r="F863" t="s">
        <v>110</v>
      </c>
      <c r="G863" t="s">
        <v>3</v>
      </c>
      <c r="H863" t="s">
        <v>372</v>
      </c>
      <c r="I863" t="s">
        <v>373</v>
      </c>
      <c r="J863" t="s">
        <v>58</v>
      </c>
      <c r="K863" t="s">
        <v>73</v>
      </c>
      <c r="L863" t="s">
        <v>2732</v>
      </c>
      <c r="M863" t="s">
        <v>61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50</v>
      </c>
      <c r="U863" t="s">
        <v>51</v>
      </c>
    </row>
    <row r="864" spans="1:21" x14ac:dyDescent="0.3">
      <c r="A864" t="s">
        <v>2733</v>
      </c>
      <c r="B864" s="3">
        <v>45742</v>
      </c>
      <c r="C864" s="3">
        <v>45747</v>
      </c>
      <c r="D864" t="s">
        <v>2734</v>
      </c>
      <c r="E864" t="s">
        <v>130</v>
      </c>
      <c r="F864" t="s">
        <v>55</v>
      </c>
      <c r="G864" t="s">
        <v>4</v>
      </c>
      <c r="H864" t="s">
        <v>246</v>
      </c>
      <c r="I864" t="s">
        <v>247</v>
      </c>
      <c r="J864" t="s">
        <v>46</v>
      </c>
      <c r="K864" t="s">
        <v>169</v>
      </c>
      <c r="L864" t="s">
        <v>2735</v>
      </c>
      <c r="M864" t="s">
        <v>67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50</v>
      </c>
      <c r="U864" t="s">
        <v>83</v>
      </c>
    </row>
    <row r="865" spans="1:21" x14ac:dyDescent="0.3">
      <c r="A865" t="s">
        <v>2736</v>
      </c>
      <c r="B865" s="3">
        <v>45817</v>
      </c>
      <c r="C865" s="3">
        <v>45878</v>
      </c>
      <c r="D865" t="s">
        <v>2737</v>
      </c>
      <c r="E865" t="s">
        <v>144</v>
      </c>
      <c r="F865" t="s">
        <v>110</v>
      </c>
      <c r="G865" t="s">
        <v>6</v>
      </c>
      <c r="H865" t="s">
        <v>87</v>
      </c>
      <c r="I865" t="s">
        <v>88</v>
      </c>
      <c r="J865" t="s">
        <v>58</v>
      </c>
      <c r="K865" t="s">
        <v>73</v>
      </c>
      <c r="L865" t="s">
        <v>2738</v>
      </c>
      <c r="M865" t="s">
        <v>61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50</v>
      </c>
      <c r="U865" t="s">
        <v>51</v>
      </c>
    </row>
    <row r="866" spans="1:21" x14ac:dyDescent="0.3">
      <c r="A866" t="s">
        <v>2739</v>
      </c>
      <c r="B866" s="3">
        <v>45902</v>
      </c>
      <c r="C866" s="3">
        <v>45905</v>
      </c>
      <c r="D866" t="s">
        <v>2740</v>
      </c>
      <c r="E866" t="s">
        <v>86</v>
      </c>
      <c r="F866" t="s">
        <v>42</v>
      </c>
      <c r="G866" t="s">
        <v>5</v>
      </c>
      <c r="H866" t="s">
        <v>265</v>
      </c>
      <c r="I866" t="s">
        <v>266</v>
      </c>
      <c r="J866" t="s">
        <v>89</v>
      </c>
      <c r="K866" t="s">
        <v>187</v>
      </c>
      <c r="L866" t="s">
        <v>2741</v>
      </c>
      <c r="M866" t="s">
        <v>67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50</v>
      </c>
      <c r="U866" t="s">
        <v>51</v>
      </c>
    </row>
    <row r="867" spans="1:21" x14ac:dyDescent="0.3">
      <c r="A867" t="s">
        <v>2742</v>
      </c>
      <c r="B867" s="3">
        <v>45694</v>
      </c>
      <c r="C867" s="3">
        <v>45702</v>
      </c>
      <c r="D867" t="s">
        <v>2743</v>
      </c>
      <c r="E867" t="s">
        <v>284</v>
      </c>
      <c r="F867" t="s">
        <v>42</v>
      </c>
      <c r="G867" t="s">
        <v>6</v>
      </c>
      <c r="H867" t="s">
        <v>79</v>
      </c>
      <c r="I867" t="s">
        <v>80</v>
      </c>
      <c r="J867" t="s">
        <v>46</v>
      </c>
      <c r="K867" t="s">
        <v>106</v>
      </c>
      <c r="L867" t="s">
        <v>2744</v>
      </c>
      <c r="M867" t="s">
        <v>49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50</v>
      </c>
      <c r="U867" t="s">
        <v>51</v>
      </c>
    </row>
    <row r="868" spans="1:21" x14ac:dyDescent="0.3">
      <c r="A868" t="s">
        <v>2745</v>
      </c>
      <c r="B868" s="3"/>
      <c r="C868" s="3">
        <v>45722</v>
      </c>
      <c r="D868" t="s">
        <v>2746</v>
      </c>
      <c r="E868" t="s">
        <v>130</v>
      </c>
      <c r="F868" t="s">
        <v>42</v>
      </c>
      <c r="G868" t="s">
        <v>4</v>
      </c>
      <c r="H868" t="s">
        <v>161</v>
      </c>
      <c r="I868" t="s">
        <v>162</v>
      </c>
      <c r="J868" t="s">
        <v>58</v>
      </c>
      <c r="K868" t="s">
        <v>174</v>
      </c>
      <c r="L868" t="s">
        <v>2747</v>
      </c>
      <c r="M868" t="s">
        <v>67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127</v>
      </c>
      <c r="U868" t="s">
        <v>83</v>
      </c>
    </row>
    <row r="869" spans="1:21" x14ac:dyDescent="0.3">
      <c r="A869" t="s">
        <v>2748</v>
      </c>
      <c r="B869" s="3">
        <v>45617</v>
      </c>
      <c r="C869" s="3">
        <v>45618</v>
      </c>
      <c r="D869" t="s">
        <v>2749</v>
      </c>
      <c r="E869" t="s">
        <v>134</v>
      </c>
      <c r="F869" t="s">
        <v>110</v>
      </c>
      <c r="G869" t="s">
        <v>5</v>
      </c>
      <c r="H869" t="s">
        <v>99</v>
      </c>
      <c r="I869" t="s">
        <v>100</v>
      </c>
      <c r="J869" t="s">
        <v>89</v>
      </c>
      <c r="K869" t="s">
        <v>90</v>
      </c>
      <c r="L869" t="s">
        <v>2750</v>
      </c>
      <c r="M869" t="s">
        <v>61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171</v>
      </c>
      <c r="U869" t="s">
        <v>83</v>
      </c>
    </row>
    <row r="870" spans="1:21" x14ac:dyDescent="0.3">
      <c r="A870" t="s">
        <v>2751</v>
      </c>
      <c r="B870" s="3">
        <v>45758</v>
      </c>
      <c r="C870" s="3">
        <v>45762</v>
      </c>
      <c r="D870" t="s">
        <v>2752</v>
      </c>
      <c r="E870" t="s">
        <v>86</v>
      </c>
      <c r="F870" t="s">
        <v>110</v>
      </c>
      <c r="G870" t="s">
        <v>5</v>
      </c>
      <c r="H870" t="s">
        <v>192</v>
      </c>
      <c r="I870" t="s">
        <v>193</v>
      </c>
      <c r="J870" t="s">
        <v>46</v>
      </c>
      <c r="K870" t="s">
        <v>140</v>
      </c>
      <c r="L870" t="s">
        <v>2753</v>
      </c>
      <c r="M870" t="s">
        <v>61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50</v>
      </c>
      <c r="U870" t="s">
        <v>51</v>
      </c>
    </row>
    <row r="871" spans="1:21" x14ac:dyDescent="0.3">
      <c r="A871" t="s">
        <v>2754</v>
      </c>
      <c r="B871" s="3">
        <v>45811</v>
      </c>
      <c r="C871" s="3">
        <v>45723</v>
      </c>
      <c r="D871" t="s">
        <v>2755</v>
      </c>
      <c r="E871" t="s">
        <v>157</v>
      </c>
      <c r="F871" t="s">
        <v>110</v>
      </c>
      <c r="H871" t="s">
        <v>372</v>
      </c>
      <c r="I871" t="s">
        <v>373</v>
      </c>
      <c r="J871" t="s">
        <v>58</v>
      </c>
      <c r="K871" t="s">
        <v>81</v>
      </c>
      <c r="L871" t="s">
        <v>1190</v>
      </c>
      <c r="M871" t="s">
        <v>61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50</v>
      </c>
      <c r="U871" t="s">
        <v>51</v>
      </c>
    </row>
    <row r="872" spans="1:21" x14ac:dyDescent="0.3">
      <c r="A872" t="s">
        <v>2756</v>
      </c>
      <c r="B872" s="3">
        <v>45814</v>
      </c>
      <c r="C872" s="3">
        <v>45815</v>
      </c>
      <c r="D872" t="s">
        <v>2757</v>
      </c>
      <c r="E872" t="s">
        <v>86</v>
      </c>
      <c r="F872" t="s">
        <v>105</v>
      </c>
      <c r="G872" t="s">
        <v>6</v>
      </c>
      <c r="H872" t="s">
        <v>207</v>
      </c>
      <c r="I872" t="s">
        <v>208</v>
      </c>
      <c r="J872" t="s">
        <v>58</v>
      </c>
      <c r="K872" t="s">
        <v>59</v>
      </c>
      <c r="L872" t="s">
        <v>2758</v>
      </c>
      <c r="M872" t="s">
        <v>75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50</v>
      </c>
      <c r="U872" t="s">
        <v>83</v>
      </c>
    </row>
    <row r="873" spans="1:21" x14ac:dyDescent="0.3">
      <c r="A873" t="s">
        <v>2759</v>
      </c>
      <c r="B873" s="3"/>
      <c r="C873" s="3">
        <v>45344</v>
      </c>
      <c r="D873" t="s">
        <v>2627</v>
      </c>
      <c r="E873" t="s">
        <v>94</v>
      </c>
      <c r="F873" t="s">
        <v>55</v>
      </c>
      <c r="G873" t="s">
        <v>5</v>
      </c>
      <c r="H873" t="s">
        <v>71</v>
      </c>
      <c r="I873" t="s">
        <v>72</v>
      </c>
      <c r="J873" t="s">
        <v>89</v>
      </c>
      <c r="K873" t="s">
        <v>90</v>
      </c>
      <c r="L873" t="s">
        <v>2760</v>
      </c>
      <c r="M873" t="s">
        <v>67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117</v>
      </c>
      <c r="U873" t="s">
        <v>83</v>
      </c>
    </row>
    <row r="874" spans="1:21" x14ac:dyDescent="0.3">
      <c r="A874" t="s">
        <v>2761</v>
      </c>
      <c r="B874" s="3">
        <v>45302</v>
      </c>
      <c r="C874" s="3">
        <v>45598</v>
      </c>
      <c r="D874" t="s">
        <v>2023</v>
      </c>
      <c r="E874" t="s">
        <v>41</v>
      </c>
      <c r="F874" t="s">
        <v>105</v>
      </c>
      <c r="G874" t="s">
        <v>4</v>
      </c>
      <c r="H874" t="s">
        <v>114</v>
      </c>
      <c r="I874" t="s">
        <v>115</v>
      </c>
      <c r="J874" t="s">
        <v>58</v>
      </c>
      <c r="K874" t="s">
        <v>73</v>
      </c>
      <c r="L874" t="s">
        <v>2762</v>
      </c>
      <c r="M874" t="s">
        <v>75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50</v>
      </c>
      <c r="U874" t="s">
        <v>51</v>
      </c>
    </row>
    <row r="875" spans="1:21" x14ac:dyDescent="0.3">
      <c r="A875" t="s">
        <v>2763</v>
      </c>
      <c r="B875" s="3">
        <v>45689</v>
      </c>
      <c r="C875" s="3">
        <v>45696</v>
      </c>
      <c r="D875" t="s">
        <v>2764</v>
      </c>
      <c r="E875" t="s">
        <v>104</v>
      </c>
      <c r="F875" t="s">
        <v>110</v>
      </c>
      <c r="G875" t="s">
        <v>6</v>
      </c>
      <c r="H875" t="s">
        <v>197</v>
      </c>
      <c r="I875" t="s">
        <v>198</v>
      </c>
      <c r="J875" t="s">
        <v>46</v>
      </c>
      <c r="K875" t="s">
        <v>140</v>
      </c>
      <c r="L875" t="s">
        <v>2765</v>
      </c>
      <c r="M875" t="s">
        <v>49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50</v>
      </c>
      <c r="U875" t="s">
        <v>51</v>
      </c>
    </row>
    <row r="876" spans="1:21" x14ac:dyDescent="0.3">
      <c r="A876" t="s">
        <v>2766</v>
      </c>
      <c r="B876" s="3">
        <v>45853</v>
      </c>
      <c r="C876" s="3">
        <v>45854</v>
      </c>
      <c r="D876" t="s">
        <v>2767</v>
      </c>
      <c r="E876" t="s">
        <v>86</v>
      </c>
      <c r="F876" t="s">
        <v>55</v>
      </c>
      <c r="G876" t="s">
        <v>6</v>
      </c>
      <c r="H876" t="s">
        <v>79</v>
      </c>
      <c r="I876" t="s">
        <v>80</v>
      </c>
      <c r="J876" t="s">
        <v>46</v>
      </c>
      <c r="K876" t="s">
        <v>47</v>
      </c>
      <c r="L876" t="s">
        <v>2768</v>
      </c>
      <c r="M876" t="s">
        <v>75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50</v>
      </c>
      <c r="U876" t="s">
        <v>51</v>
      </c>
    </row>
    <row r="877" spans="1:21" x14ac:dyDescent="0.3">
      <c r="A877" t="s">
        <v>2769</v>
      </c>
      <c r="B877" s="3">
        <v>45514</v>
      </c>
      <c r="C877" s="3">
        <v>45604</v>
      </c>
      <c r="D877" t="s">
        <v>2770</v>
      </c>
      <c r="E877" t="s">
        <v>54</v>
      </c>
      <c r="F877" t="s">
        <v>105</v>
      </c>
      <c r="G877" t="s">
        <v>6</v>
      </c>
      <c r="H877" t="s">
        <v>79</v>
      </c>
      <c r="I877" t="s">
        <v>80</v>
      </c>
      <c r="J877" t="s">
        <v>89</v>
      </c>
      <c r="K877" t="s">
        <v>95</v>
      </c>
      <c r="L877" t="s">
        <v>2771</v>
      </c>
      <c r="M877" t="s">
        <v>67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50</v>
      </c>
      <c r="U877" t="s">
        <v>51</v>
      </c>
    </row>
    <row r="878" spans="1:21" x14ac:dyDescent="0.3">
      <c r="A878" t="s">
        <v>2772</v>
      </c>
      <c r="B878" s="3"/>
      <c r="C878" s="3">
        <v>45616</v>
      </c>
      <c r="D878" t="s">
        <v>2773</v>
      </c>
      <c r="E878" t="s">
        <v>130</v>
      </c>
      <c r="F878" t="s">
        <v>42</v>
      </c>
      <c r="G878" t="s">
        <v>6</v>
      </c>
      <c r="H878" t="s">
        <v>44</v>
      </c>
      <c r="I878" t="s">
        <v>125</v>
      </c>
      <c r="J878" t="s">
        <v>58</v>
      </c>
      <c r="K878" t="s">
        <v>81</v>
      </c>
      <c r="L878" t="s">
        <v>884</v>
      </c>
      <c r="M878" t="s">
        <v>67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50</v>
      </c>
      <c r="U878" t="s">
        <v>51</v>
      </c>
    </row>
    <row r="879" spans="1:21" x14ac:dyDescent="0.3">
      <c r="A879" t="s">
        <v>2774</v>
      </c>
      <c r="B879" s="3">
        <v>45895</v>
      </c>
      <c r="C879" s="3">
        <v>45903</v>
      </c>
      <c r="D879" t="s">
        <v>2775</v>
      </c>
      <c r="E879" t="s">
        <v>144</v>
      </c>
      <c r="F879" t="s">
        <v>42</v>
      </c>
      <c r="G879" t="s">
        <v>6</v>
      </c>
      <c r="H879" t="s">
        <v>44</v>
      </c>
      <c r="I879" t="s">
        <v>125</v>
      </c>
      <c r="J879" t="s">
        <v>46</v>
      </c>
      <c r="K879" t="s">
        <v>140</v>
      </c>
      <c r="L879" t="s">
        <v>2776</v>
      </c>
      <c r="M879" t="s">
        <v>49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50</v>
      </c>
      <c r="U879" t="s">
        <v>51</v>
      </c>
    </row>
    <row r="880" spans="1:21" x14ac:dyDescent="0.3">
      <c r="A880" t="s">
        <v>2777</v>
      </c>
      <c r="B880" s="3">
        <v>45313</v>
      </c>
      <c r="C880" s="3">
        <v>45313</v>
      </c>
      <c r="D880" t="s">
        <v>2778</v>
      </c>
      <c r="E880" t="s">
        <v>41</v>
      </c>
      <c r="F880" t="s">
        <v>105</v>
      </c>
      <c r="G880" t="s">
        <v>4</v>
      </c>
      <c r="H880" t="s">
        <v>114</v>
      </c>
      <c r="I880" t="s">
        <v>115</v>
      </c>
      <c r="J880" t="s">
        <v>46</v>
      </c>
      <c r="K880" t="s">
        <v>47</v>
      </c>
      <c r="L880" t="s">
        <v>2779</v>
      </c>
      <c r="M880" t="s">
        <v>67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50</v>
      </c>
      <c r="U880" t="s">
        <v>51</v>
      </c>
    </row>
    <row r="881" spans="1:21" x14ac:dyDescent="0.3">
      <c r="A881" t="s">
        <v>2780</v>
      </c>
      <c r="B881" s="3">
        <v>45896</v>
      </c>
      <c r="C881" s="3"/>
      <c r="D881" t="s">
        <v>2781</v>
      </c>
      <c r="E881" t="s">
        <v>78</v>
      </c>
      <c r="F881" t="s">
        <v>110</v>
      </c>
      <c r="G881" t="s">
        <v>3</v>
      </c>
      <c r="H881" t="s">
        <v>152</v>
      </c>
      <c r="I881" t="s">
        <v>153</v>
      </c>
      <c r="J881" t="s">
        <v>46</v>
      </c>
      <c r="K881" t="s">
        <v>65</v>
      </c>
      <c r="L881" t="s">
        <v>2782</v>
      </c>
      <c r="M881" t="s">
        <v>75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50</v>
      </c>
      <c r="U881" t="s">
        <v>51</v>
      </c>
    </row>
    <row r="882" spans="1:21" x14ac:dyDescent="0.3">
      <c r="A882" t="s">
        <v>2783</v>
      </c>
      <c r="B882" s="3">
        <v>45359</v>
      </c>
      <c r="C882" s="3"/>
      <c r="D882" t="s">
        <v>2784</v>
      </c>
      <c r="E882" t="s">
        <v>144</v>
      </c>
      <c r="F882" t="s">
        <v>55</v>
      </c>
      <c r="H882" t="s">
        <v>138</v>
      </c>
      <c r="I882" t="s">
        <v>139</v>
      </c>
      <c r="J882" t="s">
        <v>58</v>
      </c>
      <c r="K882" t="s">
        <v>81</v>
      </c>
      <c r="L882" t="s">
        <v>2785</v>
      </c>
      <c r="M882" t="s">
        <v>67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50</v>
      </c>
      <c r="U882" t="s">
        <v>51</v>
      </c>
    </row>
    <row r="883" spans="1:21" x14ac:dyDescent="0.3">
      <c r="A883" t="s">
        <v>2786</v>
      </c>
      <c r="B883" s="3">
        <v>45627</v>
      </c>
      <c r="C883" s="3">
        <v>45631</v>
      </c>
      <c r="D883" t="s">
        <v>2787</v>
      </c>
      <c r="E883" t="s">
        <v>78</v>
      </c>
      <c r="F883" t="s">
        <v>55</v>
      </c>
      <c r="G883" t="s">
        <v>5</v>
      </c>
      <c r="H883" t="s">
        <v>99</v>
      </c>
      <c r="I883" t="s">
        <v>100</v>
      </c>
      <c r="J883" t="s">
        <v>89</v>
      </c>
      <c r="K883" t="s">
        <v>95</v>
      </c>
      <c r="L883" t="s">
        <v>2788</v>
      </c>
      <c r="M883" t="s">
        <v>49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50</v>
      </c>
      <c r="U883" t="s">
        <v>51</v>
      </c>
    </row>
    <row r="884" spans="1:21" x14ac:dyDescent="0.3">
      <c r="A884" t="s">
        <v>2789</v>
      </c>
      <c r="B884" s="3">
        <v>45690</v>
      </c>
      <c r="C884" s="3">
        <v>45932</v>
      </c>
      <c r="D884" t="s">
        <v>2790</v>
      </c>
      <c r="E884" t="s">
        <v>148</v>
      </c>
      <c r="F884" t="s">
        <v>105</v>
      </c>
      <c r="G884" t="s">
        <v>4</v>
      </c>
      <c r="H884" t="s">
        <v>161</v>
      </c>
      <c r="I884" t="s">
        <v>162</v>
      </c>
      <c r="J884" t="s">
        <v>89</v>
      </c>
      <c r="K884" t="s">
        <v>90</v>
      </c>
      <c r="L884" t="s">
        <v>2791</v>
      </c>
      <c r="M884" t="s">
        <v>75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127</v>
      </c>
      <c r="U884" t="s">
        <v>118</v>
      </c>
    </row>
    <row r="885" spans="1:21" x14ac:dyDescent="0.3">
      <c r="A885" t="s">
        <v>2792</v>
      </c>
      <c r="B885" s="3">
        <v>45775</v>
      </c>
      <c r="C885" s="3">
        <v>45662</v>
      </c>
      <c r="D885" t="s">
        <v>2793</v>
      </c>
      <c r="E885" t="s">
        <v>144</v>
      </c>
      <c r="F885" t="s">
        <v>55</v>
      </c>
      <c r="G885" t="s">
        <v>6</v>
      </c>
      <c r="H885" t="s">
        <v>207</v>
      </c>
      <c r="I885" t="s">
        <v>208</v>
      </c>
      <c r="J885" t="s">
        <v>46</v>
      </c>
      <c r="K885" t="s">
        <v>140</v>
      </c>
      <c r="L885" t="s">
        <v>2794</v>
      </c>
      <c r="M885" t="s">
        <v>61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50</v>
      </c>
      <c r="U885" t="s">
        <v>51</v>
      </c>
    </row>
    <row r="886" spans="1:21" x14ac:dyDescent="0.3">
      <c r="A886" t="s">
        <v>2795</v>
      </c>
      <c r="B886" s="3">
        <v>45675</v>
      </c>
      <c r="C886" s="3">
        <v>45682</v>
      </c>
      <c r="D886" t="s">
        <v>2796</v>
      </c>
      <c r="E886" t="s">
        <v>94</v>
      </c>
      <c r="F886" t="s">
        <v>110</v>
      </c>
      <c r="G886" t="s">
        <v>5</v>
      </c>
      <c r="H886" t="s">
        <v>192</v>
      </c>
      <c r="I886" t="s">
        <v>193</v>
      </c>
      <c r="J886" t="s">
        <v>46</v>
      </c>
      <c r="K886" t="s">
        <v>140</v>
      </c>
      <c r="L886" t="s">
        <v>2797</v>
      </c>
      <c r="M886" t="s">
        <v>61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50</v>
      </c>
      <c r="U886" t="s">
        <v>51</v>
      </c>
    </row>
    <row r="887" spans="1:21" x14ac:dyDescent="0.3">
      <c r="A887" t="s">
        <v>2798</v>
      </c>
      <c r="B887" s="3">
        <v>45296</v>
      </c>
      <c r="C887" s="3">
        <v>45296</v>
      </c>
      <c r="D887" t="s">
        <v>2799</v>
      </c>
      <c r="E887" t="s">
        <v>178</v>
      </c>
      <c r="F887" t="s">
        <v>42</v>
      </c>
      <c r="G887" t="s">
        <v>3</v>
      </c>
      <c r="H887" t="s">
        <v>44</v>
      </c>
      <c r="I887" t="s">
        <v>45</v>
      </c>
      <c r="J887" t="s">
        <v>58</v>
      </c>
      <c r="K887" t="s">
        <v>59</v>
      </c>
      <c r="L887" t="s">
        <v>2800</v>
      </c>
      <c r="M887" t="s">
        <v>75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50</v>
      </c>
      <c r="U887" t="s">
        <v>51</v>
      </c>
    </row>
    <row r="888" spans="1:21" x14ac:dyDescent="0.3">
      <c r="A888" t="s">
        <v>2801</v>
      </c>
      <c r="B888" s="3">
        <v>45773</v>
      </c>
      <c r="C888" s="3">
        <v>45780</v>
      </c>
      <c r="D888" t="s">
        <v>2802</v>
      </c>
      <c r="E888" t="s">
        <v>70</v>
      </c>
      <c r="F888" t="s">
        <v>110</v>
      </c>
      <c r="G888" t="s">
        <v>5</v>
      </c>
      <c r="H888" t="s">
        <v>265</v>
      </c>
      <c r="I888" t="s">
        <v>266</v>
      </c>
      <c r="J888" t="s">
        <v>89</v>
      </c>
      <c r="K888" t="s">
        <v>90</v>
      </c>
      <c r="L888" t="s">
        <v>2803</v>
      </c>
      <c r="M888" t="s">
        <v>67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50</v>
      </c>
      <c r="U888" t="s">
        <v>83</v>
      </c>
    </row>
    <row r="889" spans="1:21" x14ac:dyDescent="0.3">
      <c r="A889" t="s">
        <v>2804</v>
      </c>
      <c r="B889" s="3">
        <v>45455</v>
      </c>
      <c r="C889" s="3">
        <v>45461</v>
      </c>
      <c r="D889" t="s">
        <v>2805</v>
      </c>
      <c r="E889" t="s">
        <v>144</v>
      </c>
      <c r="F889" t="s">
        <v>55</v>
      </c>
      <c r="G889" t="s">
        <v>5</v>
      </c>
      <c r="H889" t="s">
        <v>99</v>
      </c>
      <c r="I889" t="s">
        <v>100</v>
      </c>
      <c r="J889" t="s">
        <v>46</v>
      </c>
      <c r="K889" t="s">
        <v>65</v>
      </c>
      <c r="L889" t="s">
        <v>2806</v>
      </c>
      <c r="M889" t="s">
        <v>75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50</v>
      </c>
      <c r="U889" t="s">
        <v>51</v>
      </c>
    </row>
    <row r="890" spans="1:21" x14ac:dyDescent="0.3">
      <c r="A890" t="s">
        <v>2807</v>
      </c>
      <c r="B890" s="3">
        <v>45875</v>
      </c>
      <c r="C890" s="3">
        <v>45876</v>
      </c>
      <c r="D890" t="s">
        <v>2808</v>
      </c>
      <c r="E890" t="s">
        <v>134</v>
      </c>
      <c r="F890" t="s">
        <v>55</v>
      </c>
      <c r="G890" t="s">
        <v>6</v>
      </c>
      <c r="H890" t="s">
        <v>79</v>
      </c>
      <c r="I890" t="s">
        <v>80</v>
      </c>
      <c r="J890" t="s">
        <v>46</v>
      </c>
      <c r="K890" t="s">
        <v>65</v>
      </c>
      <c r="L890" t="s">
        <v>2809</v>
      </c>
      <c r="M890" t="s">
        <v>75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117</v>
      </c>
      <c r="U890" t="s">
        <v>83</v>
      </c>
    </row>
    <row r="891" spans="1:21" x14ac:dyDescent="0.3">
      <c r="A891" t="s">
        <v>2810</v>
      </c>
      <c r="B891" s="3">
        <v>45726</v>
      </c>
      <c r="C891" s="3">
        <v>45964</v>
      </c>
      <c r="D891" t="s">
        <v>922</v>
      </c>
      <c r="E891" t="s">
        <v>104</v>
      </c>
      <c r="F891" t="s">
        <v>110</v>
      </c>
      <c r="G891" t="s">
        <v>6</v>
      </c>
      <c r="H891" t="s">
        <v>87</v>
      </c>
      <c r="I891" t="s">
        <v>88</v>
      </c>
      <c r="J891" t="s">
        <v>46</v>
      </c>
      <c r="K891" t="s">
        <v>140</v>
      </c>
      <c r="L891" t="s">
        <v>2811</v>
      </c>
      <c r="M891" t="s">
        <v>67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50</v>
      </c>
      <c r="U891" t="s">
        <v>118</v>
      </c>
    </row>
    <row r="892" spans="1:21" x14ac:dyDescent="0.3">
      <c r="A892" t="s">
        <v>2812</v>
      </c>
      <c r="B892" s="3">
        <v>45427</v>
      </c>
      <c r="C892" s="3">
        <v>45433</v>
      </c>
      <c r="D892" t="s">
        <v>2813</v>
      </c>
      <c r="E892" t="s">
        <v>41</v>
      </c>
      <c r="F892" t="s">
        <v>42</v>
      </c>
      <c r="G892" t="s">
        <v>6</v>
      </c>
      <c r="H892" t="s">
        <v>207</v>
      </c>
      <c r="I892" t="s">
        <v>208</v>
      </c>
      <c r="J892" t="s">
        <v>46</v>
      </c>
      <c r="K892" t="s">
        <v>140</v>
      </c>
      <c r="L892" t="s">
        <v>2814</v>
      </c>
      <c r="M892" t="s">
        <v>75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50</v>
      </c>
      <c r="U892" t="s">
        <v>51</v>
      </c>
    </row>
    <row r="893" spans="1:21" x14ac:dyDescent="0.3">
      <c r="A893" t="s">
        <v>2815</v>
      </c>
      <c r="B893" s="3">
        <v>45573</v>
      </c>
      <c r="C893" s="3">
        <v>45574</v>
      </c>
      <c r="D893" t="s">
        <v>2816</v>
      </c>
      <c r="E893" t="s">
        <v>284</v>
      </c>
      <c r="F893" t="s">
        <v>105</v>
      </c>
      <c r="G893" t="s">
        <v>5</v>
      </c>
      <c r="H893" t="s">
        <v>265</v>
      </c>
      <c r="I893" t="s">
        <v>266</v>
      </c>
      <c r="J893" t="s">
        <v>89</v>
      </c>
      <c r="K893" t="s">
        <v>294</v>
      </c>
      <c r="L893" t="s">
        <v>2817</v>
      </c>
      <c r="M893" t="s">
        <v>61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171</v>
      </c>
      <c r="U893" t="s">
        <v>83</v>
      </c>
    </row>
    <row r="894" spans="1:21" x14ac:dyDescent="0.3">
      <c r="A894" t="s">
        <v>2818</v>
      </c>
      <c r="B894" s="3">
        <v>45995</v>
      </c>
      <c r="C894" s="3"/>
      <c r="D894" t="s">
        <v>2819</v>
      </c>
      <c r="E894" t="s">
        <v>64</v>
      </c>
      <c r="F894" t="s">
        <v>55</v>
      </c>
      <c r="G894" t="s">
        <v>4</v>
      </c>
      <c r="H894" t="s">
        <v>246</v>
      </c>
      <c r="I894" t="s">
        <v>247</v>
      </c>
      <c r="J894" t="s">
        <v>89</v>
      </c>
      <c r="K894" t="s">
        <v>95</v>
      </c>
      <c r="L894" t="s">
        <v>2820</v>
      </c>
      <c r="M894" t="s">
        <v>61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50</v>
      </c>
      <c r="U894" t="s">
        <v>51</v>
      </c>
    </row>
    <row r="895" spans="1:21" x14ac:dyDescent="0.3">
      <c r="A895" t="s">
        <v>2821</v>
      </c>
      <c r="B895" s="3">
        <v>45449</v>
      </c>
      <c r="C895" s="3">
        <v>45451</v>
      </c>
      <c r="D895" t="s">
        <v>2822</v>
      </c>
      <c r="E895" t="s">
        <v>144</v>
      </c>
      <c r="F895" t="s">
        <v>105</v>
      </c>
      <c r="G895" t="s">
        <v>5</v>
      </c>
      <c r="H895" t="s">
        <v>192</v>
      </c>
      <c r="I895" t="s">
        <v>193</v>
      </c>
      <c r="J895" t="s">
        <v>58</v>
      </c>
      <c r="K895" t="s">
        <v>59</v>
      </c>
      <c r="L895" t="s">
        <v>2823</v>
      </c>
      <c r="M895" t="s">
        <v>49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50</v>
      </c>
      <c r="U895" t="s">
        <v>118</v>
      </c>
    </row>
    <row r="896" spans="1:21" x14ac:dyDescent="0.3">
      <c r="A896" t="s">
        <v>2824</v>
      </c>
      <c r="B896" s="3">
        <v>45344</v>
      </c>
      <c r="C896" s="3"/>
      <c r="D896" t="s">
        <v>2825</v>
      </c>
      <c r="E896" t="s">
        <v>64</v>
      </c>
      <c r="F896" t="s">
        <v>110</v>
      </c>
      <c r="G896" t="s">
        <v>5</v>
      </c>
      <c r="H896" t="s">
        <v>71</v>
      </c>
      <c r="I896" t="s">
        <v>72</v>
      </c>
      <c r="J896" t="s">
        <v>58</v>
      </c>
      <c r="K896" t="s">
        <v>59</v>
      </c>
      <c r="L896" t="s">
        <v>2826</v>
      </c>
      <c r="M896" t="s">
        <v>67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50</v>
      </c>
      <c r="U896" t="s">
        <v>51</v>
      </c>
    </row>
    <row r="897" spans="1:21" x14ac:dyDescent="0.3">
      <c r="A897" t="s">
        <v>2827</v>
      </c>
      <c r="B897" s="3">
        <v>45601</v>
      </c>
      <c r="C897" s="3">
        <v>45576</v>
      </c>
      <c r="D897" t="s">
        <v>2828</v>
      </c>
      <c r="E897" t="s">
        <v>70</v>
      </c>
      <c r="F897" t="s">
        <v>42</v>
      </c>
      <c r="G897" t="s">
        <v>5</v>
      </c>
      <c r="H897" t="s">
        <v>202</v>
      </c>
      <c r="I897" t="s">
        <v>203</v>
      </c>
      <c r="J897" t="s">
        <v>58</v>
      </c>
      <c r="K897" t="s">
        <v>81</v>
      </c>
      <c r="L897" t="s">
        <v>2829</v>
      </c>
      <c r="M897" t="s">
        <v>61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127</v>
      </c>
      <c r="U897" t="s">
        <v>118</v>
      </c>
    </row>
    <row r="898" spans="1:21" x14ac:dyDescent="0.3">
      <c r="A898" t="s">
        <v>2830</v>
      </c>
      <c r="B898" s="3"/>
      <c r="C898" s="3">
        <v>45651</v>
      </c>
      <c r="D898" t="s">
        <v>2831</v>
      </c>
      <c r="E898" t="s">
        <v>78</v>
      </c>
      <c r="F898" t="s">
        <v>55</v>
      </c>
      <c r="G898" t="s">
        <v>5</v>
      </c>
      <c r="H898" t="s">
        <v>265</v>
      </c>
      <c r="I898" t="s">
        <v>266</v>
      </c>
      <c r="J898" t="s">
        <v>89</v>
      </c>
      <c r="K898" t="s">
        <v>95</v>
      </c>
      <c r="L898" t="s">
        <v>2832</v>
      </c>
      <c r="M898" t="s">
        <v>49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171</v>
      </c>
      <c r="U898" t="s">
        <v>118</v>
      </c>
    </row>
    <row r="899" spans="1:21" x14ac:dyDescent="0.3">
      <c r="A899" t="s">
        <v>2833</v>
      </c>
      <c r="B899" s="3"/>
      <c r="C899" s="3">
        <v>45780</v>
      </c>
      <c r="D899" t="s">
        <v>2189</v>
      </c>
      <c r="E899" t="s">
        <v>157</v>
      </c>
      <c r="F899" t="s">
        <v>105</v>
      </c>
      <c r="G899" t="s">
        <v>3</v>
      </c>
      <c r="H899" t="s">
        <v>254</v>
      </c>
      <c r="I899" t="s">
        <v>255</v>
      </c>
      <c r="J899" t="s">
        <v>46</v>
      </c>
      <c r="K899" t="s">
        <v>47</v>
      </c>
      <c r="L899" t="s">
        <v>2834</v>
      </c>
      <c r="M899" t="s">
        <v>67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50</v>
      </c>
      <c r="U899" t="s">
        <v>51</v>
      </c>
    </row>
    <row r="900" spans="1:21" x14ac:dyDescent="0.3">
      <c r="A900" t="s">
        <v>2835</v>
      </c>
      <c r="B900" s="3">
        <v>45445</v>
      </c>
      <c r="C900" s="3">
        <v>45510</v>
      </c>
      <c r="D900" t="s">
        <v>2836</v>
      </c>
      <c r="E900" t="s">
        <v>86</v>
      </c>
      <c r="F900" t="s">
        <v>42</v>
      </c>
      <c r="G900" t="s">
        <v>3</v>
      </c>
      <c r="H900" t="s">
        <v>372</v>
      </c>
      <c r="I900" t="s">
        <v>373</v>
      </c>
      <c r="J900" t="s">
        <v>58</v>
      </c>
      <c r="K900" t="s">
        <v>59</v>
      </c>
      <c r="L900" t="s">
        <v>2837</v>
      </c>
      <c r="M900" t="s">
        <v>67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50</v>
      </c>
      <c r="U900" t="s">
        <v>51</v>
      </c>
    </row>
    <row r="901" spans="1:21" x14ac:dyDescent="0.3">
      <c r="A901" t="s">
        <v>2838</v>
      </c>
      <c r="B901" s="3">
        <v>45804</v>
      </c>
      <c r="C901" s="3">
        <v>45722</v>
      </c>
      <c r="D901" t="s">
        <v>2839</v>
      </c>
      <c r="E901" t="s">
        <v>41</v>
      </c>
      <c r="F901" t="s">
        <v>42</v>
      </c>
      <c r="G901" t="s">
        <v>3</v>
      </c>
      <c r="H901" t="s">
        <v>138</v>
      </c>
      <c r="I901" t="s">
        <v>139</v>
      </c>
      <c r="J901" t="s">
        <v>58</v>
      </c>
      <c r="K901" t="s">
        <v>81</v>
      </c>
      <c r="L901" t="s">
        <v>2840</v>
      </c>
      <c r="M901" t="s">
        <v>67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171</v>
      </c>
      <c r="U901" t="s">
        <v>83</v>
      </c>
    </row>
    <row r="902" spans="1:21" x14ac:dyDescent="0.3">
      <c r="A902" t="s">
        <v>1660</v>
      </c>
      <c r="B902" s="3">
        <v>45295</v>
      </c>
      <c r="C902" s="3">
        <v>45391</v>
      </c>
      <c r="D902" t="s">
        <v>1661</v>
      </c>
      <c r="E902" t="s">
        <v>130</v>
      </c>
      <c r="F902" t="s">
        <v>55</v>
      </c>
      <c r="G902" t="s">
        <v>1662</v>
      </c>
      <c r="H902" t="s">
        <v>56</v>
      </c>
      <c r="I902" t="s">
        <v>57</v>
      </c>
      <c r="J902" t="s">
        <v>89</v>
      </c>
      <c r="K902" t="s">
        <v>95</v>
      </c>
      <c r="L902" t="s">
        <v>1663</v>
      </c>
      <c r="M902" t="s">
        <v>49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50</v>
      </c>
      <c r="U902" t="s">
        <v>51</v>
      </c>
    </row>
    <row r="903" spans="1:21" x14ac:dyDescent="0.3">
      <c r="A903" t="s">
        <v>1950</v>
      </c>
      <c r="B903" s="3"/>
      <c r="C903" s="3"/>
      <c r="D903" t="s">
        <v>1951</v>
      </c>
      <c r="E903" t="s">
        <v>78</v>
      </c>
      <c r="F903" t="s">
        <v>105</v>
      </c>
      <c r="G903" t="s">
        <v>4</v>
      </c>
      <c r="H903" t="s">
        <v>114</v>
      </c>
      <c r="I903" t="s">
        <v>115</v>
      </c>
      <c r="J903" t="s">
        <v>89</v>
      </c>
      <c r="K903" t="s">
        <v>95</v>
      </c>
      <c r="L903" t="s">
        <v>1952</v>
      </c>
      <c r="M903" t="s">
        <v>61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50</v>
      </c>
      <c r="U903" t="s">
        <v>51</v>
      </c>
    </row>
    <row r="904" spans="1:21" x14ac:dyDescent="0.3">
      <c r="A904" t="s">
        <v>2233</v>
      </c>
      <c r="B904" s="3">
        <v>45870</v>
      </c>
      <c r="C904" s="3">
        <v>45878</v>
      </c>
      <c r="D904" t="s">
        <v>1180</v>
      </c>
      <c r="E904" t="s">
        <v>64</v>
      </c>
      <c r="F904" t="s">
        <v>42</v>
      </c>
      <c r="G904" t="s">
        <v>5</v>
      </c>
      <c r="H904" t="s">
        <v>99</v>
      </c>
      <c r="I904" t="s">
        <v>100</v>
      </c>
      <c r="J904" t="s">
        <v>46</v>
      </c>
      <c r="K904" t="s">
        <v>140</v>
      </c>
      <c r="L904" t="s">
        <v>2234</v>
      </c>
      <c r="M904" t="s">
        <v>67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50</v>
      </c>
      <c r="U904" t="s">
        <v>51</v>
      </c>
    </row>
    <row r="905" spans="1:21" x14ac:dyDescent="0.3">
      <c r="A905" t="s">
        <v>2263</v>
      </c>
      <c r="B905" s="3">
        <v>45364</v>
      </c>
      <c r="C905" s="3"/>
      <c r="D905" t="s">
        <v>2264</v>
      </c>
      <c r="E905" t="s">
        <v>130</v>
      </c>
      <c r="F905" t="s">
        <v>110</v>
      </c>
      <c r="G905" t="s">
        <v>5</v>
      </c>
      <c r="H905" t="s">
        <v>265</v>
      </c>
      <c r="I905" t="s">
        <v>266</v>
      </c>
      <c r="J905" t="s">
        <v>58</v>
      </c>
      <c r="K905" t="s">
        <v>174</v>
      </c>
      <c r="L905" t="s">
        <v>2265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50</v>
      </c>
      <c r="U905" t="s">
        <v>51</v>
      </c>
    </row>
    <row r="906" spans="1:21" x14ac:dyDescent="0.3">
      <c r="A906" t="s">
        <v>975</v>
      </c>
      <c r="B906" s="3">
        <v>45313</v>
      </c>
      <c r="C906" s="3">
        <v>45314</v>
      </c>
      <c r="D906" t="s">
        <v>976</v>
      </c>
      <c r="E906" t="s">
        <v>144</v>
      </c>
      <c r="F906" t="s">
        <v>55</v>
      </c>
      <c r="H906" t="s">
        <v>182</v>
      </c>
      <c r="I906" t="s">
        <v>183</v>
      </c>
      <c r="J906" t="s">
        <v>58</v>
      </c>
      <c r="K906" t="s">
        <v>81</v>
      </c>
      <c r="L906" t="s">
        <v>977</v>
      </c>
      <c r="M906" t="s">
        <v>49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50</v>
      </c>
      <c r="U906" t="s">
        <v>51</v>
      </c>
    </row>
    <row r="907" spans="1:21" x14ac:dyDescent="0.3">
      <c r="A907" t="s">
        <v>2050</v>
      </c>
      <c r="B907" s="3">
        <v>45762</v>
      </c>
      <c r="C907" s="3">
        <v>45763</v>
      </c>
      <c r="D907" t="s">
        <v>2051</v>
      </c>
      <c r="E907" t="s">
        <v>148</v>
      </c>
      <c r="F907" t="s">
        <v>55</v>
      </c>
      <c r="G907" t="s">
        <v>5</v>
      </c>
      <c r="H907" t="s">
        <v>192</v>
      </c>
      <c r="I907" t="s">
        <v>193</v>
      </c>
      <c r="J907" t="s">
        <v>58</v>
      </c>
      <c r="K907" t="s">
        <v>73</v>
      </c>
      <c r="L907" t="s">
        <v>2052</v>
      </c>
      <c r="M907" t="s">
        <v>67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50</v>
      </c>
      <c r="U907" t="s">
        <v>51</v>
      </c>
    </row>
    <row r="908" spans="1:21" x14ac:dyDescent="0.3">
      <c r="A908" t="s">
        <v>2336</v>
      </c>
      <c r="B908" s="3">
        <v>45794</v>
      </c>
      <c r="C908" s="3">
        <v>45802</v>
      </c>
      <c r="D908" t="s">
        <v>2337</v>
      </c>
      <c r="E908" t="s">
        <v>78</v>
      </c>
      <c r="F908" t="s">
        <v>105</v>
      </c>
      <c r="G908" t="s">
        <v>5</v>
      </c>
      <c r="H908" t="s">
        <v>265</v>
      </c>
      <c r="I908" t="s">
        <v>266</v>
      </c>
      <c r="J908" t="s">
        <v>89</v>
      </c>
      <c r="K908" t="s">
        <v>294</v>
      </c>
      <c r="L908" t="s">
        <v>2338</v>
      </c>
      <c r="M908" t="s">
        <v>61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50</v>
      </c>
      <c r="U908" t="s">
        <v>51</v>
      </c>
    </row>
    <row r="909" spans="1:21" x14ac:dyDescent="0.3">
      <c r="A909" t="s">
        <v>537</v>
      </c>
      <c r="B909" s="3">
        <v>45639</v>
      </c>
      <c r="C909" s="3"/>
      <c r="D909" t="s">
        <v>538</v>
      </c>
      <c r="E909" t="s">
        <v>41</v>
      </c>
      <c r="F909" t="s">
        <v>42</v>
      </c>
      <c r="G909" t="s">
        <v>6</v>
      </c>
      <c r="H909" t="s">
        <v>207</v>
      </c>
      <c r="I909" t="s">
        <v>208</v>
      </c>
      <c r="J909" t="s">
        <v>89</v>
      </c>
      <c r="K909" t="s">
        <v>187</v>
      </c>
      <c r="L909" t="s">
        <v>539</v>
      </c>
      <c r="M909" t="s">
        <v>49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50</v>
      </c>
      <c r="U909" t="s">
        <v>51</v>
      </c>
    </row>
    <row r="910" spans="1:21" x14ac:dyDescent="0.3">
      <c r="A910" t="s">
        <v>2307</v>
      </c>
      <c r="B910" s="3">
        <v>45908</v>
      </c>
      <c r="C910" s="3">
        <v>45909</v>
      </c>
      <c r="D910" t="s">
        <v>160</v>
      </c>
      <c r="E910" t="s">
        <v>284</v>
      </c>
      <c r="F910" t="s">
        <v>105</v>
      </c>
      <c r="G910" t="s">
        <v>6</v>
      </c>
      <c r="H910" t="s">
        <v>197</v>
      </c>
      <c r="I910" t="s">
        <v>198</v>
      </c>
      <c r="J910" t="s">
        <v>46</v>
      </c>
      <c r="K910" t="s">
        <v>65</v>
      </c>
      <c r="L910" t="s">
        <v>2308</v>
      </c>
      <c r="M910" t="s">
        <v>61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50</v>
      </c>
      <c r="U910" t="s">
        <v>51</v>
      </c>
    </row>
    <row r="911" spans="1:21" x14ac:dyDescent="0.3">
      <c r="A911" t="s">
        <v>1347</v>
      </c>
      <c r="B911" s="3"/>
      <c r="C911" s="3">
        <v>45776</v>
      </c>
      <c r="D911" t="s">
        <v>1348</v>
      </c>
      <c r="E911" t="s">
        <v>178</v>
      </c>
      <c r="F911" t="s">
        <v>55</v>
      </c>
      <c r="G911" t="s">
        <v>5</v>
      </c>
      <c r="H911" t="s">
        <v>99</v>
      </c>
      <c r="I911" t="s">
        <v>100</v>
      </c>
      <c r="J911" t="s">
        <v>46</v>
      </c>
      <c r="K911" t="s">
        <v>47</v>
      </c>
      <c r="L911" t="s">
        <v>1349</v>
      </c>
      <c r="M911" t="s">
        <v>61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50</v>
      </c>
      <c r="U911" t="s">
        <v>51</v>
      </c>
    </row>
    <row r="912" spans="1:21" x14ac:dyDescent="0.3">
      <c r="A912" t="s">
        <v>506</v>
      </c>
      <c r="B912" s="3"/>
      <c r="C912" s="3">
        <v>45437</v>
      </c>
      <c r="D912" t="s">
        <v>507</v>
      </c>
      <c r="E912" t="s">
        <v>148</v>
      </c>
      <c r="F912" t="s">
        <v>55</v>
      </c>
      <c r="G912" t="s">
        <v>7</v>
      </c>
      <c r="H912" t="s">
        <v>138</v>
      </c>
      <c r="I912" t="s">
        <v>139</v>
      </c>
      <c r="J912" t="s">
        <v>89</v>
      </c>
      <c r="K912" t="s">
        <v>95</v>
      </c>
      <c r="L912" t="s">
        <v>508</v>
      </c>
      <c r="M912" t="s">
        <v>61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117</v>
      </c>
      <c r="U912" t="s">
        <v>83</v>
      </c>
    </row>
    <row r="913" spans="1:21" x14ac:dyDescent="0.3">
      <c r="A913" t="s">
        <v>897</v>
      </c>
      <c r="B913" s="3"/>
      <c r="C913" s="3"/>
      <c r="D913" t="s">
        <v>898</v>
      </c>
      <c r="E913" t="s">
        <v>70</v>
      </c>
      <c r="F913" t="s">
        <v>55</v>
      </c>
      <c r="G913" t="s">
        <v>4</v>
      </c>
      <c r="H913" t="s">
        <v>114</v>
      </c>
      <c r="I913" t="s">
        <v>115</v>
      </c>
      <c r="J913" t="s">
        <v>58</v>
      </c>
      <c r="K913" t="s">
        <v>73</v>
      </c>
      <c r="L913" t="s">
        <v>899</v>
      </c>
      <c r="M913" t="s">
        <v>75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127</v>
      </c>
      <c r="U913" t="s">
        <v>118</v>
      </c>
    </row>
    <row r="914" spans="1:21" x14ac:dyDescent="0.3">
      <c r="A914" t="s">
        <v>1278</v>
      </c>
      <c r="B914" s="3">
        <v>45801</v>
      </c>
      <c r="C914" s="3">
        <v>45807</v>
      </c>
      <c r="D914" t="s">
        <v>1279</v>
      </c>
      <c r="E914" t="s">
        <v>284</v>
      </c>
      <c r="F914" t="s">
        <v>55</v>
      </c>
      <c r="G914" t="s">
        <v>4</v>
      </c>
      <c r="H914" t="s">
        <v>56</v>
      </c>
      <c r="I914" t="s">
        <v>57</v>
      </c>
      <c r="J914" t="s">
        <v>46</v>
      </c>
      <c r="K914" t="s">
        <v>1280</v>
      </c>
      <c r="L914" t="s">
        <v>1281</v>
      </c>
      <c r="M914" t="s">
        <v>61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50</v>
      </c>
      <c r="U914" t="s">
        <v>51</v>
      </c>
    </row>
    <row r="915" spans="1:21" x14ac:dyDescent="0.3">
      <c r="A915" t="s">
        <v>987</v>
      </c>
      <c r="B915" s="3"/>
      <c r="C915" s="3">
        <v>45652</v>
      </c>
      <c r="D915" t="s">
        <v>988</v>
      </c>
      <c r="E915" t="s">
        <v>104</v>
      </c>
      <c r="F915" t="s">
        <v>42</v>
      </c>
      <c r="G915" t="s">
        <v>5</v>
      </c>
      <c r="H915" t="s">
        <v>192</v>
      </c>
      <c r="I915" t="s">
        <v>193</v>
      </c>
      <c r="J915" t="s">
        <v>89</v>
      </c>
      <c r="K915" t="s">
        <v>95</v>
      </c>
      <c r="L915" t="s">
        <v>989</v>
      </c>
      <c r="M915" t="s">
        <v>75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50</v>
      </c>
      <c r="U915" t="s">
        <v>51</v>
      </c>
    </row>
    <row r="916" spans="1:21" x14ac:dyDescent="0.3">
      <c r="A916" t="s">
        <v>2287</v>
      </c>
      <c r="B916" s="3">
        <v>45332</v>
      </c>
      <c r="C916" s="3">
        <v>45340</v>
      </c>
      <c r="D916" t="s">
        <v>2288</v>
      </c>
      <c r="E916" t="s">
        <v>64</v>
      </c>
      <c r="F916" t="s">
        <v>110</v>
      </c>
      <c r="G916" t="s">
        <v>6</v>
      </c>
      <c r="H916" t="s">
        <v>87</v>
      </c>
      <c r="I916" t="s">
        <v>88</v>
      </c>
      <c r="J916" t="s">
        <v>58</v>
      </c>
      <c r="K916" t="s">
        <v>81</v>
      </c>
      <c r="L916" t="s">
        <v>2289</v>
      </c>
      <c r="M916" t="s">
        <v>67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50</v>
      </c>
      <c r="U916" t="s">
        <v>51</v>
      </c>
    </row>
    <row r="917" spans="1:21" x14ac:dyDescent="0.3">
      <c r="A917" t="s">
        <v>1805</v>
      </c>
      <c r="B917" s="3">
        <v>45971</v>
      </c>
      <c r="C917" s="3">
        <v>45943</v>
      </c>
      <c r="D917" t="s">
        <v>1806</v>
      </c>
      <c r="E917" t="s">
        <v>54</v>
      </c>
      <c r="F917" t="s">
        <v>105</v>
      </c>
      <c r="G917" t="s">
        <v>5</v>
      </c>
      <c r="H917" t="s">
        <v>71</v>
      </c>
      <c r="I917" t="s">
        <v>72</v>
      </c>
      <c r="J917" t="s">
        <v>46</v>
      </c>
      <c r="K917" t="s">
        <v>65</v>
      </c>
      <c r="L917" t="s">
        <v>1807</v>
      </c>
      <c r="M917" t="s">
        <v>49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50</v>
      </c>
      <c r="U917" t="s">
        <v>51</v>
      </c>
    </row>
    <row r="918" spans="1:21" x14ac:dyDescent="0.3">
      <c r="A918" t="s">
        <v>2696</v>
      </c>
      <c r="B918" s="3">
        <v>45357</v>
      </c>
      <c r="C918" s="3">
        <v>45363</v>
      </c>
      <c r="D918" t="s">
        <v>2697</v>
      </c>
      <c r="E918" t="s">
        <v>64</v>
      </c>
      <c r="F918" t="s">
        <v>110</v>
      </c>
      <c r="G918" t="s">
        <v>6</v>
      </c>
      <c r="H918" t="s">
        <v>197</v>
      </c>
      <c r="I918" t="s">
        <v>198</v>
      </c>
      <c r="J918" t="s">
        <v>58</v>
      </c>
      <c r="K918" t="s">
        <v>174</v>
      </c>
      <c r="L918" t="s">
        <v>2698</v>
      </c>
      <c r="M918" t="s">
        <v>75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50</v>
      </c>
      <c r="U918" t="s">
        <v>512</v>
      </c>
    </row>
    <row r="919" spans="1:21" x14ac:dyDescent="0.3">
      <c r="A919" t="s">
        <v>519</v>
      </c>
      <c r="B919" s="3"/>
      <c r="C919" s="3">
        <v>45683</v>
      </c>
      <c r="D919" t="s">
        <v>520</v>
      </c>
      <c r="E919" t="s">
        <v>130</v>
      </c>
      <c r="F919" t="s">
        <v>105</v>
      </c>
      <c r="G919" t="s">
        <v>6</v>
      </c>
      <c r="H919" t="s">
        <v>87</v>
      </c>
      <c r="I919" t="s">
        <v>88</v>
      </c>
      <c r="J919" t="s">
        <v>46</v>
      </c>
      <c r="K919" t="s">
        <v>140</v>
      </c>
      <c r="L919" t="s">
        <v>521</v>
      </c>
      <c r="M919" t="s">
        <v>49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50</v>
      </c>
      <c r="U919" t="s">
        <v>51</v>
      </c>
    </row>
    <row r="920" spans="1:21" x14ac:dyDescent="0.3">
      <c r="A920" t="s">
        <v>2180</v>
      </c>
      <c r="B920" s="3">
        <v>45970</v>
      </c>
      <c r="C920" s="3"/>
      <c r="D920" t="s">
        <v>2181</v>
      </c>
      <c r="E920" t="s">
        <v>134</v>
      </c>
      <c r="F920" t="s">
        <v>55</v>
      </c>
      <c r="G920" t="s">
        <v>3</v>
      </c>
      <c r="H920" t="s">
        <v>372</v>
      </c>
      <c r="I920" t="s">
        <v>373</v>
      </c>
      <c r="J920" t="s">
        <v>89</v>
      </c>
      <c r="K920" t="s">
        <v>187</v>
      </c>
      <c r="L920" t="s">
        <v>2182</v>
      </c>
      <c r="M920" t="s">
        <v>61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50</v>
      </c>
      <c r="U920" t="s">
        <v>51</v>
      </c>
    </row>
    <row r="921" spans="1:21" x14ac:dyDescent="0.3">
      <c r="A921" t="s">
        <v>92</v>
      </c>
      <c r="B921" s="3">
        <v>45934</v>
      </c>
      <c r="C921" s="3"/>
      <c r="D921" t="s">
        <v>93</v>
      </c>
      <c r="E921" t="s">
        <v>94</v>
      </c>
      <c r="F921" t="s">
        <v>42</v>
      </c>
      <c r="G921" t="s">
        <v>4</v>
      </c>
      <c r="H921" t="s">
        <v>56</v>
      </c>
      <c r="I921" t="s">
        <v>57</v>
      </c>
      <c r="J921" t="s">
        <v>89</v>
      </c>
      <c r="K921" t="s">
        <v>95</v>
      </c>
      <c r="L921" t="s">
        <v>96</v>
      </c>
      <c r="M921" t="s">
        <v>75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50</v>
      </c>
      <c r="U921" t="s">
        <v>51</v>
      </c>
    </row>
    <row r="922" spans="1:21" x14ac:dyDescent="0.3">
      <c r="A922" t="s">
        <v>1140</v>
      </c>
      <c r="B922" s="3">
        <v>45630</v>
      </c>
      <c r="C922" s="3">
        <v>45632</v>
      </c>
      <c r="D922" t="s">
        <v>1141</v>
      </c>
      <c r="E922" t="s">
        <v>148</v>
      </c>
      <c r="F922" t="s">
        <v>110</v>
      </c>
      <c r="G922" t="s">
        <v>4</v>
      </c>
      <c r="H922" t="s">
        <v>56</v>
      </c>
      <c r="I922" t="s">
        <v>57</v>
      </c>
      <c r="J922" t="s">
        <v>46</v>
      </c>
      <c r="K922" t="s">
        <v>169</v>
      </c>
      <c r="L922" t="s">
        <v>1142</v>
      </c>
      <c r="M922" t="s">
        <v>49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50</v>
      </c>
      <c r="U922" t="s">
        <v>51</v>
      </c>
    </row>
    <row r="923" spans="1:21" x14ac:dyDescent="0.3">
      <c r="A923" t="s">
        <v>403</v>
      </c>
      <c r="B923" s="3"/>
      <c r="C923" s="3">
        <v>45898</v>
      </c>
      <c r="D923" t="s">
        <v>404</v>
      </c>
      <c r="E923" t="s">
        <v>144</v>
      </c>
      <c r="F923" t="s">
        <v>55</v>
      </c>
      <c r="G923" t="s">
        <v>4</v>
      </c>
      <c r="H923" t="s">
        <v>161</v>
      </c>
      <c r="I923" t="s">
        <v>162</v>
      </c>
      <c r="J923" t="s">
        <v>89</v>
      </c>
      <c r="K923" t="s">
        <v>95</v>
      </c>
      <c r="L923" t="s">
        <v>405</v>
      </c>
      <c r="M923" t="s">
        <v>67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50</v>
      </c>
      <c r="U923" t="s">
        <v>118</v>
      </c>
    </row>
    <row r="924" spans="1:21" x14ac:dyDescent="0.3">
      <c r="A924" t="s">
        <v>1266</v>
      </c>
      <c r="B924" s="3">
        <v>45760</v>
      </c>
      <c r="C924" s="3">
        <v>45760</v>
      </c>
      <c r="D924" t="s">
        <v>1267</v>
      </c>
      <c r="E924" t="s">
        <v>148</v>
      </c>
      <c r="F924" t="s">
        <v>55</v>
      </c>
      <c r="G924" t="s">
        <v>3</v>
      </c>
      <c r="H924" t="s">
        <v>152</v>
      </c>
      <c r="I924" t="s">
        <v>153</v>
      </c>
      <c r="J924" t="s">
        <v>46</v>
      </c>
      <c r="K924" t="s">
        <v>140</v>
      </c>
      <c r="L924" t="s">
        <v>1268</v>
      </c>
      <c r="M924" t="s">
        <v>49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50</v>
      </c>
      <c r="U924" t="s">
        <v>118</v>
      </c>
    </row>
    <row r="925" spans="1:21" x14ac:dyDescent="0.3">
      <c r="A925" t="s">
        <v>816</v>
      </c>
      <c r="B925" s="3">
        <v>45698</v>
      </c>
      <c r="C925" s="3">
        <v>45938</v>
      </c>
      <c r="D925" t="s">
        <v>817</v>
      </c>
      <c r="E925" t="s">
        <v>64</v>
      </c>
      <c r="F925" t="s">
        <v>55</v>
      </c>
      <c r="G925" t="s">
        <v>3</v>
      </c>
      <c r="H925" t="s">
        <v>138</v>
      </c>
      <c r="I925" t="s">
        <v>139</v>
      </c>
      <c r="J925" t="s">
        <v>58</v>
      </c>
      <c r="K925" t="s">
        <v>73</v>
      </c>
      <c r="L925" t="s">
        <v>818</v>
      </c>
      <c r="M925" t="s">
        <v>75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50</v>
      </c>
      <c r="U925" t="s">
        <v>118</v>
      </c>
    </row>
    <row r="926" spans="1:21" x14ac:dyDescent="0.3">
      <c r="A926" t="s">
        <v>1090</v>
      </c>
      <c r="B926" s="3"/>
      <c r="C926" s="3">
        <v>45797</v>
      </c>
      <c r="D926" t="s">
        <v>1091</v>
      </c>
      <c r="E926" t="s">
        <v>64</v>
      </c>
      <c r="F926" t="s">
        <v>105</v>
      </c>
      <c r="G926" t="s">
        <v>6</v>
      </c>
      <c r="H926" t="s">
        <v>87</v>
      </c>
      <c r="I926" t="s">
        <v>88</v>
      </c>
      <c r="J926" t="s">
        <v>46</v>
      </c>
      <c r="K926" t="s">
        <v>106</v>
      </c>
      <c r="L926" t="s">
        <v>1092</v>
      </c>
      <c r="M926" t="s">
        <v>75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171</v>
      </c>
      <c r="U926" t="s">
        <v>51</v>
      </c>
    </row>
    <row r="927" spans="1:21" x14ac:dyDescent="0.3">
      <c r="A927" t="s">
        <v>651</v>
      </c>
      <c r="B927" s="3">
        <v>45907</v>
      </c>
      <c r="C927" s="3"/>
      <c r="D927" t="s">
        <v>652</v>
      </c>
      <c r="E927" t="s">
        <v>157</v>
      </c>
      <c r="F927" t="s">
        <v>105</v>
      </c>
      <c r="G927" t="s">
        <v>4</v>
      </c>
      <c r="H927" t="s">
        <v>161</v>
      </c>
      <c r="I927" t="s">
        <v>162</v>
      </c>
      <c r="J927" t="s">
        <v>89</v>
      </c>
      <c r="K927" t="s">
        <v>95</v>
      </c>
      <c r="L927" t="s">
        <v>653</v>
      </c>
      <c r="M927" t="s">
        <v>75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50</v>
      </c>
      <c r="U927" t="s">
        <v>118</v>
      </c>
    </row>
    <row r="928" spans="1:21" x14ac:dyDescent="0.3">
      <c r="A928" t="s">
        <v>1420</v>
      </c>
      <c r="B928" s="3">
        <v>45342</v>
      </c>
      <c r="C928" s="3">
        <v>45349</v>
      </c>
      <c r="D928" t="s">
        <v>1421</v>
      </c>
      <c r="E928" t="s">
        <v>178</v>
      </c>
      <c r="F928" t="s">
        <v>42</v>
      </c>
      <c r="G928" t="s">
        <v>5</v>
      </c>
      <c r="H928" t="s">
        <v>202</v>
      </c>
      <c r="I928" t="s">
        <v>203</v>
      </c>
      <c r="J928" t="s">
        <v>89</v>
      </c>
      <c r="K928" t="s">
        <v>90</v>
      </c>
      <c r="L928" t="s">
        <v>1422</v>
      </c>
      <c r="M928" t="s">
        <v>1423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50</v>
      </c>
      <c r="U928" t="s">
        <v>118</v>
      </c>
    </row>
    <row r="929" spans="1:21" x14ac:dyDescent="0.3">
      <c r="A929" t="s">
        <v>1870</v>
      </c>
      <c r="B929" s="3">
        <v>45698</v>
      </c>
      <c r="C929" s="3">
        <v>45702</v>
      </c>
      <c r="D929" t="s">
        <v>1871</v>
      </c>
      <c r="E929" t="s">
        <v>130</v>
      </c>
      <c r="F929" t="s">
        <v>55</v>
      </c>
      <c r="G929" t="s">
        <v>3</v>
      </c>
      <c r="H929" t="s">
        <v>152</v>
      </c>
      <c r="I929" t="s">
        <v>153</v>
      </c>
      <c r="J929" t="s">
        <v>89</v>
      </c>
      <c r="K929" t="s">
        <v>187</v>
      </c>
      <c r="L929" t="s">
        <v>1872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171</v>
      </c>
      <c r="U929" t="s">
        <v>51</v>
      </c>
    </row>
    <row r="930" spans="1:21" x14ac:dyDescent="0.3">
      <c r="A930" t="s">
        <v>566</v>
      </c>
      <c r="B930" s="3">
        <v>45381</v>
      </c>
      <c r="C930" s="3">
        <v>45377</v>
      </c>
      <c r="D930" t="s">
        <v>567</v>
      </c>
      <c r="E930" t="s">
        <v>104</v>
      </c>
      <c r="F930" t="s">
        <v>110</v>
      </c>
      <c r="G930" t="s">
        <v>3</v>
      </c>
      <c r="H930" t="s">
        <v>44</v>
      </c>
      <c r="I930" t="s">
        <v>45</v>
      </c>
      <c r="J930" t="s">
        <v>89</v>
      </c>
      <c r="K930" t="s">
        <v>187</v>
      </c>
      <c r="L930" t="s">
        <v>568</v>
      </c>
      <c r="M930" t="s">
        <v>49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50</v>
      </c>
      <c r="U930" t="s">
        <v>118</v>
      </c>
    </row>
    <row r="931" spans="1:21" x14ac:dyDescent="0.3">
      <c r="A931" t="s">
        <v>963</v>
      </c>
      <c r="B931" s="3"/>
      <c r="C931" s="3">
        <v>45528</v>
      </c>
      <c r="D931" t="s">
        <v>964</v>
      </c>
      <c r="E931" t="s">
        <v>70</v>
      </c>
      <c r="F931" t="s">
        <v>42</v>
      </c>
      <c r="G931" t="s">
        <v>5</v>
      </c>
      <c r="H931" t="s">
        <v>99</v>
      </c>
      <c r="I931" t="s">
        <v>100</v>
      </c>
      <c r="J931" t="s">
        <v>58</v>
      </c>
      <c r="K931" t="s">
        <v>81</v>
      </c>
      <c r="L931" t="s">
        <v>965</v>
      </c>
      <c r="M931" t="s">
        <v>67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50</v>
      </c>
      <c r="U931" t="s">
        <v>118</v>
      </c>
    </row>
    <row r="932" spans="1:21" x14ac:dyDescent="0.3">
      <c r="A932" t="s">
        <v>506</v>
      </c>
      <c r="B932" s="3"/>
      <c r="C932" s="3">
        <v>45437</v>
      </c>
      <c r="D932" t="s">
        <v>507</v>
      </c>
      <c r="E932" t="s">
        <v>148</v>
      </c>
      <c r="F932" t="s">
        <v>55</v>
      </c>
      <c r="G932" t="s">
        <v>7</v>
      </c>
      <c r="H932" t="s">
        <v>138</v>
      </c>
      <c r="I932" t="s">
        <v>139</v>
      </c>
      <c r="J932" t="s">
        <v>89</v>
      </c>
      <c r="K932" t="s">
        <v>95</v>
      </c>
      <c r="L932" t="s">
        <v>508</v>
      </c>
      <c r="M932" t="s">
        <v>61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117</v>
      </c>
      <c r="U932" t="s">
        <v>118</v>
      </c>
    </row>
    <row r="933" spans="1:21" x14ac:dyDescent="0.3">
      <c r="A933" t="s">
        <v>1153</v>
      </c>
      <c r="B933" s="3"/>
      <c r="C933" s="3">
        <v>45826</v>
      </c>
      <c r="D933" t="s">
        <v>1154</v>
      </c>
      <c r="E933" t="s">
        <v>134</v>
      </c>
      <c r="F933" t="s">
        <v>110</v>
      </c>
      <c r="G933" t="s">
        <v>6</v>
      </c>
      <c r="H933" t="s">
        <v>87</v>
      </c>
      <c r="I933" t="s">
        <v>88</v>
      </c>
      <c r="J933" t="s">
        <v>46</v>
      </c>
      <c r="K933" t="s">
        <v>47</v>
      </c>
      <c r="L933" t="s">
        <v>1155</v>
      </c>
      <c r="M933" t="s">
        <v>67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50</v>
      </c>
      <c r="U933" t="s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8AE6-9D18-493C-91B0-DD72246CCA9A}">
  <dimension ref="A1:AA933"/>
  <sheetViews>
    <sheetView tabSelected="1" topLeftCell="Q1" workbookViewId="0">
      <selection activeCell="AA2" sqref="AA2"/>
    </sheetView>
  </sheetViews>
  <sheetFormatPr defaultRowHeight="14.4" x14ac:dyDescent="0.3"/>
  <cols>
    <col min="1" max="1" width="15.109375" bestFit="1" customWidth="1"/>
    <col min="2" max="2" width="16.77734375" customWidth="1"/>
    <col min="3" max="3" width="16.77734375" style="1" customWidth="1"/>
    <col min="4" max="4" width="11.109375" bestFit="1" customWidth="1"/>
    <col min="5" max="5" width="21.88671875" bestFit="1" customWidth="1"/>
    <col min="6" max="6" width="15.33203125" bestFit="1" customWidth="1"/>
    <col min="7" max="7" width="13.5546875" bestFit="1" customWidth="1"/>
    <col min="8" max="8" width="14.5546875" bestFit="1" customWidth="1"/>
    <col min="9" max="9" width="12" bestFit="1" customWidth="1"/>
    <col min="10" max="10" width="15.5546875" bestFit="1" customWidth="1"/>
    <col min="11" max="11" width="19.44140625" bestFit="1" customWidth="1"/>
    <col min="12" max="12" width="20" bestFit="1" customWidth="1"/>
    <col min="13" max="13" width="17.44140625" bestFit="1" customWidth="1"/>
    <col min="15" max="15" width="10.77734375" customWidth="1"/>
    <col min="17" max="17" width="21.6640625" bestFit="1" customWidth="1"/>
    <col min="18" max="18" width="18.88671875" bestFit="1" customWidth="1"/>
    <col min="19" max="19" width="12" bestFit="1" customWidth="1"/>
    <col min="20" max="20" width="15.33203125" bestFit="1" customWidth="1"/>
    <col min="21" max="21" width="14.44140625" bestFit="1" customWidth="1"/>
    <col min="22" max="22" width="15" bestFit="1" customWidth="1"/>
    <col min="23" max="23" width="12.109375" bestFit="1" customWidth="1"/>
    <col min="24" max="24" width="17.77734375" bestFit="1" customWidth="1"/>
    <col min="25" max="25" width="11.77734375" bestFit="1" customWidth="1"/>
    <col min="26" max="26" width="10" bestFit="1" customWidth="1"/>
    <col min="27" max="27" width="15.21875" bestFit="1" customWidth="1"/>
  </cols>
  <sheetData>
    <row r="1" spans="1:27" x14ac:dyDescent="0.3">
      <c r="A1" s="2" t="s">
        <v>18</v>
      </c>
      <c r="B1" s="2" t="s">
        <v>22</v>
      </c>
      <c r="C1" s="2" t="s">
        <v>23</v>
      </c>
      <c r="D1" s="2" t="s">
        <v>19</v>
      </c>
      <c r="E1" s="2" t="s">
        <v>0</v>
      </c>
      <c r="F1" s="2" t="s">
        <v>1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20</v>
      </c>
      <c r="M1" s="2" t="s">
        <v>21</v>
      </c>
      <c r="N1" s="2" t="s">
        <v>31</v>
      </c>
      <c r="O1" s="2" t="s">
        <v>32</v>
      </c>
      <c r="P1" s="2" t="s">
        <v>35</v>
      </c>
      <c r="Q1" s="2" t="s">
        <v>2841</v>
      </c>
      <c r="R1" s="2" t="s">
        <v>2842</v>
      </c>
      <c r="S1" s="2" t="s">
        <v>2843</v>
      </c>
      <c r="T1" s="2" t="s">
        <v>2844</v>
      </c>
      <c r="U1" s="2" t="s">
        <v>2845</v>
      </c>
      <c r="V1" s="2" t="s">
        <v>2846</v>
      </c>
      <c r="W1" s="2" t="s">
        <v>2847</v>
      </c>
      <c r="X1" s="2" t="s">
        <v>2848</v>
      </c>
      <c r="Y1" s="2" t="s">
        <v>2849</v>
      </c>
      <c r="Z1" s="2" t="s">
        <v>2850</v>
      </c>
      <c r="AA1" s="2" t="s">
        <v>2851</v>
      </c>
    </row>
    <row r="2" spans="1:27" x14ac:dyDescent="0.3">
      <c r="A2" t="str">
        <f>[1]raw_orders!A2</f>
        <v>ORD-2024-10001</v>
      </c>
      <c r="B2" s="4">
        <f>IFERROR(DATEVALUE([1]raw_orders!B2), "Invalid Date")</f>
        <v>45494</v>
      </c>
      <c r="C2" s="4" t="str">
        <f>IFERROR(DATEVALUE([1]raw_orders!C2), "Invalid Date")</f>
        <v>Invalid Date</v>
      </c>
      <c r="D2" t="str">
        <f>[1]raw_orders!D2</f>
        <v>CUST-4655</v>
      </c>
      <c r="E2" t="str">
        <f>PROPER(TRIM([1]raw_orders!E2))</f>
        <v>Karan Malhotra</v>
      </c>
      <c r="F2" t="str">
        <f>PROPER(TRIM([1]raw_orders!F2))</f>
        <v>Consumer</v>
      </c>
      <c r="G2" t="str">
        <f>IF(TRIM([1]raw_orders!G2)="","Unknown",PROPER(TRIM([1]raw_orders!G2)))</f>
        <v>North</v>
      </c>
      <c r="H2" t="str">
        <f>PROPER(TRIM([1]raw_orders!H2))</f>
        <v>Rajasthan</v>
      </c>
      <c r="I2" t="str">
        <f>PROPER(TRIM([1]raw_orders!I2))</f>
        <v>Jaipur</v>
      </c>
      <c r="J2" t="str">
        <f>PROPER(TRIM([1]raw_orders!J2))</f>
        <v>Office Supplies</v>
      </c>
      <c r="K2" t="str">
        <f>PROPER(TRIM([1]raw_orders!K2))</f>
        <v>Paper</v>
      </c>
      <c r="L2" t="str">
        <f>[1]raw_orders!L2</f>
        <v>Pro Paper 122</v>
      </c>
      <c r="M2" t="str">
        <f>IF(TRIM([1]raw_orders!M2)="","Unknown",PROPER(TRIM([1]raw_orders!M2)))</f>
        <v>Second Class</v>
      </c>
      <c r="N2" s="5">
        <f>[1]raw_orders!N2</f>
        <v>8</v>
      </c>
      <c r="O2" s="5">
        <f>[1]raw_orders!O2</f>
        <v>2976.45</v>
      </c>
      <c r="P2" s="5">
        <f>[1]raw_orders!P2</f>
        <v>0.2</v>
      </c>
      <c r="Q2" t="str">
        <f>PROPER(TRIM([1]raw_orders!T2))</f>
        <v>Paid</v>
      </c>
      <c r="R2" t="str">
        <f>PROPER(TRIM([1]raw_orders!U2))</f>
        <v>Completed</v>
      </c>
      <c r="S2" s="5">
        <f>[1]raw_orders!S2</f>
        <v>3207.39</v>
      </c>
      <c r="T2" s="5">
        <f>IF(AND(ISNUMBER(S2),S2&gt;=0,S2&lt;=1),S2,IF(S2="",0,IF(S2&lt;0,"INVALID - Negative",IF(S2&gt;1,S2/100,"INVALID"))))</f>
        <v>32.073900000000002</v>
      </c>
      <c r="U2" s="5">
        <f>IF(AND(ISNUMBER(N2),ISNUMBER(O2),OR(ISNUMBER(T2),T2=0)),N2*O2*(1-IF(ISNUMBER(T2),T2,0)),"Calculation Error")</f>
        <v>-739919.27723999997</v>
      </c>
      <c r="V2" s="5">
        <f>IF(AND(ISNUMBER(U2),ISNUMBER(P2)),U2-P2,"Calculation Error")</f>
        <v>-739919.47723999992</v>
      </c>
      <c r="W2" s="5">
        <f>IF(AND(ISNUMBER(V2),ISNUMBER(U2),U2&lt;&gt;0),V2/U2,IF(U2=0,"N/A","Calculation Error"))</f>
        <v>1.0000002702997559</v>
      </c>
      <c r="X2" s="5" t="str">
        <f>IF(AND(ISNUMBER(B2),ISNUMBER(C2)),C2-B2,"Invalid Date")</f>
        <v>Invalid Date</v>
      </c>
      <c r="Y2" s="5">
        <f>MONTH(B2)</f>
        <v>7</v>
      </c>
      <c r="Z2" s="5">
        <f>YEAR(B2)</f>
        <v>2024</v>
      </c>
      <c r="AA2" t="str">
        <f>IF(OR(G2="Unknown",M2="Unknown",T2="INVALID - Negative",T2="INVALID",X2&lt;0,R2="Duplicate ID - Review Required"),IF(OR(T2="INVALID - Negative",T2="INVALID",X2&lt;0,R2="Duplicate ID - Review Required"),"Invalid","Warning"),"Clean")</f>
        <v>Clean</v>
      </c>
    </row>
    <row r="3" spans="1:27" x14ac:dyDescent="0.3">
      <c r="A3" t="str">
        <f>[1]raw_orders!A3</f>
        <v>ORD-2024-10002</v>
      </c>
      <c r="B3" s="4" t="str">
        <f>IFERROR(DATEVALUE([1]raw_orders!B3), "Invalid Date")</f>
        <v>Invalid Date</v>
      </c>
      <c r="C3" s="4">
        <f>IFERROR(DATEVALUE([1]raw_orders!C3), "Invalid Date")</f>
        <v>45540</v>
      </c>
      <c r="D3" t="str">
        <f>[1]raw_orders!D3</f>
        <v>CUST-2054</v>
      </c>
      <c r="E3" t="str">
        <f>PROPER(TRIM([1]raw_orders!E3))</f>
        <v>Mira Das</v>
      </c>
      <c r="F3" t="str">
        <f>PROPER(TRIM([1]raw_orders!F3))</f>
        <v>Small Business</v>
      </c>
      <c r="G3" t="str">
        <f>IF(TRIM([1]raw_orders!G3)="","Unknown",PROPER(TRIM([1]raw_orders!G3)))</f>
        <v>East</v>
      </c>
      <c r="H3" t="str">
        <f>PROPER(TRIM([1]raw_orders!H3))</f>
        <v>Odisha</v>
      </c>
      <c r="I3" t="str">
        <f>PROPER(TRIM([1]raw_orders!I3))</f>
        <v>Bhubaneswar</v>
      </c>
      <c r="J3" t="str">
        <f>PROPER(TRIM([1]raw_orders!J3))</f>
        <v>Furniture</v>
      </c>
      <c r="K3" t="str">
        <f>PROPER(TRIM([1]raw_orders!K3))</f>
        <v>Tables</v>
      </c>
      <c r="L3" t="str">
        <f>[1]raw_orders!L3</f>
        <v>Pro Tables 258</v>
      </c>
      <c r="M3" t="str">
        <f>IF(TRIM([1]raw_orders!M3)="","Unknown",PROPER(TRIM([1]raw_orders!M3)))</f>
        <v>Same Day</v>
      </c>
      <c r="N3" s="5">
        <f>[1]raw_orders!N3</f>
        <v>3</v>
      </c>
      <c r="O3" s="5">
        <f>[1]raw_orders!O3</f>
        <v>2437.5</v>
      </c>
      <c r="P3" s="5">
        <f>[1]raw_orders!P3</f>
        <v>0</v>
      </c>
      <c r="Q3" t="str">
        <f>PROPER(TRIM([1]raw_orders!T3))</f>
        <v>Paid</v>
      </c>
      <c r="R3" t="str">
        <f>PROPER(TRIM([1]raw_orders!U3))</f>
        <v>Completed</v>
      </c>
      <c r="S3" s="5">
        <f>[1]raw_orders!S3</f>
        <v>2407.77</v>
      </c>
      <c r="T3" s="5">
        <f t="shared" ref="T3:T66" si="0">IF(AND(ISNUMBER(S3),S3&gt;=0,S3&lt;=1),S3,IF(S3="",0,IF(S3&lt;0,"INVALID - Negative",IF(S3&gt;1,S3/100,"INVALID"))))</f>
        <v>24.0777</v>
      </c>
      <c r="U3" s="5">
        <f t="shared" ref="U3:U66" si="1">IF(AND(ISNUMBER(N3),ISNUMBER(O3),OR(ISNUMBER(T3),T3=0)),N3*O3*(1-IF(ISNUMBER(T3),T3,0)),"Calculation Error")</f>
        <v>-168755.68124999999</v>
      </c>
      <c r="V3" s="5">
        <f t="shared" ref="V3:V66" si="2">IF(AND(ISNUMBER(U3),ISNUMBER(P3)),U3-P3,"Calculation Error")</f>
        <v>-168755.68124999999</v>
      </c>
      <c r="W3" s="5">
        <f t="shared" ref="W3:W66" si="3">IF(AND(ISNUMBER(V3),ISNUMBER(U3),U3&lt;&gt;0),V3/U3,IF(U3=0,"N/A","Calculation Error"))</f>
        <v>1</v>
      </c>
      <c r="X3" s="5" t="str">
        <f t="shared" ref="X3:X66" si="4">IF(AND(ISNUMBER(B3),ISNUMBER(C3)),C3-B3,"Invalid Date")</f>
        <v>Invalid Date</v>
      </c>
      <c r="Y3" s="5" t="e">
        <f t="shared" ref="Y3:Y66" si="5">MONTH(B3)</f>
        <v>#VALUE!</v>
      </c>
      <c r="Z3" s="5" t="e">
        <f t="shared" ref="Z3:Z66" si="6">YEAR(B3)</f>
        <v>#VALUE!</v>
      </c>
      <c r="AA3" t="str">
        <f t="shared" ref="AA3:AA66" si="7">IF(OR(G3="Unknown",M3="Unknown",T3="INVALID - Negative",T3="INVALID",X3&lt;0,R3="Duplicate ID - Review Required"),IF(OR(T3="INVALID - Negative",T3="INVALID",X3&lt;0,R3="Duplicate ID - Review Required"),"Invalid","Warning"),"Clean")</f>
        <v>Clean</v>
      </c>
    </row>
    <row r="4" spans="1:27" x14ac:dyDescent="0.3">
      <c r="A4" t="str">
        <f>[1]raw_orders!A4</f>
        <v>ORD-2024-10003</v>
      </c>
      <c r="B4" s="4">
        <f>IFERROR(DATEVALUE([1]raw_orders!B4), "Invalid Date")</f>
        <v>45510</v>
      </c>
      <c r="C4" s="4">
        <f>IFERROR(DATEVALUE([1]raw_orders!C4), "Invalid Date")</f>
        <v>45458</v>
      </c>
      <c r="D4" t="str">
        <f>[1]raw_orders!D4</f>
        <v>CUST-6843</v>
      </c>
      <c r="E4" t="str">
        <f>PROPER(TRIM([1]raw_orders!E4))</f>
        <v>Isha Nair</v>
      </c>
      <c r="F4" t="str">
        <f>PROPER(TRIM([1]raw_orders!F4))</f>
        <v>Consumer</v>
      </c>
      <c r="G4" t="str">
        <f>IF(TRIM([1]raw_orders!G4)="","Unknown",PROPER(TRIM([1]raw_orders!G4)))</f>
        <v>East</v>
      </c>
      <c r="H4" t="str">
        <f>PROPER(TRIM([1]raw_orders!H4))</f>
        <v>Odisha</v>
      </c>
      <c r="I4" t="str">
        <f>PROPER(TRIM([1]raw_orders!I4))</f>
        <v>Bhubaneswar</v>
      </c>
      <c r="J4" t="str">
        <f>PROPER(TRIM([1]raw_orders!J4))</f>
        <v>Office Supplies</v>
      </c>
      <c r="K4" t="str">
        <f>PROPER(TRIM([1]raw_orders!K4))</f>
        <v>Art</v>
      </c>
      <c r="L4" t="str">
        <f>[1]raw_orders!L4</f>
        <v>Elite Art 525</v>
      </c>
      <c r="M4" t="str">
        <f>IF(TRIM([1]raw_orders!M4)="","Unknown",PROPER(TRIM([1]raw_orders!M4)))</f>
        <v>First Class</v>
      </c>
      <c r="N4" s="5">
        <f>[1]raw_orders!N4</f>
        <v>4</v>
      </c>
      <c r="O4" s="5">
        <f>[1]raw_orders!O4</f>
        <v>1065.43</v>
      </c>
      <c r="P4" s="5">
        <f>[1]raw_orders!P4</f>
        <v>0.55000000000000004</v>
      </c>
      <c r="Q4" t="str">
        <f>PROPER(TRIM([1]raw_orders!T4))</f>
        <v>Paid</v>
      </c>
      <c r="R4" t="str">
        <f>PROPER(TRIM([1]raw_orders!U4))</f>
        <v>Completed</v>
      </c>
      <c r="S4" s="5">
        <f>[1]raw_orders!S4</f>
        <v>1796.03</v>
      </c>
      <c r="T4" s="5">
        <f t="shared" si="0"/>
        <v>17.9603</v>
      </c>
      <c r="U4" s="5">
        <f t="shared" si="1"/>
        <v>-72280.049716000009</v>
      </c>
      <c r="V4" s="5">
        <f t="shared" si="2"/>
        <v>-72280.599716000012</v>
      </c>
      <c r="W4" s="5">
        <f t="shared" si="3"/>
        <v>1.0000076092919439</v>
      </c>
      <c r="X4" s="5">
        <f t="shared" si="4"/>
        <v>-52</v>
      </c>
      <c r="Y4" s="5">
        <f t="shared" si="5"/>
        <v>8</v>
      </c>
      <c r="Z4" s="5">
        <f t="shared" si="6"/>
        <v>2024</v>
      </c>
      <c r="AA4" t="str">
        <f t="shared" si="7"/>
        <v>Invalid</v>
      </c>
    </row>
    <row r="5" spans="1:27" x14ac:dyDescent="0.3">
      <c r="A5" t="str">
        <f>[1]raw_orders!A5</f>
        <v>ORD-2024-10004</v>
      </c>
      <c r="B5" s="4">
        <f>IFERROR(DATEVALUE([1]raw_orders!B5), "Invalid Date")</f>
        <v>45624</v>
      </c>
      <c r="C5" s="4" t="str">
        <f>IFERROR(DATEVALUE([1]raw_orders!C5), "Invalid Date")</f>
        <v>Invalid Date</v>
      </c>
      <c r="D5" t="str">
        <f>[1]raw_orders!D5</f>
        <v>CUST-3722</v>
      </c>
      <c r="E5" t="str">
        <f>PROPER(TRIM([1]raw_orders!E5))</f>
        <v>Arjun Bose</v>
      </c>
      <c r="F5" t="str">
        <f>PROPER(TRIM([1]raw_orders!F5))</f>
        <v>Small Business</v>
      </c>
      <c r="G5" t="str">
        <f>IF(TRIM([1]raw_orders!G5)="","Unknown",PROPER(TRIM([1]raw_orders!G5)))</f>
        <v>South</v>
      </c>
      <c r="H5" t="str">
        <f>PROPER(TRIM([1]raw_orders!H5))</f>
        <v>Telangana</v>
      </c>
      <c r="I5" t="str">
        <f>PROPER(TRIM([1]raw_orders!I5))</f>
        <v>Hyderabad</v>
      </c>
      <c r="J5" t="str">
        <f>PROPER(TRIM([1]raw_orders!J5))</f>
        <v>Furniture</v>
      </c>
      <c r="K5" t="str">
        <f>PROPER(TRIM([1]raw_orders!K5))</f>
        <v>Furnishings</v>
      </c>
      <c r="L5" t="str">
        <f>[1]raw_orders!L5</f>
        <v>Smart Furnishings 294</v>
      </c>
      <c r="M5" t="str">
        <f>IF(TRIM([1]raw_orders!M5)="","Unknown",PROPER(TRIM([1]raw_orders!M5)))</f>
        <v>Standard Class</v>
      </c>
      <c r="N5" s="5">
        <f>[1]raw_orders!N5</f>
        <v>6</v>
      </c>
      <c r="O5" s="5">
        <f>[1]raw_orders!O5</f>
        <v>1848.43</v>
      </c>
      <c r="P5" s="5">
        <f>[1]raw_orders!P5</f>
        <v>0.25</v>
      </c>
      <c r="Q5" t="str">
        <f>PROPER(TRIM([1]raw_orders!T5))</f>
        <v>Paid</v>
      </c>
      <c r="R5" t="str">
        <f>PROPER(TRIM([1]raw_orders!U5))</f>
        <v>Completed</v>
      </c>
      <c r="S5" s="5">
        <f>[1]raw_orders!S5</f>
        <v>1521.16</v>
      </c>
      <c r="T5" s="5">
        <f t="shared" si="0"/>
        <v>15.211600000000001</v>
      </c>
      <c r="U5" s="5">
        <f t="shared" si="1"/>
        <v>-157614.88672800001</v>
      </c>
      <c r="V5" s="5">
        <f t="shared" si="2"/>
        <v>-157615.13672800001</v>
      </c>
      <c r="W5" s="5">
        <f t="shared" si="3"/>
        <v>1.0000015861445908</v>
      </c>
      <c r="X5" s="5" t="str">
        <f t="shared" si="4"/>
        <v>Invalid Date</v>
      </c>
      <c r="Y5" s="5">
        <f t="shared" si="5"/>
        <v>11</v>
      </c>
      <c r="Z5" s="5">
        <f t="shared" si="6"/>
        <v>2024</v>
      </c>
      <c r="AA5" t="str">
        <f t="shared" si="7"/>
        <v>Clean</v>
      </c>
    </row>
    <row r="6" spans="1:27" x14ac:dyDescent="0.3">
      <c r="A6" t="str">
        <f>[1]raw_orders!A6</f>
        <v>ORD-2025-10005</v>
      </c>
      <c r="B6" s="4">
        <f>IFERROR(DATEVALUE([1]raw_orders!B6), "Invalid Date")</f>
        <v>45898</v>
      </c>
      <c r="C6" s="4">
        <f>IFERROR(DATEVALUE([1]raw_orders!C6), "Invalid Date")</f>
        <v>45901</v>
      </c>
      <c r="D6" t="str">
        <f>[1]raw_orders!D6</f>
        <v>CUST-8130</v>
      </c>
      <c r="E6" t="str">
        <f>PROPER(TRIM([1]raw_orders!E6))</f>
        <v>Ananya Rao</v>
      </c>
      <c r="F6" t="str">
        <f>PROPER(TRIM([1]raw_orders!F6))</f>
        <v>Small Business</v>
      </c>
      <c r="G6" t="str">
        <f>IF(TRIM([1]raw_orders!G6)="","Unknown",PROPER(TRIM([1]raw_orders!G6)))</f>
        <v>West</v>
      </c>
      <c r="H6" t="str">
        <f>PROPER(TRIM([1]raw_orders!H6))</f>
        <v>Maharashtra</v>
      </c>
      <c r="I6" t="str">
        <f>PROPER(TRIM([1]raw_orders!I6))</f>
        <v>Mumbai</v>
      </c>
      <c r="J6" t="str">
        <f>PROPER(TRIM([1]raw_orders!J6))</f>
        <v>Furniture</v>
      </c>
      <c r="K6" t="str">
        <f>PROPER(TRIM([1]raw_orders!K6))</f>
        <v>Chairs</v>
      </c>
      <c r="L6" t="str">
        <f>[1]raw_orders!L6</f>
        <v>Elite Chairs 543</v>
      </c>
      <c r="M6" t="str">
        <f>IF(TRIM([1]raw_orders!M6)="","Unknown",PROPER(TRIM([1]raw_orders!M6)))</f>
        <v>First Class</v>
      </c>
      <c r="N6" s="5">
        <f>[1]raw_orders!N6</f>
        <v>7</v>
      </c>
      <c r="O6" s="5">
        <f>[1]raw_orders!O6</f>
        <v>2973.76</v>
      </c>
      <c r="P6" s="5">
        <f>[1]raw_orders!P6</f>
        <v>0</v>
      </c>
      <c r="Q6" t="str">
        <f>PROPER(TRIM([1]raw_orders!T6))</f>
        <v>Paid</v>
      </c>
      <c r="R6" t="str">
        <f>PROPER(TRIM([1]raw_orders!U6))</f>
        <v>Cancelled</v>
      </c>
      <c r="S6" s="5">
        <f>[1]raw_orders!S6</f>
        <v>3110.95</v>
      </c>
      <c r="T6" s="5">
        <f t="shared" si="0"/>
        <v>31.109499999999997</v>
      </c>
      <c r="U6" s="5">
        <f t="shared" si="1"/>
        <v>-626768.98703999992</v>
      </c>
      <c r="V6" s="5">
        <f t="shared" si="2"/>
        <v>-626768.98703999992</v>
      </c>
      <c r="W6" s="5">
        <f t="shared" si="3"/>
        <v>1</v>
      </c>
      <c r="X6" s="5">
        <f t="shared" si="4"/>
        <v>3</v>
      </c>
      <c r="Y6" s="5">
        <f t="shared" si="5"/>
        <v>8</v>
      </c>
      <c r="Z6" s="5">
        <f t="shared" si="6"/>
        <v>2025</v>
      </c>
      <c r="AA6" t="str">
        <f t="shared" si="7"/>
        <v>Clean</v>
      </c>
    </row>
    <row r="7" spans="1:27" x14ac:dyDescent="0.3">
      <c r="A7" t="str">
        <f>[1]raw_orders!A7</f>
        <v>ORD-2024-10006</v>
      </c>
      <c r="B7" s="4">
        <f>IFERROR(DATEVALUE([1]raw_orders!B7), "Invalid Date")</f>
        <v>45436</v>
      </c>
      <c r="C7" s="4">
        <f>IFERROR(DATEVALUE([1]raw_orders!C7), "Invalid Date")</f>
        <v>45440</v>
      </c>
      <c r="D7" t="str">
        <f>[1]raw_orders!D7</f>
        <v>CUST-6056</v>
      </c>
      <c r="E7" t="str">
        <f>PROPER(TRIM([1]raw_orders!E7))</f>
        <v>Vikram Iyer</v>
      </c>
      <c r="F7" t="str">
        <f>PROPER(TRIM([1]raw_orders!F7))</f>
        <v>Small Business</v>
      </c>
      <c r="G7" t="str">
        <f>IF(TRIM([1]raw_orders!G7)="","Unknown",PROPER(TRIM([1]raw_orders!G7)))</f>
        <v>West</v>
      </c>
      <c r="H7" t="str">
        <f>PROPER(TRIM([1]raw_orders!H7))</f>
        <v>Madhya Pradesh</v>
      </c>
      <c r="I7" t="str">
        <f>PROPER(TRIM([1]raw_orders!I7))</f>
        <v>Indore</v>
      </c>
      <c r="J7" t="str">
        <f>PROPER(TRIM([1]raw_orders!J7))</f>
        <v>Technology</v>
      </c>
      <c r="K7" t="str">
        <f>PROPER(TRIM([1]raw_orders!K7))</f>
        <v>Accessories</v>
      </c>
      <c r="L7" t="str">
        <f>[1]raw_orders!L7</f>
        <v>Pro Accessories 821</v>
      </c>
      <c r="M7" t="str">
        <f>IF(TRIM([1]raw_orders!M7)="","Unknown",PROPER(TRIM([1]raw_orders!M7)))</f>
        <v>Same Day</v>
      </c>
      <c r="N7" s="5">
        <f>[1]raw_orders!N7</f>
        <v>3</v>
      </c>
      <c r="O7" s="5">
        <f>[1]raw_orders!O7</f>
        <v>1053.1099999999999</v>
      </c>
      <c r="P7" s="5">
        <f>[1]raw_orders!P7</f>
        <v>0.2</v>
      </c>
      <c r="Q7" t="str">
        <f>PROPER(TRIM([1]raw_orders!T7))</f>
        <v>Paid</v>
      </c>
      <c r="R7" t="str">
        <f>PROPER(TRIM([1]raw_orders!U7))</f>
        <v>Completed</v>
      </c>
      <c r="S7" s="5">
        <f>[1]raw_orders!S7</f>
        <v>993.88</v>
      </c>
      <c r="T7" s="5">
        <f t="shared" si="0"/>
        <v>9.9388000000000005</v>
      </c>
      <c r="U7" s="5">
        <f t="shared" si="1"/>
        <v>-28240.619004</v>
      </c>
      <c r="V7" s="5">
        <f t="shared" si="2"/>
        <v>-28240.819004000001</v>
      </c>
      <c r="W7" s="5">
        <f t="shared" si="3"/>
        <v>1.0000070819977414</v>
      </c>
      <c r="X7" s="5">
        <f t="shared" si="4"/>
        <v>4</v>
      </c>
      <c r="Y7" s="5">
        <f t="shared" si="5"/>
        <v>5</v>
      </c>
      <c r="Z7" s="5">
        <f t="shared" si="6"/>
        <v>2024</v>
      </c>
      <c r="AA7" t="str">
        <f t="shared" si="7"/>
        <v>Clean</v>
      </c>
    </row>
    <row r="8" spans="1:27" x14ac:dyDescent="0.3">
      <c r="A8" t="str">
        <f>[1]raw_orders!A8</f>
        <v>ORD-2025-10007</v>
      </c>
      <c r="B8" s="4">
        <f>IFERROR(DATEVALUE([1]raw_orders!B8), "Invalid Date")</f>
        <v>45934</v>
      </c>
      <c r="C8" s="4" t="str">
        <f>IFERROR(DATEVALUE([1]raw_orders!C8), "Invalid Date")</f>
        <v>Invalid Date</v>
      </c>
      <c r="D8" t="str">
        <f>[1]raw_orders!D8</f>
        <v>CUST-3656</v>
      </c>
      <c r="E8" t="str">
        <f>PROPER(TRIM([1]raw_orders!E8))</f>
        <v>Neha Gupta</v>
      </c>
      <c r="F8" t="str">
        <f>PROPER(TRIM([1]raw_orders!F8))</f>
        <v>Consumer</v>
      </c>
      <c r="G8" t="str">
        <f>IF(TRIM([1]raw_orders!G8)="","Unknown",PROPER(TRIM([1]raw_orders!G8)))</f>
        <v>East</v>
      </c>
      <c r="H8" t="str">
        <f>PROPER(TRIM([1]raw_orders!H8))</f>
        <v>Odisha</v>
      </c>
      <c r="I8" t="str">
        <f>PROPER(TRIM([1]raw_orders!I8))</f>
        <v>Bhubaneswar</v>
      </c>
      <c r="J8" t="str">
        <f>PROPER(TRIM([1]raw_orders!J8))</f>
        <v>Technology</v>
      </c>
      <c r="K8" t="str">
        <f>PROPER(TRIM([1]raw_orders!K8))</f>
        <v>Copiers</v>
      </c>
      <c r="L8" t="str">
        <f>[1]raw_orders!L8</f>
        <v>Eco Copiers 790</v>
      </c>
      <c r="M8" t="str">
        <f>IF(TRIM([1]raw_orders!M8)="","Unknown",PROPER(TRIM([1]raw_orders!M8)))</f>
        <v>Standard Class</v>
      </c>
      <c r="N8" s="5">
        <f>[1]raw_orders!N8</f>
        <v>4</v>
      </c>
      <c r="O8" s="5">
        <f>[1]raw_orders!O8</f>
        <v>1719.87</v>
      </c>
      <c r="P8" s="5">
        <f>[1]raw_orders!P8</f>
        <v>0.15</v>
      </c>
      <c r="Q8" t="str">
        <f>PROPER(TRIM([1]raw_orders!T8))</f>
        <v>Paid</v>
      </c>
      <c r="R8" t="str">
        <f>PROPER(TRIM([1]raw_orders!U8))</f>
        <v>Completed</v>
      </c>
      <c r="S8" s="5">
        <f>[1]raw_orders!S8</f>
        <v>1120.31</v>
      </c>
      <c r="T8" s="5">
        <f t="shared" si="0"/>
        <v>11.203099999999999</v>
      </c>
      <c r="U8" s="5">
        <f t="shared" si="1"/>
        <v>-70192.022387999983</v>
      </c>
      <c r="V8" s="5">
        <f t="shared" si="2"/>
        <v>-70192.172387999977</v>
      </c>
      <c r="W8" s="5">
        <f t="shared" si="3"/>
        <v>1.0000021369949874</v>
      </c>
      <c r="X8" s="5" t="str">
        <f t="shared" si="4"/>
        <v>Invalid Date</v>
      </c>
      <c r="Y8" s="5">
        <f t="shared" si="5"/>
        <v>10</v>
      </c>
      <c r="Z8" s="5">
        <f t="shared" si="6"/>
        <v>2025</v>
      </c>
      <c r="AA8" t="str">
        <f t="shared" si="7"/>
        <v>Clean</v>
      </c>
    </row>
    <row r="9" spans="1:27" x14ac:dyDescent="0.3">
      <c r="A9" t="str">
        <f>[1]raw_orders!A9</f>
        <v>ORD-2025-10008</v>
      </c>
      <c r="B9" s="4">
        <f>IFERROR(DATEVALUE([1]raw_orders!B9), "Invalid Date")</f>
        <v>45711</v>
      </c>
      <c r="C9" s="4">
        <f>IFERROR(DATEVALUE([1]raw_orders!C9), "Invalid Date")</f>
        <v>45714</v>
      </c>
      <c r="D9" t="str">
        <f>[1]raw_orders!D9</f>
        <v>CUST-4683</v>
      </c>
      <c r="E9" t="str">
        <f>PROPER(TRIM([1]raw_orders!E9))</f>
        <v>Isha Nair</v>
      </c>
      <c r="F9" t="str">
        <f>PROPER(TRIM([1]raw_orders!F9))</f>
        <v>Small Business</v>
      </c>
      <c r="G9" t="str">
        <f>IF(TRIM([1]raw_orders!G9)="","Unknown",PROPER(TRIM([1]raw_orders!G9)))</f>
        <v>South</v>
      </c>
      <c r="H9" t="str">
        <f>PROPER(TRIM([1]raw_orders!H9))</f>
        <v>Andhra Pradesh</v>
      </c>
      <c r="I9" t="str">
        <f>PROPER(TRIM([1]raw_orders!I9))</f>
        <v>Vijayawada</v>
      </c>
      <c r="J9" t="str">
        <f>PROPER(TRIM([1]raw_orders!J9))</f>
        <v>Office Supplies</v>
      </c>
      <c r="K9" t="str">
        <f>PROPER(TRIM([1]raw_orders!K9))</f>
        <v>Art</v>
      </c>
      <c r="L9" t="str">
        <f>[1]raw_orders!L9</f>
        <v>Eco Art 848</v>
      </c>
      <c r="M9" t="str">
        <f>IF(TRIM([1]raw_orders!M9)="","Unknown",PROPER(TRIM([1]raw_orders!M9)))</f>
        <v>First Class</v>
      </c>
      <c r="N9" s="5">
        <f>[1]raw_orders!N9</f>
        <v>1</v>
      </c>
      <c r="O9" s="5">
        <f>[1]raw_orders!O9</f>
        <v>2980.71</v>
      </c>
      <c r="P9" s="5">
        <f>[1]raw_orders!P9</f>
        <v>0</v>
      </c>
      <c r="Q9" t="str">
        <f>PROPER(TRIM([1]raw_orders!T9))</f>
        <v>Paid</v>
      </c>
      <c r="R9" t="str">
        <f>PROPER(TRIM([1]raw_orders!U9))</f>
        <v>Completed</v>
      </c>
      <c r="S9" s="5">
        <f>[1]raw_orders!S9</f>
        <v>623.49</v>
      </c>
      <c r="T9" s="5">
        <f t="shared" si="0"/>
        <v>6.2348999999999997</v>
      </c>
      <c r="U9" s="5">
        <f t="shared" si="1"/>
        <v>-15603.718778999999</v>
      </c>
      <c r="V9" s="5">
        <f t="shared" si="2"/>
        <v>-15603.718778999999</v>
      </c>
      <c r="W9" s="5">
        <f t="shared" si="3"/>
        <v>1</v>
      </c>
      <c r="X9" s="5">
        <f t="shared" si="4"/>
        <v>3</v>
      </c>
      <c r="Y9" s="5">
        <f t="shared" si="5"/>
        <v>2</v>
      </c>
      <c r="Z9" s="5">
        <f t="shared" si="6"/>
        <v>2025</v>
      </c>
      <c r="AA9" t="str">
        <f t="shared" si="7"/>
        <v>Clean</v>
      </c>
    </row>
    <row r="10" spans="1:27" x14ac:dyDescent="0.3">
      <c r="A10" t="str">
        <f>[1]raw_orders!A10</f>
        <v>ORD-2024-10009</v>
      </c>
      <c r="B10" s="4">
        <f>IFERROR(DATEVALUE([1]raw_orders!B10), "Invalid Date")</f>
        <v>45423</v>
      </c>
      <c r="C10" s="4">
        <f>IFERROR(DATEVALUE([1]raw_orders!C10), "Invalid Date")</f>
        <v>45576</v>
      </c>
      <c r="D10" t="str">
        <f>[1]raw_orders!D10</f>
        <v>CUST-2598</v>
      </c>
      <c r="E10" t="str">
        <f>PROPER(TRIM([1]raw_orders!E10))</f>
        <v>Aditi Sen</v>
      </c>
      <c r="F10" t="str">
        <f>PROPER(TRIM([1]raw_orders!F10))</f>
        <v>Corporate</v>
      </c>
      <c r="G10" t="str">
        <f>IF(TRIM([1]raw_orders!G10)="","Unknown",PROPER(TRIM([1]raw_orders!G10)))</f>
        <v>South</v>
      </c>
      <c r="H10" t="str">
        <f>PROPER(TRIM([1]raw_orders!H10))</f>
        <v>Telangana</v>
      </c>
      <c r="I10" t="str">
        <f>PROPER(TRIM([1]raw_orders!I10))</f>
        <v>Hyderabad</v>
      </c>
      <c r="J10" t="str">
        <f>PROPER(TRIM([1]raw_orders!J10))</f>
        <v>Office Supplies</v>
      </c>
      <c r="K10" t="str">
        <f>PROPER(TRIM([1]raw_orders!K10))</f>
        <v>Labels</v>
      </c>
      <c r="L10" t="str">
        <f>[1]raw_orders!L10</f>
        <v>Classic Labels 815</v>
      </c>
      <c r="M10" t="str">
        <f>IF(TRIM([1]raw_orders!M10)="","Unknown",PROPER(TRIM([1]raw_orders!M10)))</f>
        <v>First Class</v>
      </c>
      <c r="N10" s="5">
        <f>[1]raw_orders!N10</f>
        <v>8</v>
      </c>
      <c r="O10" s="5">
        <f>[1]raw_orders!O10</f>
        <v>3134.2</v>
      </c>
      <c r="P10" s="5">
        <f>[1]raw_orders!P10</f>
        <v>0</v>
      </c>
      <c r="Q10" t="str">
        <f>PROPER(TRIM([1]raw_orders!T10))</f>
        <v>Paid</v>
      </c>
      <c r="R10" t="str">
        <f>PROPER(TRIM([1]raw_orders!U10))</f>
        <v>Completed</v>
      </c>
      <c r="S10" s="5">
        <f>[1]raw_orders!S10</f>
        <v>7726.37</v>
      </c>
      <c r="T10" s="5">
        <f t="shared" si="0"/>
        <v>77.2637</v>
      </c>
      <c r="U10" s="5">
        <f t="shared" si="1"/>
        <v>-1912205.5083199998</v>
      </c>
      <c r="V10" s="5">
        <f t="shared" si="2"/>
        <v>-1912205.5083199998</v>
      </c>
      <c r="W10" s="5">
        <f t="shared" si="3"/>
        <v>1</v>
      </c>
      <c r="X10" s="5">
        <f t="shared" si="4"/>
        <v>153</v>
      </c>
      <c r="Y10" s="5">
        <f t="shared" si="5"/>
        <v>5</v>
      </c>
      <c r="Z10" s="5">
        <f t="shared" si="6"/>
        <v>2024</v>
      </c>
      <c r="AA10" t="str">
        <f t="shared" si="7"/>
        <v>Clean</v>
      </c>
    </row>
    <row r="11" spans="1:27" x14ac:dyDescent="0.3">
      <c r="A11" t="str">
        <f>[1]raw_orders!A11</f>
        <v>ORD-2025-10010</v>
      </c>
      <c r="B11" s="4">
        <f>IFERROR(DATEVALUE([1]raw_orders!B11), "Invalid Date")</f>
        <v>45907</v>
      </c>
      <c r="C11" s="4">
        <f>IFERROR(DATEVALUE([1]raw_orders!C11), "Invalid Date")</f>
        <v>46000</v>
      </c>
      <c r="D11" t="str">
        <f>[1]raw_orders!D11</f>
        <v>CUST-2483</v>
      </c>
      <c r="E11" t="str">
        <f>PROPER(TRIM([1]raw_orders!E11))</f>
        <v>Mira Das</v>
      </c>
      <c r="F11" t="str">
        <f>PROPER(TRIM([1]raw_orders!F11))</f>
        <v>Home Office</v>
      </c>
      <c r="G11" t="str">
        <f>IF(TRIM([1]raw_orders!G11)="","Unknown",PROPER(TRIM([1]raw_orders!G11)))</f>
        <v>South</v>
      </c>
      <c r="H11" t="str">
        <f>PROPER(TRIM([1]raw_orders!H11))</f>
        <v>Telangana</v>
      </c>
      <c r="I11" t="str">
        <f>PROPER(TRIM([1]raw_orders!I11))</f>
        <v>Hyderabad</v>
      </c>
      <c r="J11" t="str">
        <f>PROPER(TRIM([1]raw_orders!J11))</f>
        <v>Office Supplies</v>
      </c>
      <c r="K11" t="str">
        <f>PROPER(TRIM([1]raw_orders!K11))</f>
        <v>Paper</v>
      </c>
      <c r="L11" t="str">
        <f>[1]raw_orders!L11</f>
        <v>Pro Paper 622</v>
      </c>
      <c r="M11" t="str">
        <f>IF(TRIM([1]raw_orders!M11)="","Unknown",PROPER(TRIM([1]raw_orders!M11)))</f>
        <v>Second Class</v>
      </c>
      <c r="N11" s="5">
        <f>[1]raw_orders!N11</f>
        <v>9</v>
      </c>
      <c r="O11" s="5">
        <f>[1]raw_orders!O11</f>
        <v>852.04</v>
      </c>
      <c r="P11" s="5">
        <f>[1]raw_orders!P11</f>
        <v>0.2</v>
      </c>
      <c r="Q11" t="str">
        <f>PROPER(TRIM([1]raw_orders!T11))</f>
        <v>Paid</v>
      </c>
      <c r="R11" t="str">
        <f>PROPER(TRIM([1]raw_orders!U11))</f>
        <v>Completed</v>
      </c>
      <c r="S11" s="5">
        <f>[1]raw_orders!S11</f>
        <v>2334.5</v>
      </c>
      <c r="T11" s="5">
        <f t="shared" si="0"/>
        <v>23.344999999999999</v>
      </c>
      <c r="U11" s="5">
        <f t="shared" si="1"/>
        <v>-171349.5042</v>
      </c>
      <c r="V11" s="5">
        <f t="shared" si="2"/>
        <v>-171349.70420000001</v>
      </c>
      <c r="W11" s="5">
        <f t="shared" si="3"/>
        <v>1.0000011672050115</v>
      </c>
      <c r="X11" s="5">
        <f t="shared" si="4"/>
        <v>93</v>
      </c>
      <c r="Y11" s="5">
        <f t="shared" si="5"/>
        <v>9</v>
      </c>
      <c r="Z11" s="5">
        <f t="shared" si="6"/>
        <v>2025</v>
      </c>
      <c r="AA11" t="str">
        <f t="shared" si="7"/>
        <v>Clean</v>
      </c>
    </row>
    <row r="12" spans="1:27" x14ac:dyDescent="0.3">
      <c r="A12" t="str">
        <f>[1]raw_orders!A12</f>
        <v>ORD-2025-10011</v>
      </c>
      <c r="B12" s="4">
        <f>IFERROR(DATEVALUE([1]raw_orders!B12), "Invalid Date")</f>
        <v>45797</v>
      </c>
      <c r="C12" s="4" t="str">
        <f>IFERROR(DATEVALUE([1]raw_orders!C12), "Invalid Date")</f>
        <v>Invalid Date</v>
      </c>
      <c r="D12" t="str">
        <f>[1]raw_orders!D12</f>
        <v>CUST-8092</v>
      </c>
      <c r="E12" t="str">
        <f>PROPER(TRIM([1]raw_orders!E12))</f>
        <v>Ananya Rao</v>
      </c>
      <c r="F12" t="str">
        <f>PROPER(TRIM([1]raw_orders!F12))</f>
        <v>Corporate</v>
      </c>
      <c r="G12" t="str">
        <f>IF(TRIM([1]raw_orders!G12)="","Unknown",PROPER(TRIM([1]raw_orders!G12)))</f>
        <v>East</v>
      </c>
      <c r="H12" t="str">
        <f>PROPER(TRIM([1]raw_orders!H12))</f>
        <v>West Bengal</v>
      </c>
      <c r="I12" t="str">
        <f>PROPER(TRIM([1]raw_orders!I12))</f>
        <v>Kolkata</v>
      </c>
      <c r="J12" t="str">
        <f>PROPER(TRIM([1]raw_orders!J12))</f>
        <v>Office Supplies</v>
      </c>
      <c r="K12" t="str">
        <f>PROPER(TRIM([1]raw_orders!K12))</f>
        <v>Labels</v>
      </c>
      <c r="L12" t="str">
        <f>[1]raw_orders!L12</f>
        <v>Prime Labels 644</v>
      </c>
      <c r="M12" t="str">
        <f>IF(TRIM([1]raw_orders!M12)="","Unknown",PROPER(TRIM([1]raw_orders!M12)))</f>
        <v>Second Class</v>
      </c>
      <c r="N12" s="5">
        <f>[1]raw_orders!N12</f>
        <v>3</v>
      </c>
      <c r="O12" s="5">
        <f>[1]raw_orders!O12</f>
        <v>3534.83</v>
      </c>
      <c r="P12" s="5">
        <f>[1]raw_orders!P12</f>
        <v>0.05</v>
      </c>
      <c r="Q12" t="str">
        <f>PROPER(TRIM([1]raw_orders!T12))</f>
        <v>Refunded</v>
      </c>
      <c r="R12" t="str">
        <f>PROPER(TRIM([1]raw_orders!U12))</f>
        <v>Returned</v>
      </c>
      <c r="S12" s="5">
        <f>[1]raw_orders!S12</f>
        <v>4026</v>
      </c>
      <c r="T12" s="5">
        <f t="shared" si="0"/>
        <v>40.26</v>
      </c>
      <c r="U12" s="5">
        <f t="shared" si="1"/>
        <v>-416332.27739999996</v>
      </c>
      <c r="V12" s="5">
        <f t="shared" si="2"/>
        <v>-416332.32739999995</v>
      </c>
      <c r="W12" s="5">
        <f t="shared" si="3"/>
        <v>1.0000001200963815</v>
      </c>
      <c r="X12" s="5" t="str">
        <f t="shared" si="4"/>
        <v>Invalid Date</v>
      </c>
      <c r="Y12" s="5">
        <f t="shared" si="5"/>
        <v>5</v>
      </c>
      <c r="Z12" s="5">
        <f t="shared" si="6"/>
        <v>2025</v>
      </c>
      <c r="AA12" t="str">
        <f t="shared" si="7"/>
        <v>Clean</v>
      </c>
    </row>
    <row r="13" spans="1:27" x14ac:dyDescent="0.3">
      <c r="A13" t="str">
        <f>[1]raw_orders!A13</f>
        <v>ORD-2024-10012</v>
      </c>
      <c r="B13" s="4">
        <f>IFERROR(DATEVALUE([1]raw_orders!B13), "Invalid Date")</f>
        <v>45495</v>
      </c>
      <c r="C13" s="4">
        <f>IFERROR(DATEVALUE([1]raw_orders!C13), "Invalid Date")</f>
        <v>45496</v>
      </c>
      <c r="D13" t="str">
        <f>[1]raw_orders!D13</f>
        <v>CUST-6528</v>
      </c>
      <c r="E13" t="str">
        <f>PROPER(TRIM([1]raw_orders!E13))</f>
        <v>Vikram Iyer</v>
      </c>
      <c r="F13" t="str">
        <f>PROPER(TRIM([1]raw_orders!F13))</f>
        <v>Small Business</v>
      </c>
      <c r="G13" t="str">
        <f>IF(TRIM([1]raw_orders!G13)="","Unknown",PROPER(TRIM([1]raw_orders!G13)))</f>
        <v>East</v>
      </c>
      <c r="H13" t="str">
        <f>PROPER(TRIM([1]raw_orders!H13))</f>
        <v>Odisha</v>
      </c>
      <c r="I13" t="str">
        <f>PROPER(TRIM([1]raw_orders!I13))</f>
        <v>Bhubaneswar</v>
      </c>
      <c r="J13" t="str">
        <f>PROPER(TRIM([1]raw_orders!J13))</f>
        <v>Technology</v>
      </c>
      <c r="K13" t="str">
        <f>PROPER(TRIM([1]raw_orders!K13))</f>
        <v>Accessories</v>
      </c>
      <c r="L13" t="str">
        <f>[1]raw_orders!L13</f>
        <v>Smart Accessories 603</v>
      </c>
      <c r="M13" t="str">
        <f>IF(TRIM([1]raw_orders!M13)="","Unknown",PROPER(TRIM([1]raw_orders!M13)))</f>
        <v>Same Day</v>
      </c>
      <c r="N13" s="5">
        <f>[1]raw_orders!N13</f>
        <v>6</v>
      </c>
      <c r="O13" s="5">
        <f>[1]raw_orders!O13</f>
        <v>2005.95</v>
      </c>
      <c r="P13" s="5">
        <f>[1]raw_orders!P13</f>
        <v>0.2</v>
      </c>
      <c r="Q13" t="str">
        <f>PROPER(TRIM([1]raw_orders!T13))</f>
        <v>Paid</v>
      </c>
      <c r="R13" t="str">
        <f>PROPER(TRIM([1]raw_orders!U13))</f>
        <v>Completed</v>
      </c>
      <c r="S13" s="5">
        <f>[1]raw_orders!S13</f>
        <v>1589.97</v>
      </c>
      <c r="T13" s="5">
        <f t="shared" si="0"/>
        <v>15.899700000000001</v>
      </c>
      <c r="U13" s="5">
        <f t="shared" si="1"/>
        <v>-179328.31929000001</v>
      </c>
      <c r="V13" s="5">
        <f t="shared" si="2"/>
        <v>-179328.51929000003</v>
      </c>
      <c r="W13" s="5">
        <f t="shared" si="3"/>
        <v>1.0000011152728181</v>
      </c>
      <c r="X13" s="5">
        <f t="shared" si="4"/>
        <v>1</v>
      </c>
      <c r="Y13" s="5">
        <f t="shared" si="5"/>
        <v>7</v>
      </c>
      <c r="Z13" s="5">
        <f t="shared" si="6"/>
        <v>2024</v>
      </c>
      <c r="AA13" t="str">
        <f t="shared" si="7"/>
        <v>Clean</v>
      </c>
    </row>
    <row r="14" spans="1:27" x14ac:dyDescent="0.3">
      <c r="A14" t="str">
        <f>[1]raw_orders!A14</f>
        <v>ORD-2024-10013</v>
      </c>
      <c r="B14" s="4">
        <f>IFERROR(DATEVALUE([1]raw_orders!B14), "Invalid Date")</f>
        <v>45646</v>
      </c>
      <c r="C14" s="4" t="str">
        <f>IFERROR(DATEVALUE([1]raw_orders!C14), "Invalid Date")</f>
        <v>Invalid Date</v>
      </c>
      <c r="D14" t="str">
        <f>[1]raw_orders!D14</f>
        <v>CUST-2648</v>
      </c>
      <c r="E14" t="str">
        <f>PROPER(TRIM([1]raw_orders!E14))</f>
        <v>Ananya Rao</v>
      </c>
      <c r="F14" t="str">
        <f>PROPER(TRIM([1]raw_orders!F14))</f>
        <v>Corporate</v>
      </c>
      <c r="G14" t="str">
        <f>IF(TRIM([1]raw_orders!G14)="","Unknown",PROPER(TRIM([1]raw_orders!G14)))</f>
        <v>West</v>
      </c>
      <c r="H14" t="str">
        <f>PROPER(TRIM([1]raw_orders!H14))</f>
        <v>Rajasthan</v>
      </c>
      <c r="I14" t="str">
        <f>PROPER(TRIM([1]raw_orders!I14))</f>
        <v>Udaipur</v>
      </c>
      <c r="J14" t="str">
        <f>PROPER(TRIM([1]raw_orders!J14))</f>
        <v>Office Supplies</v>
      </c>
      <c r="K14" t="str">
        <f>PROPER(TRIM([1]raw_orders!K14))</f>
        <v>Paper</v>
      </c>
      <c r="L14" t="str">
        <f>[1]raw_orders!L14</f>
        <v>Pro Paper 481</v>
      </c>
      <c r="M14" t="str">
        <f>IF(TRIM([1]raw_orders!M14)="","Unknown",PROPER(TRIM([1]raw_orders!M14)))</f>
        <v>First Class</v>
      </c>
      <c r="N14" s="5">
        <f>[1]raw_orders!N14</f>
        <v>1</v>
      </c>
      <c r="O14" s="5">
        <f>[1]raw_orders!O14</f>
        <v>702.14</v>
      </c>
      <c r="P14" s="5">
        <f>[1]raw_orders!P14</f>
        <v>0.15</v>
      </c>
      <c r="Q14" t="str">
        <f>PROPER(TRIM([1]raw_orders!T14))</f>
        <v>Pending</v>
      </c>
      <c r="R14" t="str">
        <f>PROPER(TRIM([1]raw_orders!U14))</f>
        <v>Returned</v>
      </c>
      <c r="S14" s="5">
        <f>[1]raw_orders!S14</f>
        <v>216.57</v>
      </c>
      <c r="T14" s="5">
        <f t="shared" si="0"/>
        <v>2.1656999999999997</v>
      </c>
      <c r="U14" s="5">
        <f t="shared" si="1"/>
        <v>-818.48459799999978</v>
      </c>
      <c r="V14" s="5">
        <f t="shared" si="2"/>
        <v>-818.63459799999976</v>
      </c>
      <c r="W14" s="5">
        <f t="shared" si="3"/>
        <v>1.0001832655133236</v>
      </c>
      <c r="X14" s="5" t="str">
        <f t="shared" si="4"/>
        <v>Invalid Date</v>
      </c>
      <c r="Y14" s="5">
        <f t="shared" si="5"/>
        <v>12</v>
      </c>
      <c r="Z14" s="5">
        <f t="shared" si="6"/>
        <v>2024</v>
      </c>
      <c r="AA14" t="str">
        <f t="shared" si="7"/>
        <v>Clean</v>
      </c>
    </row>
    <row r="15" spans="1:27" x14ac:dyDescent="0.3">
      <c r="A15" t="str">
        <f>[1]raw_orders!A15</f>
        <v>ORD-2025-10014</v>
      </c>
      <c r="B15" s="4">
        <f>IFERROR(DATEVALUE([1]raw_orders!B15), "Invalid Date")</f>
        <v>45942</v>
      </c>
      <c r="C15" s="4">
        <f>IFERROR(DATEVALUE([1]raw_orders!C15), "Invalid Date")</f>
        <v>45946</v>
      </c>
      <c r="D15" t="str">
        <f>[1]raw_orders!D15</f>
        <v>CUST-7482</v>
      </c>
      <c r="E15" t="str">
        <f>PROPER(TRIM([1]raw_orders!E15))</f>
        <v>Priya Menon</v>
      </c>
      <c r="F15" t="str">
        <f>PROPER(TRIM([1]raw_orders!F15))</f>
        <v>Small Business</v>
      </c>
      <c r="G15" t="str">
        <f>IF(TRIM([1]raw_orders!G15)="","Unknown",PROPER(TRIM([1]raw_orders!G15)))</f>
        <v>West</v>
      </c>
      <c r="H15" t="str">
        <f>PROPER(TRIM([1]raw_orders!H15))</f>
        <v>Maharashtra</v>
      </c>
      <c r="I15" t="str">
        <f>PROPER(TRIM([1]raw_orders!I15))</f>
        <v>Mumbai</v>
      </c>
      <c r="J15" t="str">
        <f>PROPER(TRIM([1]raw_orders!J15))</f>
        <v>Office Supplies</v>
      </c>
      <c r="K15" t="str">
        <f>PROPER(TRIM([1]raw_orders!K15))</f>
        <v>Art</v>
      </c>
      <c r="L15" t="str">
        <f>[1]raw_orders!L15</f>
        <v>Smart Art 795</v>
      </c>
      <c r="M15" t="str">
        <f>IF(TRIM([1]raw_orders!M15)="","Unknown",PROPER(TRIM([1]raw_orders!M15)))</f>
        <v>Second Class</v>
      </c>
      <c r="N15" s="5">
        <f>[1]raw_orders!N15</f>
        <v>7</v>
      </c>
      <c r="O15" s="5">
        <f>[1]raw_orders!O15</f>
        <v>3964.72</v>
      </c>
      <c r="P15" s="5">
        <f>[1]raw_orders!P15</f>
        <v>0.05</v>
      </c>
      <c r="Q15" t="str">
        <f>PROPER(TRIM([1]raw_orders!T15))</f>
        <v>Paid</v>
      </c>
      <c r="R15" t="str">
        <f>PROPER(TRIM([1]raw_orders!U15))</f>
        <v>Completed</v>
      </c>
      <c r="S15" s="5">
        <f>[1]raw_orders!S15</f>
        <v>4059.15</v>
      </c>
      <c r="T15" s="5">
        <f t="shared" si="0"/>
        <v>40.591500000000003</v>
      </c>
      <c r="U15" s="5">
        <f t="shared" si="1"/>
        <v>-1098784.4831600001</v>
      </c>
      <c r="V15" s="5">
        <f t="shared" si="2"/>
        <v>-1098784.5331600001</v>
      </c>
      <c r="W15" s="5">
        <f t="shared" si="3"/>
        <v>1.000000045504829</v>
      </c>
      <c r="X15" s="5">
        <f t="shared" si="4"/>
        <v>4</v>
      </c>
      <c r="Y15" s="5">
        <f t="shared" si="5"/>
        <v>10</v>
      </c>
      <c r="Z15" s="5">
        <f t="shared" si="6"/>
        <v>2025</v>
      </c>
      <c r="AA15" t="str">
        <f t="shared" si="7"/>
        <v>Clean</v>
      </c>
    </row>
    <row r="16" spans="1:27" x14ac:dyDescent="0.3">
      <c r="A16" t="str">
        <f>[1]raw_orders!A16</f>
        <v>ORD-2024-10015</v>
      </c>
      <c r="B16" s="4">
        <f>IFERROR(DATEVALUE([1]raw_orders!B16), "Invalid Date")</f>
        <v>45653</v>
      </c>
      <c r="C16" s="4" t="str">
        <f>IFERROR(DATEVALUE([1]raw_orders!C16), "Invalid Date")</f>
        <v>Invalid Date</v>
      </c>
      <c r="D16" t="str">
        <f>[1]raw_orders!D16</f>
        <v>CUST-4912</v>
      </c>
      <c r="E16" t="str">
        <f>PROPER(TRIM([1]raw_orders!E16))</f>
        <v>Rahul Verma</v>
      </c>
      <c r="F16" t="str">
        <f>PROPER(TRIM([1]raw_orders!F16))</f>
        <v>Consumer</v>
      </c>
      <c r="G16" t="str">
        <f>IF(TRIM([1]raw_orders!G16)="","Unknown",PROPER(TRIM([1]raw_orders!G16)))</f>
        <v>West</v>
      </c>
      <c r="H16" t="str">
        <f>PROPER(TRIM([1]raw_orders!H16))</f>
        <v>Rajasthan</v>
      </c>
      <c r="I16" t="str">
        <f>PROPER(TRIM([1]raw_orders!I16))</f>
        <v>Udaipur</v>
      </c>
      <c r="J16" t="str">
        <f>PROPER(TRIM([1]raw_orders!J16))</f>
        <v>Technology</v>
      </c>
      <c r="K16" t="str">
        <f>PROPER(TRIM([1]raw_orders!K16))</f>
        <v>Copiers</v>
      </c>
      <c r="L16" t="str">
        <f>[1]raw_orders!L16</f>
        <v>Max Copiers 983</v>
      </c>
      <c r="M16" t="str">
        <f>IF(TRIM([1]raw_orders!M16)="","Unknown",PROPER(TRIM([1]raw_orders!M16)))</f>
        <v>Standard Class</v>
      </c>
      <c r="N16" s="5">
        <f>[1]raw_orders!N16</f>
        <v>2</v>
      </c>
      <c r="O16" s="5">
        <f>[1]raw_orders!O16</f>
        <v>2737.83</v>
      </c>
      <c r="P16" s="5">
        <f>[1]raw_orders!P16</f>
        <v>0.25</v>
      </c>
      <c r="Q16" t="str">
        <f>PROPER(TRIM([1]raw_orders!T16))</f>
        <v>Paid</v>
      </c>
      <c r="R16" t="str">
        <f>PROPER(TRIM([1]raw_orders!U16))</f>
        <v>Completed</v>
      </c>
      <c r="S16" s="5">
        <f>[1]raw_orders!S16</f>
        <v>1440.44</v>
      </c>
      <c r="T16" s="5">
        <f t="shared" si="0"/>
        <v>14.404400000000001</v>
      </c>
      <c r="U16" s="5">
        <f t="shared" si="1"/>
        <v>-73397.936904000002</v>
      </c>
      <c r="V16" s="5">
        <f t="shared" si="2"/>
        <v>-73398.186904000002</v>
      </c>
      <c r="W16" s="5">
        <f t="shared" si="3"/>
        <v>1.0000034060902874</v>
      </c>
      <c r="X16" s="5" t="str">
        <f t="shared" si="4"/>
        <v>Invalid Date</v>
      </c>
      <c r="Y16" s="5">
        <f t="shared" si="5"/>
        <v>12</v>
      </c>
      <c r="Z16" s="5">
        <f t="shared" si="6"/>
        <v>2024</v>
      </c>
      <c r="AA16" t="str">
        <f t="shared" si="7"/>
        <v>Clean</v>
      </c>
    </row>
    <row r="17" spans="1:27" x14ac:dyDescent="0.3">
      <c r="A17" t="str">
        <f>[1]raw_orders!A17</f>
        <v>ORD-2024-10016</v>
      </c>
      <c r="B17" s="4">
        <f>IFERROR(DATEVALUE([1]raw_orders!B17), "Invalid Date")</f>
        <v>45542</v>
      </c>
      <c r="C17" s="4">
        <f>IFERROR(DATEVALUE([1]raw_orders!C17), "Invalid Date")</f>
        <v>45482</v>
      </c>
      <c r="D17" t="str">
        <f>[1]raw_orders!D17</f>
        <v>CUST-7656</v>
      </c>
      <c r="E17" t="str">
        <f>PROPER(TRIM([1]raw_orders!E17))</f>
        <v>Karan Malhotra</v>
      </c>
      <c r="F17" t="str">
        <f>PROPER(TRIM([1]raw_orders!F17))</f>
        <v>Small Business</v>
      </c>
      <c r="G17" t="str">
        <f>IF(TRIM([1]raw_orders!G17)="","Unknown",PROPER(TRIM([1]raw_orders!G17)))</f>
        <v>North</v>
      </c>
      <c r="H17" t="str">
        <f>PROPER(TRIM([1]raw_orders!H17))</f>
        <v>Punjab</v>
      </c>
      <c r="I17" t="str">
        <f>PROPER(TRIM([1]raw_orders!I17))</f>
        <v>Ludhiana</v>
      </c>
      <c r="J17" t="str">
        <f>PROPER(TRIM([1]raw_orders!J17))</f>
        <v>Office Supplies</v>
      </c>
      <c r="K17" t="str">
        <f>PROPER(TRIM([1]raw_orders!K17))</f>
        <v>Storage</v>
      </c>
      <c r="L17" t="str">
        <f>[1]raw_orders!L17</f>
        <v>Classic Storage 198</v>
      </c>
      <c r="M17" t="str">
        <f>IF(TRIM([1]raw_orders!M17)="","Unknown",PROPER(TRIM([1]raw_orders!M17)))</f>
        <v>Second Class</v>
      </c>
      <c r="N17" s="5">
        <f>[1]raw_orders!N17</f>
        <v>6</v>
      </c>
      <c r="O17" s="5">
        <f>[1]raw_orders!O17</f>
        <v>3965.76</v>
      </c>
      <c r="P17" s="5">
        <f>[1]raw_orders!P17</f>
        <v>0</v>
      </c>
      <c r="Q17" t="str">
        <f>PROPER(TRIM([1]raw_orders!T17))</f>
        <v>Paid</v>
      </c>
      <c r="R17" t="str">
        <f>PROPER(TRIM([1]raw_orders!U17))</f>
        <v>Completed</v>
      </c>
      <c r="S17" s="5">
        <f>[1]raw_orders!S17</f>
        <v>8096.09</v>
      </c>
      <c r="T17" s="5">
        <f t="shared" si="0"/>
        <v>80.960899999999995</v>
      </c>
      <c r="U17" s="5">
        <f t="shared" si="1"/>
        <v>-1902634.432704</v>
      </c>
      <c r="V17" s="5">
        <f t="shared" si="2"/>
        <v>-1902634.432704</v>
      </c>
      <c r="W17" s="5">
        <f t="shared" si="3"/>
        <v>1</v>
      </c>
      <c r="X17" s="5">
        <f t="shared" si="4"/>
        <v>-60</v>
      </c>
      <c r="Y17" s="5">
        <f t="shared" si="5"/>
        <v>9</v>
      </c>
      <c r="Z17" s="5">
        <f t="shared" si="6"/>
        <v>2024</v>
      </c>
      <c r="AA17" t="str">
        <f t="shared" si="7"/>
        <v>Invalid</v>
      </c>
    </row>
    <row r="18" spans="1:27" x14ac:dyDescent="0.3">
      <c r="A18" t="str">
        <f>[1]raw_orders!A18</f>
        <v>ORD-2024-10017</v>
      </c>
      <c r="B18" s="4">
        <f>IFERROR(DATEVALUE([1]raw_orders!B18), "Invalid Date")</f>
        <v>45509</v>
      </c>
      <c r="C18" s="4">
        <f>IFERROR(DATEVALUE([1]raw_orders!C18), "Invalid Date")</f>
        <v>45427</v>
      </c>
      <c r="D18" t="str">
        <f>[1]raw_orders!D18</f>
        <v>CUST-6214</v>
      </c>
      <c r="E18" t="str">
        <f>PROPER(TRIM([1]raw_orders!E18))</f>
        <v>Aarav Sharma</v>
      </c>
      <c r="F18" t="str">
        <f>PROPER(TRIM([1]raw_orders!F18))</f>
        <v>Consumer</v>
      </c>
      <c r="G18" t="str">
        <f>IF(TRIM([1]raw_orders!G18)="","Unknown",PROPER(TRIM([1]raw_orders!G18)))</f>
        <v>South</v>
      </c>
      <c r="H18" t="str">
        <f>PROPER(TRIM([1]raw_orders!H18))</f>
        <v>Telangana</v>
      </c>
      <c r="I18" t="str">
        <f>PROPER(TRIM([1]raw_orders!I18))</f>
        <v>Hyderabad</v>
      </c>
      <c r="J18" t="str">
        <f>PROPER(TRIM([1]raw_orders!J18))</f>
        <v>Office Supplies</v>
      </c>
      <c r="K18" t="str">
        <f>PROPER(TRIM([1]raw_orders!K18))</f>
        <v>Art</v>
      </c>
      <c r="L18" t="str">
        <f>[1]raw_orders!L18</f>
        <v>Basic Art 204</v>
      </c>
      <c r="M18" t="str">
        <f>IF(TRIM([1]raw_orders!M18)="","Unknown",PROPER(TRIM([1]raw_orders!M18)))</f>
        <v>First Class</v>
      </c>
      <c r="N18" s="5">
        <f>[1]raw_orders!N18</f>
        <v>4</v>
      </c>
      <c r="O18" s="5">
        <f>[1]raw_orders!O18</f>
        <v>3323.51</v>
      </c>
      <c r="P18" s="5">
        <f>[1]raw_orders!P18</f>
        <v>0.25</v>
      </c>
      <c r="Q18" t="str">
        <f>PROPER(TRIM([1]raw_orders!T18))</f>
        <v>Paid</v>
      </c>
      <c r="R18" t="str">
        <f>PROPER(TRIM([1]raw_orders!U18))</f>
        <v>Completed</v>
      </c>
      <c r="S18" s="5">
        <f>[1]raw_orders!S18</f>
        <v>4302.3599999999997</v>
      </c>
      <c r="T18" s="5">
        <f t="shared" si="0"/>
        <v>43.023599999999995</v>
      </c>
      <c r="U18" s="5">
        <f t="shared" si="1"/>
        <v>-558663.41934399994</v>
      </c>
      <c r="V18" s="5">
        <f t="shared" si="2"/>
        <v>-558663.66934399994</v>
      </c>
      <c r="W18" s="5">
        <f t="shared" si="3"/>
        <v>1.0000004474966346</v>
      </c>
      <c r="X18" s="5">
        <f t="shared" si="4"/>
        <v>-82</v>
      </c>
      <c r="Y18" s="5">
        <f t="shared" si="5"/>
        <v>8</v>
      </c>
      <c r="Z18" s="5">
        <f t="shared" si="6"/>
        <v>2024</v>
      </c>
      <c r="AA18" t="str">
        <f t="shared" si="7"/>
        <v>Invalid</v>
      </c>
    </row>
    <row r="19" spans="1:27" x14ac:dyDescent="0.3">
      <c r="A19" t="str">
        <f>[1]raw_orders!A19</f>
        <v>ORD-2024-10018</v>
      </c>
      <c r="B19" s="4">
        <f>IFERROR(DATEVALUE([1]raw_orders!B19), "Invalid Date")</f>
        <v>45474</v>
      </c>
      <c r="C19" s="4">
        <f>IFERROR(DATEVALUE([1]raw_orders!C19), "Invalid Date")</f>
        <v>45299</v>
      </c>
      <c r="D19" t="str">
        <f>[1]raw_orders!D19</f>
        <v>CUST-1626</v>
      </c>
      <c r="E19" t="str">
        <f>PROPER(TRIM([1]raw_orders!E19))</f>
        <v>Sneha Kapoor</v>
      </c>
      <c r="F19" t="str">
        <f>PROPER(TRIM([1]raw_orders!F19))</f>
        <v>Small Business</v>
      </c>
      <c r="G19" t="str">
        <f>IF(TRIM([1]raw_orders!G19)="","Unknown",PROPER(TRIM([1]raw_orders!G19)))</f>
        <v>North</v>
      </c>
      <c r="H19" t="str">
        <f>PROPER(TRIM([1]raw_orders!H19))</f>
        <v>Rajasthan</v>
      </c>
      <c r="I19" t="str">
        <f>PROPER(TRIM([1]raw_orders!I19))</f>
        <v>Jaipur</v>
      </c>
      <c r="J19" t="str">
        <f>PROPER(TRIM([1]raw_orders!J19))</f>
        <v>Furniture</v>
      </c>
      <c r="K19" t="str">
        <f>PROPER(TRIM([1]raw_orders!K19))</f>
        <v>Furnishings</v>
      </c>
      <c r="L19" t="str">
        <f>[1]raw_orders!L19</f>
        <v>Basic Furnishings 434</v>
      </c>
      <c r="M19" t="str">
        <f>IF(TRIM([1]raw_orders!M19)="","Unknown",PROPER(TRIM([1]raw_orders!M19)))</f>
        <v>Same Day</v>
      </c>
      <c r="N19" s="5">
        <f>[1]raw_orders!N19</f>
        <v>5</v>
      </c>
      <c r="O19" s="5">
        <f>[1]raw_orders!O19</f>
        <v>1526.78</v>
      </c>
      <c r="P19" s="5">
        <f>[1]raw_orders!P19</f>
        <v>0</v>
      </c>
      <c r="Q19" t="str">
        <f>PROPER(TRIM([1]raw_orders!T19))</f>
        <v>Paid</v>
      </c>
      <c r="R19" t="str">
        <f>PROPER(TRIM([1]raw_orders!U19))</f>
        <v>Completed</v>
      </c>
      <c r="S19" s="5">
        <f>[1]raw_orders!S19</f>
        <v>2926.99</v>
      </c>
      <c r="T19" s="5">
        <f t="shared" si="0"/>
        <v>29.269899999999996</v>
      </c>
      <c r="U19" s="5">
        <f t="shared" si="1"/>
        <v>-215809.58960999997</v>
      </c>
      <c r="V19" s="5">
        <f t="shared" si="2"/>
        <v>-215809.58960999997</v>
      </c>
      <c r="W19" s="5">
        <f t="shared" si="3"/>
        <v>1</v>
      </c>
      <c r="X19" s="5">
        <f t="shared" si="4"/>
        <v>-175</v>
      </c>
      <c r="Y19" s="5">
        <f t="shared" si="5"/>
        <v>7</v>
      </c>
      <c r="Z19" s="5">
        <f t="shared" si="6"/>
        <v>2024</v>
      </c>
      <c r="AA19" t="str">
        <f t="shared" si="7"/>
        <v>Invalid</v>
      </c>
    </row>
    <row r="20" spans="1:27" x14ac:dyDescent="0.3">
      <c r="A20" t="str">
        <f>[1]raw_orders!A20</f>
        <v>ORD-2025-10019</v>
      </c>
      <c r="B20" s="4" t="str">
        <f>IFERROR(DATEVALUE([1]raw_orders!B20), "Invalid Date")</f>
        <v>Invalid Date</v>
      </c>
      <c r="C20" s="4">
        <f>IFERROR(DATEVALUE([1]raw_orders!C20), "Invalid Date")</f>
        <v>45855</v>
      </c>
      <c r="D20" t="str">
        <f>[1]raw_orders!D20</f>
        <v>CUST-2110</v>
      </c>
      <c r="E20" t="str">
        <f>PROPER(TRIM([1]raw_orders!E20))</f>
        <v>Aarav Sharma</v>
      </c>
      <c r="F20" t="str">
        <f>PROPER(TRIM([1]raw_orders!F20))</f>
        <v>Home Office</v>
      </c>
      <c r="G20" t="str">
        <f>IF(TRIM([1]raw_orders!G20)="","Unknown",PROPER(TRIM([1]raw_orders!G20)))</f>
        <v>North</v>
      </c>
      <c r="H20" t="str">
        <f>PROPER(TRIM([1]raw_orders!H20))</f>
        <v>Uttar Pradesh</v>
      </c>
      <c r="I20" t="str">
        <f>PROPER(TRIM([1]raw_orders!I20))</f>
        <v>Noida</v>
      </c>
      <c r="J20" t="str">
        <f>PROPER(TRIM([1]raw_orders!J20))</f>
        <v>Technology</v>
      </c>
      <c r="K20" t="str">
        <f>PROPER(TRIM([1]raw_orders!K20))</f>
        <v>Copiers</v>
      </c>
      <c r="L20" t="str">
        <f>[1]raw_orders!L20</f>
        <v>Eco Copiers 755</v>
      </c>
      <c r="M20" t="str">
        <f>IF(TRIM([1]raw_orders!M20)="","Unknown",PROPER(TRIM([1]raw_orders!M20)))</f>
        <v>First Class</v>
      </c>
      <c r="N20" s="5">
        <f>[1]raw_orders!N20</f>
        <v>2</v>
      </c>
      <c r="O20" s="5">
        <f>[1]raw_orders!O20</f>
        <v>1997.99</v>
      </c>
      <c r="P20" s="5">
        <f>[1]raw_orders!P20</f>
        <v>0</v>
      </c>
      <c r="Q20" t="str">
        <f>PROPER(TRIM([1]raw_orders!T20))</f>
        <v>Refunded</v>
      </c>
      <c r="R20" t="str">
        <f>PROPER(TRIM([1]raw_orders!U20))</f>
        <v>Cancelled</v>
      </c>
      <c r="S20" s="5">
        <f>[1]raw_orders!S20</f>
        <v>1362.78</v>
      </c>
      <c r="T20" s="5">
        <f t="shared" si="0"/>
        <v>13.627800000000001</v>
      </c>
      <c r="U20" s="5">
        <f t="shared" si="1"/>
        <v>-50460.436244000004</v>
      </c>
      <c r="V20" s="5">
        <f t="shared" si="2"/>
        <v>-50460.436244000004</v>
      </c>
      <c r="W20" s="5">
        <f t="shared" si="3"/>
        <v>1</v>
      </c>
      <c r="X20" s="5" t="str">
        <f t="shared" si="4"/>
        <v>Invalid Date</v>
      </c>
      <c r="Y20" s="5" t="e">
        <f t="shared" si="5"/>
        <v>#VALUE!</v>
      </c>
      <c r="Z20" s="5" t="e">
        <f t="shared" si="6"/>
        <v>#VALUE!</v>
      </c>
      <c r="AA20" t="str">
        <f t="shared" si="7"/>
        <v>Clean</v>
      </c>
    </row>
    <row r="21" spans="1:27" x14ac:dyDescent="0.3">
      <c r="A21" t="str">
        <f>[1]raw_orders!A21</f>
        <v>ORD-2024-10020</v>
      </c>
      <c r="B21" s="4" t="str">
        <f>IFERROR(DATEVALUE([1]raw_orders!B21), "Invalid Date")</f>
        <v>Invalid Date</v>
      </c>
      <c r="C21" s="4">
        <f>IFERROR(DATEVALUE([1]raw_orders!C21), "Invalid Date")</f>
        <v>45504</v>
      </c>
      <c r="D21" t="str">
        <f>[1]raw_orders!D21</f>
        <v>CUST-3186</v>
      </c>
      <c r="E21" t="str">
        <f>PROPER(TRIM([1]raw_orders!E21))</f>
        <v>Rohan Mehta</v>
      </c>
      <c r="F21" t="str">
        <f>PROPER(TRIM([1]raw_orders!F21))</f>
        <v>Home Office</v>
      </c>
      <c r="G21" t="str">
        <f>IF(TRIM([1]raw_orders!G21)="","Unknown",PROPER(TRIM([1]raw_orders!G21)))</f>
        <v>West</v>
      </c>
      <c r="H21" t="str">
        <f>PROPER(TRIM([1]raw_orders!H21))</f>
        <v>Madhya Pradesh</v>
      </c>
      <c r="I21" t="str">
        <f>PROPER(TRIM([1]raw_orders!I21))</f>
        <v>Indore</v>
      </c>
      <c r="J21" t="str">
        <f>PROPER(TRIM([1]raw_orders!J21))</f>
        <v>Office Supplies</v>
      </c>
      <c r="K21" t="str">
        <f>PROPER(TRIM([1]raw_orders!K21))</f>
        <v>Storage</v>
      </c>
      <c r="L21" t="str">
        <f>[1]raw_orders!L21</f>
        <v>Prime Storage 121</v>
      </c>
      <c r="M21" t="str">
        <f>IF(TRIM([1]raw_orders!M21)="","Unknown",PROPER(TRIM([1]raw_orders!M21)))</f>
        <v>Second Class</v>
      </c>
      <c r="N21" s="5">
        <f>[1]raw_orders!N21</f>
        <v>3</v>
      </c>
      <c r="O21" s="5">
        <f>[1]raw_orders!O21</f>
        <v>3887.94</v>
      </c>
      <c r="P21" s="5">
        <f>[1]raw_orders!P21</f>
        <v>-0.19</v>
      </c>
      <c r="Q21" t="str">
        <f>PROPER(TRIM([1]raw_orders!T21))</f>
        <v>Paid</v>
      </c>
      <c r="R21" t="str">
        <f>PROPER(TRIM([1]raw_orders!U21))</f>
        <v>Completed</v>
      </c>
      <c r="S21" s="5">
        <f>[1]raw_orders!S21</f>
        <v>1801.75</v>
      </c>
      <c r="T21" s="5">
        <f t="shared" si="0"/>
        <v>18.017499999999998</v>
      </c>
      <c r="U21" s="5">
        <f t="shared" si="1"/>
        <v>-198489.05684999996</v>
      </c>
      <c r="V21" s="5">
        <f t="shared" si="2"/>
        <v>-198488.86684999996</v>
      </c>
      <c r="W21" s="5">
        <f t="shared" si="3"/>
        <v>0.99999904276838725</v>
      </c>
      <c r="X21" s="5" t="str">
        <f t="shared" si="4"/>
        <v>Invalid Date</v>
      </c>
      <c r="Y21" s="5" t="e">
        <f t="shared" si="5"/>
        <v>#VALUE!</v>
      </c>
      <c r="Z21" s="5" t="e">
        <f t="shared" si="6"/>
        <v>#VALUE!</v>
      </c>
      <c r="AA21" t="str">
        <f t="shared" si="7"/>
        <v>Clean</v>
      </c>
    </row>
    <row r="22" spans="1:27" x14ac:dyDescent="0.3">
      <c r="A22" t="str">
        <f>[1]raw_orders!A22</f>
        <v>ORD-2025-10021</v>
      </c>
      <c r="B22" s="4">
        <f>IFERROR(DATEVALUE([1]raw_orders!B22), "Invalid Date")</f>
        <v>45678</v>
      </c>
      <c r="C22" s="4">
        <f>IFERROR(DATEVALUE([1]raw_orders!C22), "Invalid Date")</f>
        <v>45680</v>
      </c>
      <c r="D22" t="str">
        <f>[1]raw_orders!D22</f>
        <v>CUST-3190</v>
      </c>
      <c r="E22" t="str">
        <f>PROPER(TRIM([1]raw_orders!E22))</f>
        <v>Aditi Sen</v>
      </c>
      <c r="F22" t="str">
        <f>PROPER(TRIM([1]raw_orders!F22))</f>
        <v>Home Office</v>
      </c>
      <c r="G22" t="str">
        <f>IF(TRIM([1]raw_orders!G22)="","Unknown",PROPER(TRIM([1]raw_orders!G22)))</f>
        <v>East</v>
      </c>
      <c r="H22" t="str">
        <f>PROPER(TRIM([1]raw_orders!H22))</f>
        <v>Bihar</v>
      </c>
      <c r="I22" t="str">
        <f>PROPER(TRIM([1]raw_orders!I22))</f>
        <v>Patna</v>
      </c>
      <c r="J22" t="str">
        <f>PROPER(TRIM([1]raw_orders!J22))</f>
        <v>Technology</v>
      </c>
      <c r="K22" t="str">
        <f>PROPER(TRIM([1]raw_orders!K22))</f>
        <v>Copiers</v>
      </c>
      <c r="L22" t="str">
        <f>[1]raw_orders!L22</f>
        <v>Elite Copiers 233</v>
      </c>
      <c r="M22" t="str">
        <f>IF(TRIM([1]raw_orders!M22)="","Unknown",PROPER(TRIM([1]raw_orders!M22)))</f>
        <v>First Class</v>
      </c>
      <c r="N22" s="5">
        <f>[1]raw_orders!N22</f>
        <v>5</v>
      </c>
      <c r="O22" s="5">
        <f>[1]raw_orders!O22</f>
        <v>4373.0600000000004</v>
      </c>
      <c r="P22" s="5">
        <f>[1]raw_orders!P22</f>
        <v>0.25</v>
      </c>
      <c r="Q22" t="str">
        <f>PROPER(TRIM([1]raw_orders!T22))</f>
        <v>Paid</v>
      </c>
      <c r="R22" t="str">
        <f>PROPER(TRIM([1]raw_orders!U22))</f>
        <v>Completed</v>
      </c>
      <c r="S22" s="5">
        <f>[1]raw_orders!S22</f>
        <v>6842.46</v>
      </c>
      <c r="T22" s="5">
        <f t="shared" si="0"/>
        <v>68.424599999999998</v>
      </c>
      <c r="U22" s="5">
        <f t="shared" si="1"/>
        <v>-1474259.1063800002</v>
      </c>
      <c r="V22" s="5">
        <f t="shared" si="2"/>
        <v>-1474259.3563800002</v>
      </c>
      <c r="W22" s="5">
        <f t="shared" si="3"/>
        <v>1.000000169576704</v>
      </c>
      <c r="X22" s="5">
        <f t="shared" si="4"/>
        <v>2</v>
      </c>
      <c r="Y22" s="5">
        <f t="shared" si="5"/>
        <v>1</v>
      </c>
      <c r="Z22" s="5">
        <f t="shared" si="6"/>
        <v>2025</v>
      </c>
      <c r="AA22" t="str">
        <f t="shared" si="7"/>
        <v>Clean</v>
      </c>
    </row>
    <row r="23" spans="1:27" x14ac:dyDescent="0.3">
      <c r="A23" t="str">
        <f>[1]raw_orders!A23</f>
        <v>ORD-2025-10022</v>
      </c>
      <c r="B23" s="4">
        <f>IFERROR(DATEVALUE([1]raw_orders!B23), "Invalid Date")</f>
        <v>45681</v>
      </c>
      <c r="C23" s="4" t="str">
        <f>IFERROR(DATEVALUE([1]raw_orders!C23), "Invalid Date")</f>
        <v>Invalid Date</v>
      </c>
      <c r="D23" t="str">
        <f>[1]raw_orders!D23</f>
        <v>CUST-3036</v>
      </c>
      <c r="E23" t="str">
        <f>PROPER(TRIM([1]raw_orders!E23))</f>
        <v>Sneha Kapoor</v>
      </c>
      <c r="F23" t="str">
        <f>PROPER(TRIM([1]raw_orders!F23))</f>
        <v>Consumer</v>
      </c>
      <c r="G23" t="str">
        <f>IF(TRIM([1]raw_orders!G23)="","Unknown",PROPER(TRIM([1]raw_orders!G23)))</f>
        <v>West</v>
      </c>
      <c r="H23" t="str">
        <f>PROPER(TRIM([1]raw_orders!H23))</f>
        <v>Madhya Pradesh</v>
      </c>
      <c r="I23" t="str">
        <f>PROPER(TRIM([1]raw_orders!I23))</f>
        <v>Indore</v>
      </c>
      <c r="J23" t="str">
        <f>PROPER(TRIM([1]raw_orders!J23))</f>
        <v>Furniture</v>
      </c>
      <c r="K23" t="str">
        <f>PROPER(TRIM([1]raw_orders!K23))</f>
        <v>Furnishings</v>
      </c>
      <c r="L23" t="str">
        <f>[1]raw_orders!L23</f>
        <v>Eco Furnishings 897</v>
      </c>
      <c r="M23" t="str">
        <f>IF(TRIM([1]raw_orders!M23)="","Unknown",PROPER(TRIM([1]raw_orders!M23)))</f>
        <v>Second Class</v>
      </c>
      <c r="N23" s="5">
        <f>[1]raw_orders!N23</f>
        <v>4</v>
      </c>
      <c r="O23" s="5">
        <f>[1]raw_orders!O23</f>
        <v>697.69</v>
      </c>
      <c r="P23" s="5">
        <f>[1]raw_orders!P23</f>
        <v>-0.23</v>
      </c>
      <c r="Q23" t="str">
        <f>PROPER(TRIM([1]raw_orders!T23))</f>
        <v>Paid</v>
      </c>
      <c r="R23" t="str">
        <f>PROPER(TRIM([1]raw_orders!U23))</f>
        <v>Completed</v>
      </c>
      <c r="S23" s="5">
        <f>[1]raw_orders!S23</f>
        <v>753.05</v>
      </c>
      <c r="T23" s="5">
        <f t="shared" si="0"/>
        <v>7.5305</v>
      </c>
      <c r="U23" s="5">
        <f t="shared" si="1"/>
        <v>-18225.05818</v>
      </c>
      <c r="V23" s="5">
        <f t="shared" si="2"/>
        <v>-18224.82818</v>
      </c>
      <c r="W23" s="5">
        <f t="shared" si="3"/>
        <v>0.99998738001285215</v>
      </c>
      <c r="X23" s="5" t="str">
        <f t="shared" si="4"/>
        <v>Invalid Date</v>
      </c>
      <c r="Y23" s="5">
        <f t="shared" si="5"/>
        <v>1</v>
      </c>
      <c r="Z23" s="5">
        <f t="shared" si="6"/>
        <v>2025</v>
      </c>
      <c r="AA23" t="str">
        <f t="shared" si="7"/>
        <v>Clean</v>
      </c>
    </row>
    <row r="24" spans="1:27" x14ac:dyDescent="0.3">
      <c r="A24" t="str">
        <f>[1]raw_orders!A24</f>
        <v>ORD-2025-10023</v>
      </c>
      <c r="B24" s="4">
        <f>IFERROR(DATEVALUE([1]raw_orders!B24), "Invalid Date")</f>
        <v>45676</v>
      </c>
      <c r="C24" s="4">
        <f>IFERROR(DATEVALUE([1]raw_orders!C24), "Invalid Date")</f>
        <v>45678</v>
      </c>
      <c r="D24" t="str">
        <f>[1]raw_orders!D24</f>
        <v>CUST-3588</v>
      </c>
      <c r="E24" t="str">
        <f>PROPER(TRIM([1]raw_orders!E24))</f>
        <v>Mira Das</v>
      </c>
      <c r="F24" t="str">
        <f>PROPER(TRIM([1]raw_orders!F24))</f>
        <v>Consumer</v>
      </c>
      <c r="G24" t="str">
        <f>IF(TRIM([1]raw_orders!G24)="","Unknown",PROPER(TRIM([1]raw_orders!G24)))</f>
        <v>South</v>
      </c>
      <c r="H24" t="str">
        <f>PROPER(TRIM([1]raw_orders!H24))</f>
        <v>Telangana</v>
      </c>
      <c r="I24" t="str">
        <f>PROPER(TRIM([1]raw_orders!I24))</f>
        <v>Hyderabad</v>
      </c>
      <c r="J24" t="str">
        <f>PROPER(TRIM([1]raw_orders!J24))</f>
        <v>Office Supplies</v>
      </c>
      <c r="K24" t="str">
        <f>PROPER(TRIM([1]raw_orders!K24))</f>
        <v>Binders</v>
      </c>
      <c r="L24" t="str">
        <f>[1]raw_orders!L24</f>
        <v>Max Binders 355</v>
      </c>
      <c r="M24" t="str">
        <f>IF(TRIM([1]raw_orders!M24)="","Unknown",PROPER(TRIM([1]raw_orders!M24)))</f>
        <v>Standard Class</v>
      </c>
      <c r="N24" s="5">
        <f>[1]raw_orders!N24</f>
        <v>8</v>
      </c>
      <c r="O24" s="5">
        <f>[1]raw_orders!O24</f>
        <v>1219.3399999999999</v>
      </c>
      <c r="P24" s="5">
        <f>[1]raw_orders!P24</f>
        <v>0.15</v>
      </c>
      <c r="Q24" t="str">
        <f>PROPER(TRIM([1]raw_orders!T24))</f>
        <v>Failed</v>
      </c>
      <c r="R24" t="str">
        <f>PROPER(TRIM([1]raw_orders!U24))</f>
        <v>Returned</v>
      </c>
      <c r="S24" s="5">
        <f>[1]raw_orders!S24</f>
        <v>1606.48</v>
      </c>
      <c r="T24" s="5">
        <f t="shared" si="0"/>
        <v>16.064800000000002</v>
      </c>
      <c r="U24" s="5">
        <f t="shared" si="1"/>
        <v>-146952.905856</v>
      </c>
      <c r="V24" s="5">
        <f t="shared" si="2"/>
        <v>-146953.05585599999</v>
      </c>
      <c r="W24" s="5">
        <f t="shared" si="3"/>
        <v>1.0000010207351744</v>
      </c>
      <c r="X24" s="5">
        <f t="shared" si="4"/>
        <v>2</v>
      </c>
      <c r="Y24" s="5">
        <f t="shared" si="5"/>
        <v>1</v>
      </c>
      <c r="Z24" s="5">
        <f t="shared" si="6"/>
        <v>2025</v>
      </c>
      <c r="AA24" t="str">
        <f t="shared" si="7"/>
        <v>Clean</v>
      </c>
    </row>
    <row r="25" spans="1:27" x14ac:dyDescent="0.3">
      <c r="A25" t="str">
        <f>[1]raw_orders!A25</f>
        <v>ORD-2025-10024</v>
      </c>
      <c r="B25" s="4">
        <f>IFERROR(DATEVALUE([1]raw_orders!B25), "Invalid Date")</f>
        <v>45898</v>
      </c>
      <c r="C25" s="4">
        <f>IFERROR(DATEVALUE([1]raw_orders!C25), "Invalid Date")</f>
        <v>45900</v>
      </c>
      <c r="D25" t="str">
        <f>[1]raw_orders!D25</f>
        <v>CUST-7098</v>
      </c>
      <c r="E25" t="str">
        <f>PROPER(TRIM([1]raw_orders!E25))</f>
        <v>Rahul Verma</v>
      </c>
      <c r="F25" t="str">
        <f>PROPER(TRIM([1]raw_orders!F25))</f>
        <v>Home Office</v>
      </c>
      <c r="G25" t="str">
        <f>IF(TRIM([1]raw_orders!G25)="","Unknown",PROPER(TRIM([1]raw_orders!G25)))</f>
        <v>East</v>
      </c>
      <c r="H25" t="str">
        <f>PROPER(TRIM([1]raw_orders!H25))</f>
        <v>Bihar</v>
      </c>
      <c r="I25" t="str">
        <f>PROPER(TRIM([1]raw_orders!I25))</f>
        <v>Patna</v>
      </c>
      <c r="J25" t="str">
        <f>PROPER(TRIM([1]raw_orders!J25))</f>
        <v>Furniture</v>
      </c>
      <c r="K25" t="str">
        <f>PROPER(TRIM([1]raw_orders!K25))</f>
        <v>Bookcases</v>
      </c>
      <c r="L25" t="str">
        <f>[1]raw_orders!L25</f>
        <v>Pro Bookcases 394</v>
      </c>
      <c r="M25" t="str">
        <f>IF(TRIM([1]raw_orders!M25)="","Unknown",PROPER(TRIM([1]raw_orders!M25)))</f>
        <v>First Class</v>
      </c>
      <c r="N25" s="5">
        <f>[1]raw_orders!N25</f>
        <v>4</v>
      </c>
      <c r="O25" s="5">
        <f>[1]raw_orders!O25</f>
        <v>1958.01</v>
      </c>
      <c r="P25" s="5">
        <f>[1]raw_orders!P25</f>
        <v>0.2</v>
      </c>
      <c r="Q25" t="str">
        <f>PROPER(TRIM([1]raw_orders!T25))</f>
        <v>Paid</v>
      </c>
      <c r="R25" t="str">
        <f>PROPER(TRIM([1]raw_orders!U25))</f>
        <v>Completed</v>
      </c>
      <c r="S25" s="5">
        <f>[1]raw_orders!S25</f>
        <v>1943.77</v>
      </c>
      <c r="T25" s="5">
        <f t="shared" si="0"/>
        <v>19.4377</v>
      </c>
      <c r="U25" s="5">
        <f t="shared" si="1"/>
        <v>-144404.803908</v>
      </c>
      <c r="V25" s="5">
        <f t="shared" si="2"/>
        <v>-144405.00390800001</v>
      </c>
      <c r="W25" s="5">
        <f t="shared" si="3"/>
        <v>1.0000013849954752</v>
      </c>
      <c r="X25" s="5">
        <f t="shared" si="4"/>
        <v>2</v>
      </c>
      <c r="Y25" s="5">
        <f t="shared" si="5"/>
        <v>8</v>
      </c>
      <c r="Z25" s="5">
        <f t="shared" si="6"/>
        <v>2025</v>
      </c>
      <c r="AA25" t="str">
        <f t="shared" si="7"/>
        <v>Clean</v>
      </c>
    </row>
    <row r="26" spans="1:27" x14ac:dyDescent="0.3">
      <c r="A26" t="str">
        <f>[1]raw_orders!A26</f>
        <v>ORD-2024-10025</v>
      </c>
      <c r="B26" s="4">
        <f>IFERROR(DATEVALUE([1]raw_orders!B26), "Invalid Date")</f>
        <v>45355</v>
      </c>
      <c r="C26" s="4">
        <f>IFERROR(DATEVALUE([1]raw_orders!C26), "Invalid Date")</f>
        <v>45294</v>
      </c>
      <c r="D26" t="str">
        <f>[1]raw_orders!D26</f>
        <v>CUST-1747</v>
      </c>
      <c r="E26" t="str">
        <f>PROPER(TRIM([1]raw_orders!E26))</f>
        <v>Diya Patel</v>
      </c>
      <c r="F26" t="str">
        <f>PROPER(TRIM([1]raw_orders!F26))</f>
        <v>Consumer</v>
      </c>
      <c r="G26" t="str">
        <f>IF(TRIM([1]raw_orders!G26)="","Unknown",PROPER(TRIM([1]raw_orders!G26)))</f>
        <v>North</v>
      </c>
      <c r="H26" t="str">
        <f>PROPER(TRIM([1]raw_orders!H26))</f>
        <v>Punjab</v>
      </c>
      <c r="I26" t="str">
        <f>PROPER(TRIM([1]raw_orders!I26))</f>
        <v>Ludhiana</v>
      </c>
      <c r="J26" t="str">
        <f>PROPER(TRIM([1]raw_orders!J26))</f>
        <v>Office Supplies</v>
      </c>
      <c r="K26" t="str">
        <f>PROPER(TRIM([1]raw_orders!K26))</f>
        <v>Art</v>
      </c>
      <c r="L26" t="str">
        <f>[1]raw_orders!L26</f>
        <v>Max Art 215</v>
      </c>
      <c r="M26" t="str">
        <f>IF(TRIM([1]raw_orders!M26)="","Unknown",PROPER(TRIM([1]raw_orders!M26)))</f>
        <v>Standard Class</v>
      </c>
      <c r="N26" s="5">
        <f>[1]raw_orders!N26</f>
        <v>4</v>
      </c>
      <c r="O26" s="5">
        <f>[1]raw_orders!O26</f>
        <v>4492.9399999999996</v>
      </c>
      <c r="P26" s="5">
        <f>[1]raw_orders!P26</f>
        <v>0.25</v>
      </c>
      <c r="Q26" t="str">
        <f>PROPER(TRIM([1]raw_orders!T26))</f>
        <v>Pending</v>
      </c>
      <c r="R26" t="str">
        <f>PROPER(TRIM([1]raw_orders!U26))</f>
        <v>Cancelled</v>
      </c>
      <c r="S26" s="5">
        <f>[1]raw_orders!S26</f>
        <v>2541.4699999999998</v>
      </c>
      <c r="T26" s="5">
        <f t="shared" si="0"/>
        <v>25.414699999999996</v>
      </c>
      <c r="U26" s="5">
        <f t="shared" si="1"/>
        <v>-438775.12887199991</v>
      </c>
      <c r="V26" s="5">
        <f t="shared" si="2"/>
        <v>-438775.37887199991</v>
      </c>
      <c r="W26" s="5">
        <f t="shared" si="3"/>
        <v>1.0000005697679371</v>
      </c>
      <c r="X26" s="5">
        <f t="shared" si="4"/>
        <v>-61</v>
      </c>
      <c r="Y26" s="5">
        <f t="shared" si="5"/>
        <v>3</v>
      </c>
      <c r="Z26" s="5">
        <f t="shared" si="6"/>
        <v>2024</v>
      </c>
      <c r="AA26" t="str">
        <f t="shared" si="7"/>
        <v>Invalid</v>
      </c>
    </row>
    <row r="27" spans="1:27" x14ac:dyDescent="0.3">
      <c r="A27" t="str">
        <f>[1]raw_orders!A27</f>
        <v>ORD-2024-10026</v>
      </c>
      <c r="B27" s="4">
        <f>IFERROR(DATEVALUE([1]raw_orders!B27), "Invalid Date")</f>
        <v>45576</v>
      </c>
      <c r="C27" s="4">
        <f>IFERROR(DATEVALUE([1]raw_orders!C27), "Invalid Date")</f>
        <v>45584</v>
      </c>
      <c r="D27" t="str">
        <f>[1]raw_orders!D27</f>
        <v>CUST-1731</v>
      </c>
      <c r="E27" t="str">
        <f>PROPER(TRIM([1]raw_orders!E27))</f>
        <v>Arjun Bose</v>
      </c>
      <c r="F27" t="str">
        <f>PROPER(TRIM([1]raw_orders!F27))</f>
        <v>Corporate</v>
      </c>
      <c r="G27" t="str">
        <f>IF(TRIM([1]raw_orders!G27)="","Unknown",PROPER(TRIM([1]raw_orders!G27)))</f>
        <v>East</v>
      </c>
      <c r="H27" t="str">
        <f>PROPER(TRIM([1]raw_orders!H27))</f>
        <v>Assam</v>
      </c>
      <c r="I27" t="str">
        <f>PROPER(TRIM([1]raw_orders!I27))</f>
        <v>Guwahati</v>
      </c>
      <c r="J27" t="str">
        <f>PROPER(TRIM([1]raw_orders!J27))</f>
        <v>Technology</v>
      </c>
      <c r="K27" t="str">
        <f>PROPER(TRIM([1]raw_orders!K27))</f>
        <v>Accessories</v>
      </c>
      <c r="L27" t="str">
        <f>[1]raw_orders!L27</f>
        <v>Classic Accessories 478</v>
      </c>
      <c r="M27" t="str">
        <f>IF(TRIM([1]raw_orders!M27)="","Unknown",PROPER(TRIM([1]raw_orders!M27)))</f>
        <v>First Class</v>
      </c>
      <c r="N27" s="5">
        <f>[1]raw_orders!N27</f>
        <v>2</v>
      </c>
      <c r="O27" s="5">
        <f>[1]raw_orders!O27</f>
        <v>4315.2</v>
      </c>
      <c r="P27" s="5">
        <f>[1]raw_orders!P27</f>
        <v>0.15</v>
      </c>
      <c r="Q27" t="str">
        <f>PROPER(TRIM([1]raw_orders!T27))</f>
        <v>Paid</v>
      </c>
      <c r="R27" t="str">
        <f>PROPER(TRIM([1]raw_orders!U27))</f>
        <v>Completed</v>
      </c>
      <c r="S27" s="5">
        <f>[1]raw_orders!S27</f>
        <v>2367.4299999999998</v>
      </c>
      <c r="T27" s="5">
        <f t="shared" si="0"/>
        <v>23.674299999999999</v>
      </c>
      <c r="U27" s="5">
        <f t="shared" si="1"/>
        <v>-195688.27871999997</v>
      </c>
      <c r="V27" s="5">
        <f t="shared" si="2"/>
        <v>-195688.42871999997</v>
      </c>
      <c r="W27" s="5">
        <f t="shared" si="3"/>
        <v>1.0000007665252153</v>
      </c>
      <c r="X27" s="5">
        <f t="shared" si="4"/>
        <v>8</v>
      </c>
      <c r="Y27" s="5">
        <f t="shared" si="5"/>
        <v>10</v>
      </c>
      <c r="Z27" s="5">
        <f t="shared" si="6"/>
        <v>2024</v>
      </c>
      <c r="AA27" t="str">
        <f t="shared" si="7"/>
        <v>Clean</v>
      </c>
    </row>
    <row r="28" spans="1:27" x14ac:dyDescent="0.3">
      <c r="A28" t="str">
        <f>[1]raw_orders!A28</f>
        <v>ORD-2024-10027</v>
      </c>
      <c r="B28" s="4">
        <f>IFERROR(DATEVALUE([1]raw_orders!B28), "Invalid Date")</f>
        <v>45619</v>
      </c>
      <c r="C28" s="4">
        <f>IFERROR(DATEVALUE([1]raw_orders!C28), "Invalid Date")</f>
        <v>45619</v>
      </c>
      <c r="D28" t="str">
        <f>[1]raw_orders!D28</f>
        <v>CUST-4401</v>
      </c>
      <c r="E28" t="str">
        <f>PROPER(TRIM([1]raw_orders!E28))</f>
        <v>Diya Patel</v>
      </c>
      <c r="F28" t="str">
        <f>PROPER(TRIM([1]raw_orders!F28))</f>
        <v>Corporate</v>
      </c>
      <c r="G28" t="str">
        <f>IF(TRIM([1]raw_orders!G28)="","Unknown",PROPER(TRIM([1]raw_orders!G28)))</f>
        <v>North</v>
      </c>
      <c r="H28" t="str">
        <f>PROPER(TRIM([1]raw_orders!H28))</f>
        <v>Uttar Pradesh</v>
      </c>
      <c r="I28" t="str">
        <f>PROPER(TRIM([1]raw_orders!I28))</f>
        <v>Noida</v>
      </c>
      <c r="J28" t="str">
        <f>PROPER(TRIM([1]raw_orders!J28))</f>
        <v>Technology</v>
      </c>
      <c r="K28" t="str">
        <f>PROPER(TRIM([1]raw_orders!K28))</f>
        <v>Phones</v>
      </c>
      <c r="L28" t="str">
        <f>[1]raw_orders!L28</f>
        <v>Pro Phones 243</v>
      </c>
      <c r="M28" t="str">
        <f>IF(TRIM([1]raw_orders!M28)="","Unknown",PROPER(TRIM([1]raw_orders!M28)))</f>
        <v>Standard Class</v>
      </c>
      <c r="N28" s="5">
        <f>[1]raw_orders!N28</f>
        <v>4</v>
      </c>
      <c r="O28" s="5">
        <f>[1]raw_orders!O28</f>
        <v>716.13</v>
      </c>
      <c r="P28" s="5">
        <f>[1]raw_orders!P28</f>
        <v>0.1</v>
      </c>
      <c r="Q28" t="str">
        <f>PROPER(TRIM([1]raw_orders!T28))</f>
        <v>Paid</v>
      </c>
      <c r="R28" t="str">
        <f>PROPER(TRIM([1]raw_orders!U28))</f>
        <v>Returned</v>
      </c>
      <c r="S28" s="5">
        <f>[1]raw_orders!S28</f>
        <v>1050.52</v>
      </c>
      <c r="T28" s="5">
        <f t="shared" si="0"/>
        <v>10.5052</v>
      </c>
      <c r="U28" s="5">
        <f t="shared" si="1"/>
        <v>-27227.835504000002</v>
      </c>
      <c r="V28" s="5">
        <f t="shared" si="2"/>
        <v>-27227.935504000001</v>
      </c>
      <c r="W28" s="5">
        <f t="shared" si="3"/>
        <v>1.0000036727120665</v>
      </c>
      <c r="X28" s="5">
        <f t="shared" si="4"/>
        <v>0</v>
      </c>
      <c r="Y28" s="5">
        <f t="shared" si="5"/>
        <v>11</v>
      </c>
      <c r="Z28" s="5">
        <f t="shared" si="6"/>
        <v>2024</v>
      </c>
      <c r="AA28" t="str">
        <f t="shared" si="7"/>
        <v>Clean</v>
      </c>
    </row>
    <row r="29" spans="1:27" x14ac:dyDescent="0.3">
      <c r="A29" t="str">
        <f>[1]raw_orders!A29</f>
        <v>ORD-2025-10028</v>
      </c>
      <c r="B29" s="4">
        <f>IFERROR(DATEVALUE([1]raw_orders!B29), "Invalid Date")</f>
        <v>45929</v>
      </c>
      <c r="C29" s="4">
        <f>IFERROR(DATEVALUE([1]raw_orders!C29), "Invalid Date")</f>
        <v>45935</v>
      </c>
      <c r="D29" t="str">
        <f>[1]raw_orders!D29</f>
        <v>CUST-9875</v>
      </c>
      <c r="E29" t="str">
        <f>PROPER(TRIM([1]raw_orders!E29))</f>
        <v>Arjun Bose</v>
      </c>
      <c r="F29" t="str">
        <f>PROPER(TRIM([1]raw_orders!F29))</f>
        <v>Small Business</v>
      </c>
      <c r="G29" t="str">
        <f>IF(TRIM([1]raw_orders!G29)="","Unknown",PROPER(TRIM([1]raw_orders!G29)))</f>
        <v>South</v>
      </c>
      <c r="H29" t="str">
        <f>PROPER(TRIM([1]raw_orders!H29))</f>
        <v>Karnataka</v>
      </c>
      <c r="I29" t="str">
        <f>PROPER(TRIM([1]raw_orders!I29))</f>
        <v>Bengaluru</v>
      </c>
      <c r="J29" t="str">
        <f>PROPER(TRIM([1]raw_orders!J29))</f>
        <v>Office Supplies</v>
      </c>
      <c r="K29" t="str">
        <f>PROPER(TRIM([1]raw_orders!K29))</f>
        <v>Paper</v>
      </c>
      <c r="L29" t="str">
        <f>[1]raw_orders!L29</f>
        <v>Basic Paper 613</v>
      </c>
      <c r="M29" t="str">
        <f>IF(TRIM([1]raw_orders!M29)="","Unknown",PROPER(TRIM([1]raw_orders!M29)))</f>
        <v>Second Class</v>
      </c>
      <c r="N29" s="5">
        <f>[1]raw_orders!N29</f>
        <v>5</v>
      </c>
      <c r="O29" s="5">
        <f>[1]raw_orders!O29</f>
        <v>1806.51</v>
      </c>
      <c r="P29" s="5">
        <f>[1]raw_orders!P29</f>
        <v>0.25</v>
      </c>
      <c r="Q29" t="str">
        <f>PROPER(TRIM([1]raw_orders!T29))</f>
        <v>Failed</v>
      </c>
      <c r="R29" t="str">
        <f>PROPER(TRIM([1]raw_orders!U29))</f>
        <v>Returned</v>
      </c>
      <c r="S29" s="5">
        <f>[1]raw_orders!S29</f>
        <v>2064.0500000000002</v>
      </c>
      <c r="T29" s="5">
        <f t="shared" si="0"/>
        <v>20.640500000000003</v>
      </c>
      <c r="U29" s="5">
        <f t="shared" si="1"/>
        <v>-177403.79827500001</v>
      </c>
      <c r="V29" s="5">
        <f t="shared" si="2"/>
        <v>-177404.04827500001</v>
      </c>
      <c r="W29" s="5">
        <f t="shared" si="3"/>
        <v>1.0000014092144724</v>
      </c>
      <c r="X29" s="5">
        <f t="shared" si="4"/>
        <v>6</v>
      </c>
      <c r="Y29" s="5">
        <f t="shared" si="5"/>
        <v>9</v>
      </c>
      <c r="Z29" s="5">
        <f t="shared" si="6"/>
        <v>2025</v>
      </c>
      <c r="AA29" t="str">
        <f t="shared" si="7"/>
        <v>Clean</v>
      </c>
    </row>
    <row r="30" spans="1:27" x14ac:dyDescent="0.3">
      <c r="A30" t="str">
        <f>[1]raw_orders!A30</f>
        <v>ORD-2024-10029</v>
      </c>
      <c r="B30" s="4">
        <f>IFERROR(DATEVALUE([1]raw_orders!B30), "Invalid Date")</f>
        <v>45576</v>
      </c>
      <c r="C30" s="4">
        <f>IFERROR(DATEVALUE([1]raw_orders!C30), "Invalid Date")</f>
        <v>45583</v>
      </c>
      <c r="D30" t="str">
        <f>[1]raw_orders!D30</f>
        <v>CUST-1569</v>
      </c>
      <c r="E30" t="str">
        <f>PROPER(TRIM([1]raw_orders!E30))</f>
        <v>Ananya Rao</v>
      </c>
      <c r="F30" t="str">
        <f>PROPER(TRIM([1]raw_orders!F30))</f>
        <v>Home Office</v>
      </c>
      <c r="G30" t="str">
        <f>IF(TRIM([1]raw_orders!G30)="","Unknown",PROPER(TRIM([1]raw_orders!G30)))</f>
        <v>West</v>
      </c>
      <c r="H30" t="str">
        <f>PROPER(TRIM([1]raw_orders!H30))</f>
        <v>Gujarat</v>
      </c>
      <c r="I30" t="str">
        <f>PROPER(TRIM([1]raw_orders!I30))</f>
        <v>Ahmedabad</v>
      </c>
      <c r="J30" t="str">
        <f>PROPER(TRIM([1]raw_orders!J30))</f>
        <v>Technology</v>
      </c>
      <c r="K30" t="str">
        <f>PROPER(TRIM([1]raw_orders!K30))</f>
        <v>Phones</v>
      </c>
      <c r="L30" t="str">
        <f>[1]raw_orders!L30</f>
        <v>Prime Phones 698</v>
      </c>
      <c r="M30" t="str">
        <f>IF(TRIM([1]raw_orders!M30)="","Unknown",PROPER(TRIM([1]raw_orders!M30)))</f>
        <v>Second Class</v>
      </c>
      <c r="N30" s="5">
        <f>[1]raw_orders!N30</f>
        <v>2</v>
      </c>
      <c r="O30" s="5">
        <f>[1]raw_orders!O30</f>
        <v>1942.22</v>
      </c>
      <c r="P30" s="5">
        <f>[1]raw_orders!P30</f>
        <v>0.25</v>
      </c>
      <c r="Q30" t="str">
        <f>PROPER(TRIM([1]raw_orders!T30))</f>
        <v>Refunded</v>
      </c>
      <c r="R30" t="str">
        <f>PROPER(TRIM([1]raw_orders!U30))</f>
        <v>Cancelled</v>
      </c>
      <c r="S30" s="5">
        <f>[1]raw_orders!S30</f>
        <v>791</v>
      </c>
      <c r="T30" s="5">
        <f t="shared" si="0"/>
        <v>7.91</v>
      </c>
      <c r="U30" s="5">
        <f t="shared" si="1"/>
        <v>-26841.4804</v>
      </c>
      <c r="V30" s="5">
        <f t="shared" si="2"/>
        <v>-26841.7304</v>
      </c>
      <c r="W30" s="5">
        <f t="shared" si="3"/>
        <v>1.0000093139423114</v>
      </c>
      <c r="X30" s="5">
        <f t="shared" si="4"/>
        <v>7</v>
      </c>
      <c r="Y30" s="5">
        <f t="shared" si="5"/>
        <v>10</v>
      </c>
      <c r="Z30" s="5">
        <f t="shared" si="6"/>
        <v>2024</v>
      </c>
      <c r="AA30" t="str">
        <f t="shared" si="7"/>
        <v>Clean</v>
      </c>
    </row>
    <row r="31" spans="1:27" x14ac:dyDescent="0.3">
      <c r="A31" t="str">
        <f>[1]raw_orders!A31</f>
        <v>ORD-2025-10030</v>
      </c>
      <c r="B31" s="4">
        <f>IFERROR(DATEVALUE([1]raw_orders!B31), "Invalid Date")</f>
        <v>45882</v>
      </c>
      <c r="C31" s="4">
        <f>IFERROR(DATEVALUE([1]raw_orders!C31), "Invalid Date")</f>
        <v>45882</v>
      </c>
      <c r="D31" t="str">
        <f>[1]raw_orders!D31</f>
        <v>CUST-5936</v>
      </c>
      <c r="E31" t="str">
        <f>PROPER(TRIM([1]raw_orders!E31))</f>
        <v>Rohan Mehta</v>
      </c>
      <c r="F31" t="str">
        <f>PROPER(TRIM([1]raw_orders!F31))</f>
        <v>Home Office</v>
      </c>
      <c r="G31" t="str">
        <f>IF(TRIM([1]raw_orders!G31)="","Unknown",PROPER(TRIM([1]raw_orders!G31)))</f>
        <v>South</v>
      </c>
      <c r="H31" t="str">
        <f>PROPER(TRIM([1]raw_orders!H31))</f>
        <v>Kerala</v>
      </c>
      <c r="I31" t="str">
        <f>PROPER(TRIM([1]raw_orders!I31))</f>
        <v>Kochi</v>
      </c>
      <c r="J31" t="str">
        <f>PROPER(TRIM([1]raw_orders!J31))</f>
        <v>Technology</v>
      </c>
      <c r="K31" t="str">
        <f>PROPER(TRIM([1]raw_orders!K31))</f>
        <v>Phones</v>
      </c>
      <c r="L31" t="str">
        <f>[1]raw_orders!L31</f>
        <v>Pro Phones 442</v>
      </c>
      <c r="M31" t="str">
        <f>IF(TRIM([1]raw_orders!M31)="","Unknown",PROPER(TRIM([1]raw_orders!M31)))</f>
        <v>Standard Class</v>
      </c>
      <c r="N31" s="5">
        <f>[1]raw_orders!N31</f>
        <v>1</v>
      </c>
      <c r="O31" s="5">
        <f>[1]raw_orders!O31</f>
        <v>256.01</v>
      </c>
      <c r="P31" s="5">
        <f>[1]raw_orders!P31</f>
        <v>0.15</v>
      </c>
      <c r="Q31" t="str">
        <f>PROPER(TRIM([1]raw_orders!T31))</f>
        <v>Paid</v>
      </c>
      <c r="R31" t="str">
        <f>PROPER(TRIM([1]raw_orders!U31))</f>
        <v>Completed</v>
      </c>
      <c r="S31" s="5">
        <f>[1]raw_orders!S31</f>
        <v>97.84</v>
      </c>
      <c r="T31" s="5">
        <f t="shared" si="0"/>
        <v>0.97840000000000005</v>
      </c>
      <c r="U31" s="5">
        <f t="shared" si="1"/>
        <v>5.5298159999999879</v>
      </c>
      <c r="V31" s="5">
        <f t="shared" si="2"/>
        <v>5.3798159999999875</v>
      </c>
      <c r="W31" s="5">
        <f t="shared" si="3"/>
        <v>0.97287432348562763</v>
      </c>
      <c r="X31" s="5">
        <f t="shared" si="4"/>
        <v>0</v>
      </c>
      <c r="Y31" s="5">
        <f t="shared" si="5"/>
        <v>8</v>
      </c>
      <c r="Z31" s="5">
        <f t="shared" si="6"/>
        <v>2025</v>
      </c>
      <c r="AA31" t="str">
        <f t="shared" si="7"/>
        <v>Clean</v>
      </c>
    </row>
    <row r="32" spans="1:27" x14ac:dyDescent="0.3">
      <c r="A32" t="str">
        <f>[1]raw_orders!A32</f>
        <v>ORD-2024-10031</v>
      </c>
      <c r="B32" s="4">
        <f>IFERROR(DATEVALUE([1]raw_orders!B32), "Invalid Date")</f>
        <v>45331</v>
      </c>
      <c r="C32" s="4">
        <f>IFERROR(DATEVALUE([1]raw_orders!C32), "Invalid Date")</f>
        <v>45628</v>
      </c>
      <c r="D32" t="str">
        <f>[1]raw_orders!D32</f>
        <v>CUST-8759</v>
      </c>
      <c r="E32" t="str">
        <f>PROPER(TRIM([1]raw_orders!E32))</f>
        <v>Ananya Rao</v>
      </c>
      <c r="F32" t="str">
        <f>PROPER(TRIM([1]raw_orders!F32))</f>
        <v>Corporate</v>
      </c>
      <c r="G32" t="str">
        <f>IF(TRIM([1]raw_orders!G32)="","Unknown",PROPER(TRIM([1]raw_orders!G32)))</f>
        <v>West</v>
      </c>
      <c r="H32" t="str">
        <f>PROPER(TRIM([1]raw_orders!H32))</f>
        <v>Goa</v>
      </c>
      <c r="I32" t="str">
        <f>PROPER(TRIM([1]raw_orders!I32))</f>
        <v>Panaji</v>
      </c>
      <c r="J32" t="str">
        <f>PROPER(TRIM([1]raw_orders!J32))</f>
        <v>Office Supplies</v>
      </c>
      <c r="K32" t="str">
        <f>PROPER(TRIM([1]raw_orders!K32))</f>
        <v>Labels</v>
      </c>
      <c r="L32" t="str">
        <f>[1]raw_orders!L32</f>
        <v>Pro Labels 355</v>
      </c>
      <c r="M32" t="str">
        <f>IF(TRIM([1]raw_orders!M32)="","Unknown",PROPER(TRIM([1]raw_orders!M32)))</f>
        <v>First Class</v>
      </c>
      <c r="N32" s="5">
        <f>[1]raw_orders!N32</f>
        <v>1</v>
      </c>
      <c r="O32" s="5">
        <f>[1]raw_orders!O32</f>
        <v>3421.77</v>
      </c>
      <c r="P32" s="5">
        <f>[1]raw_orders!P32</f>
        <v>0.1</v>
      </c>
      <c r="Q32" t="str">
        <f>PROPER(TRIM([1]raw_orders!T32))</f>
        <v>Paid</v>
      </c>
      <c r="R32" t="str">
        <f>PROPER(TRIM([1]raw_orders!U32))</f>
        <v>Completed</v>
      </c>
      <c r="S32" s="5">
        <f>[1]raw_orders!S32</f>
        <v>1077.7</v>
      </c>
      <c r="T32" s="5">
        <f t="shared" si="0"/>
        <v>10.777000000000001</v>
      </c>
      <c r="U32" s="5">
        <f t="shared" si="1"/>
        <v>-33454.64529</v>
      </c>
      <c r="V32" s="5">
        <f t="shared" si="2"/>
        <v>-33454.745289999999</v>
      </c>
      <c r="W32" s="5">
        <f t="shared" si="3"/>
        <v>1.0000029891215145</v>
      </c>
      <c r="X32" s="5">
        <f t="shared" si="4"/>
        <v>297</v>
      </c>
      <c r="Y32" s="5">
        <f t="shared" si="5"/>
        <v>2</v>
      </c>
      <c r="Z32" s="5">
        <f t="shared" si="6"/>
        <v>2024</v>
      </c>
      <c r="AA32" t="str">
        <f t="shared" si="7"/>
        <v>Clean</v>
      </c>
    </row>
    <row r="33" spans="1:27" x14ac:dyDescent="0.3">
      <c r="A33" t="str">
        <f>[1]raw_orders!A33</f>
        <v>ORD-2025-10032</v>
      </c>
      <c r="B33" s="4">
        <f>IFERROR(DATEVALUE([1]raw_orders!B33), "Invalid Date")</f>
        <v>45823</v>
      </c>
      <c r="C33" s="4">
        <f>IFERROR(DATEVALUE([1]raw_orders!C33), "Invalid Date")</f>
        <v>45827</v>
      </c>
      <c r="D33" t="str">
        <f>[1]raw_orders!D33</f>
        <v>CUST-7867</v>
      </c>
      <c r="E33" t="str">
        <f>PROPER(TRIM([1]raw_orders!E33))</f>
        <v>Karan Malhotra</v>
      </c>
      <c r="F33" t="str">
        <f>PROPER(TRIM([1]raw_orders!F33))</f>
        <v>Small Business</v>
      </c>
      <c r="G33" t="str">
        <f>IF(TRIM([1]raw_orders!G33)="","Unknown",PROPER(TRIM([1]raw_orders!G33)))</f>
        <v>West</v>
      </c>
      <c r="H33" t="str">
        <f>PROPER(TRIM([1]raw_orders!H33))</f>
        <v>Madhya Pradesh</v>
      </c>
      <c r="I33" t="str">
        <f>PROPER(TRIM([1]raw_orders!I33))</f>
        <v>Indore</v>
      </c>
      <c r="J33" t="str">
        <f>PROPER(TRIM([1]raw_orders!J33))</f>
        <v>Office Supplies</v>
      </c>
      <c r="K33" t="str">
        <f>PROPER(TRIM([1]raw_orders!K33))</f>
        <v>Paper</v>
      </c>
      <c r="L33" t="str">
        <f>[1]raw_orders!L33</f>
        <v>Pro Paper 959</v>
      </c>
      <c r="M33" t="str">
        <f>IF(TRIM([1]raw_orders!M33)="","Unknown",PROPER(TRIM([1]raw_orders!M33)))</f>
        <v>Second Class</v>
      </c>
      <c r="N33" s="5">
        <f>[1]raw_orders!N33</f>
        <v>9</v>
      </c>
      <c r="O33" s="5">
        <f>[1]raw_orders!O33</f>
        <v>3092.55</v>
      </c>
      <c r="P33" s="5">
        <f>[1]raw_orders!P33</f>
        <v>0</v>
      </c>
      <c r="Q33" t="str">
        <f>PROPER(TRIM([1]raw_orders!T33))</f>
        <v>Failed</v>
      </c>
      <c r="R33" t="str">
        <f>PROPER(TRIM([1]raw_orders!U33))</f>
        <v>Returned</v>
      </c>
      <c r="S33" s="5">
        <f>[1]raw_orders!S33</f>
        <v>10063.200000000001</v>
      </c>
      <c r="T33" s="5">
        <f t="shared" si="0"/>
        <v>100.63200000000001</v>
      </c>
      <c r="U33" s="5">
        <f t="shared" si="1"/>
        <v>-2773052.4744000002</v>
      </c>
      <c r="V33" s="5">
        <f t="shared" si="2"/>
        <v>-2773052.4744000002</v>
      </c>
      <c r="W33" s="5">
        <f t="shared" si="3"/>
        <v>1</v>
      </c>
      <c r="X33" s="5">
        <f t="shared" si="4"/>
        <v>4</v>
      </c>
      <c r="Y33" s="5">
        <f t="shared" si="5"/>
        <v>6</v>
      </c>
      <c r="Z33" s="5">
        <f t="shared" si="6"/>
        <v>2025</v>
      </c>
      <c r="AA33" t="str">
        <f t="shared" si="7"/>
        <v>Clean</v>
      </c>
    </row>
    <row r="34" spans="1:27" x14ac:dyDescent="0.3">
      <c r="A34" t="str">
        <f>[1]raw_orders!A34</f>
        <v>ORD-2024-10033</v>
      </c>
      <c r="B34" s="4">
        <f>IFERROR(DATEVALUE([1]raw_orders!B34), "Invalid Date")</f>
        <v>45618</v>
      </c>
      <c r="C34" s="4">
        <f>IFERROR(DATEVALUE([1]raw_orders!C34), "Invalid Date")</f>
        <v>45622</v>
      </c>
      <c r="D34" t="str">
        <f>[1]raw_orders!D34</f>
        <v>CUST-6509</v>
      </c>
      <c r="E34" t="str">
        <f>PROPER(TRIM([1]raw_orders!E34))</f>
        <v>Aarav Sharma</v>
      </c>
      <c r="F34" t="str">
        <f>PROPER(TRIM([1]raw_orders!F34))</f>
        <v>Corporate</v>
      </c>
      <c r="G34" t="str">
        <f>IF(TRIM([1]raw_orders!G34)="","Unknown",PROPER(TRIM([1]raw_orders!G34)))</f>
        <v>South</v>
      </c>
      <c r="H34" t="str">
        <f>PROPER(TRIM([1]raw_orders!H34))</f>
        <v>Andhra Pradesh</v>
      </c>
      <c r="I34" t="str">
        <f>PROPER(TRIM([1]raw_orders!I34))</f>
        <v>Vijayawada</v>
      </c>
      <c r="J34" t="str">
        <f>PROPER(TRIM([1]raw_orders!J34))</f>
        <v>Technology</v>
      </c>
      <c r="K34" t="str">
        <f>PROPER(TRIM([1]raw_orders!K34))</f>
        <v>Phones</v>
      </c>
      <c r="L34" t="str">
        <f>[1]raw_orders!L34</f>
        <v>Basic Phones 242</v>
      </c>
      <c r="M34" t="str">
        <f>IF(TRIM([1]raw_orders!M34)="","Unknown",PROPER(TRIM([1]raw_orders!M34)))</f>
        <v>Second Class</v>
      </c>
      <c r="N34" s="5">
        <f>[1]raw_orders!N34</f>
        <v>3</v>
      </c>
      <c r="O34" s="5">
        <f>[1]raw_orders!O34</f>
        <v>4001.25</v>
      </c>
      <c r="P34" s="5">
        <f>[1]raw_orders!P34</f>
        <v>0</v>
      </c>
      <c r="Q34" t="str">
        <f>PROPER(TRIM([1]raw_orders!T34))</f>
        <v>Paid</v>
      </c>
      <c r="R34" t="str">
        <f>PROPER(TRIM([1]raw_orders!U34))</f>
        <v>Completed</v>
      </c>
      <c r="S34" s="5">
        <f>[1]raw_orders!S34</f>
        <v>1472.89</v>
      </c>
      <c r="T34" s="5">
        <f t="shared" si="0"/>
        <v>14.728900000000001</v>
      </c>
      <c r="U34" s="5">
        <f t="shared" si="1"/>
        <v>-164798.28337500003</v>
      </c>
      <c r="V34" s="5">
        <f t="shared" si="2"/>
        <v>-164798.28337500003</v>
      </c>
      <c r="W34" s="5">
        <f t="shared" si="3"/>
        <v>1</v>
      </c>
      <c r="X34" s="5">
        <f t="shared" si="4"/>
        <v>4</v>
      </c>
      <c r="Y34" s="5">
        <f t="shared" si="5"/>
        <v>11</v>
      </c>
      <c r="Z34" s="5">
        <f t="shared" si="6"/>
        <v>2024</v>
      </c>
      <c r="AA34" t="str">
        <f t="shared" si="7"/>
        <v>Clean</v>
      </c>
    </row>
    <row r="35" spans="1:27" x14ac:dyDescent="0.3">
      <c r="A35" t="str">
        <f>[1]raw_orders!A35</f>
        <v>ORD-2024-10034</v>
      </c>
      <c r="B35" s="4" t="str">
        <f>IFERROR(DATEVALUE([1]raw_orders!B35), "Invalid Date")</f>
        <v>Invalid Date</v>
      </c>
      <c r="C35" s="4">
        <f>IFERROR(DATEVALUE([1]raw_orders!C35), "Invalid Date")</f>
        <v>45500</v>
      </c>
      <c r="D35" t="str">
        <f>[1]raw_orders!D35</f>
        <v>CUST-6660</v>
      </c>
      <c r="E35" t="str">
        <f>PROPER(TRIM([1]raw_orders!E35))</f>
        <v>Priya Menon</v>
      </c>
      <c r="F35" t="str">
        <f>PROPER(TRIM([1]raw_orders!F35))</f>
        <v>Home Office</v>
      </c>
      <c r="G35" t="str">
        <f>IF(TRIM([1]raw_orders!G35)="","Unknown",PROPER(TRIM([1]raw_orders!G35)))</f>
        <v>West</v>
      </c>
      <c r="H35" t="str">
        <f>PROPER(TRIM([1]raw_orders!H35))</f>
        <v>Goa</v>
      </c>
      <c r="I35" t="str">
        <f>PROPER(TRIM([1]raw_orders!I35))</f>
        <v>Panaji</v>
      </c>
      <c r="J35" t="str">
        <f>PROPER(TRIM([1]raw_orders!J35))</f>
        <v>Furniture</v>
      </c>
      <c r="K35" t="str">
        <f>PROPER(TRIM([1]raw_orders!K35))</f>
        <v>Tables</v>
      </c>
      <c r="L35" t="str">
        <f>[1]raw_orders!L35</f>
        <v>Max Tables 836</v>
      </c>
      <c r="M35" t="str">
        <f>IF(TRIM([1]raw_orders!M35)="","Unknown",PROPER(TRIM([1]raw_orders!M35)))</f>
        <v>Same Day</v>
      </c>
      <c r="N35" s="5">
        <f>[1]raw_orders!N35</f>
        <v>7</v>
      </c>
      <c r="O35" s="5">
        <f>[1]raw_orders!O35</f>
        <v>492.41</v>
      </c>
      <c r="P35" s="5">
        <f>[1]raw_orders!P35</f>
        <v>0.25</v>
      </c>
      <c r="Q35" t="str">
        <f>PROPER(TRIM([1]raw_orders!T35))</f>
        <v>Paid</v>
      </c>
      <c r="R35" t="str">
        <f>PROPER(TRIM([1]raw_orders!U35))</f>
        <v>Completed</v>
      </c>
      <c r="S35" s="5">
        <f>[1]raw_orders!S35</f>
        <v>514.41999999999996</v>
      </c>
      <c r="T35" s="5">
        <f t="shared" si="0"/>
        <v>5.1441999999999997</v>
      </c>
      <c r="U35" s="5">
        <f t="shared" si="1"/>
        <v>-14284.518654</v>
      </c>
      <c r="V35" s="5">
        <f t="shared" si="2"/>
        <v>-14284.768654</v>
      </c>
      <c r="W35" s="5">
        <f t="shared" si="3"/>
        <v>1.0000175014647714</v>
      </c>
      <c r="X35" s="5" t="str">
        <f t="shared" si="4"/>
        <v>Invalid Date</v>
      </c>
      <c r="Y35" s="5" t="e">
        <f t="shared" si="5"/>
        <v>#VALUE!</v>
      </c>
      <c r="Z35" s="5" t="e">
        <f t="shared" si="6"/>
        <v>#VALUE!</v>
      </c>
      <c r="AA35" t="str">
        <f t="shared" si="7"/>
        <v>Clean</v>
      </c>
    </row>
    <row r="36" spans="1:27" x14ac:dyDescent="0.3">
      <c r="A36" t="str">
        <f>[1]raw_orders!A36</f>
        <v>ORD-2025-10035</v>
      </c>
      <c r="B36" s="4">
        <f>IFERROR(DATEVALUE([1]raw_orders!B36), "Invalid Date")</f>
        <v>45688</v>
      </c>
      <c r="C36" s="4">
        <f>IFERROR(DATEVALUE([1]raw_orders!C36), "Invalid Date")</f>
        <v>45693</v>
      </c>
      <c r="D36" t="str">
        <f>[1]raw_orders!D36</f>
        <v>CUST-2392</v>
      </c>
      <c r="E36" t="str">
        <f>PROPER(TRIM([1]raw_orders!E36))</f>
        <v>Priya Menon</v>
      </c>
      <c r="F36" t="str">
        <f>PROPER(TRIM([1]raw_orders!F36))</f>
        <v>Home Office</v>
      </c>
      <c r="G36" t="str">
        <f>IF(TRIM([1]raw_orders!G36)="","Unknown",PROPER(TRIM([1]raw_orders!G36)))</f>
        <v>East</v>
      </c>
      <c r="H36" t="str">
        <f>PROPER(TRIM([1]raw_orders!H36))</f>
        <v>West Bengal</v>
      </c>
      <c r="I36" t="str">
        <f>PROPER(TRIM([1]raw_orders!I36))</f>
        <v>Kolkata</v>
      </c>
      <c r="J36" t="str">
        <f>PROPER(TRIM([1]raw_orders!J36))</f>
        <v>Furniture</v>
      </c>
      <c r="K36" t="str">
        <f>PROPER(TRIM([1]raw_orders!K36))</f>
        <v>Chairs</v>
      </c>
      <c r="L36" t="str">
        <f>[1]raw_orders!L36</f>
        <v>Elite Chairs 862</v>
      </c>
      <c r="M36" t="str">
        <f>IF(TRIM([1]raw_orders!M36)="","Unknown",PROPER(TRIM([1]raw_orders!M36)))</f>
        <v>Unknown</v>
      </c>
      <c r="N36" s="5">
        <f>[1]raw_orders!N36</f>
        <v>2</v>
      </c>
      <c r="O36" s="5">
        <f>[1]raw_orders!O36</f>
        <v>4159.6899999999996</v>
      </c>
      <c r="P36" s="5">
        <f>[1]raw_orders!P36</f>
        <v>0.2</v>
      </c>
      <c r="Q36" t="str">
        <f>PROPER(TRIM([1]raw_orders!T36))</f>
        <v>Paid</v>
      </c>
      <c r="R36" t="str">
        <f>PROPER(TRIM([1]raw_orders!U36))</f>
        <v>Completed</v>
      </c>
      <c r="S36" s="5">
        <f>[1]raw_orders!S36</f>
        <v>2607.3200000000002</v>
      </c>
      <c r="T36" s="5">
        <f t="shared" si="0"/>
        <v>26.0732</v>
      </c>
      <c r="U36" s="5">
        <f t="shared" si="1"/>
        <v>-208593.47861599998</v>
      </c>
      <c r="V36" s="5">
        <f t="shared" si="2"/>
        <v>-208593.67861599999</v>
      </c>
      <c r="W36" s="5">
        <f t="shared" si="3"/>
        <v>1.0000009588027456</v>
      </c>
      <c r="X36" s="5">
        <f t="shared" si="4"/>
        <v>5</v>
      </c>
      <c r="Y36" s="5">
        <f t="shared" si="5"/>
        <v>1</v>
      </c>
      <c r="Z36" s="5">
        <f t="shared" si="6"/>
        <v>2025</v>
      </c>
      <c r="AA36" t="str">
        <f t="shared" si="7"/>
        <v>Warning</v>
      </c>
    </row>
    <row r="37" spans="1:27" x14ac:dyDescent="0.3">
      <c r="A37" t="str">
        <f>[1]raw_orders!A37</f>
        <v>ORD-2024-10036</v>
      </c>
      <c r="B37" s="4">
        <f>IFERROR(DATEVALUE([1]raw_orders!B37), "Invalid Date")</f>
        <v>45441</v>
      </c>
      <c r="C37" s="4">
        <f>IFERROR(DATEVALUE([1]raw_orders!C37), "Invalid Date")</f>
        <v>45441</v>
      </c>
      <c r="D37" t="str">
        <f>[1]raw_orders!D37</f>
        <v>CUST-1611</v>
      </c>
      <c r="E37" t="str">
        <f>PROPER(TRIM([1]raw_orders!E37))</f>
        <v>Sneha Kapoor</v>
      </c>
      <c r="F37" t="str">
        <f>PROPER(TRIM([1]raw_orders!F37))</f>
        <v>Small Business</v>
      </c>
      <c r="G37" t="str">
        <f>IF(TRIM([1]raw_orders!G37)="","Unknown",PROPER(TRIM([1]raw_orders!G37)))</f>
        <v>West</v>
      </c>
      <c r="H37" t="str">
        <f>PROPER(TRIM([1]raw_orders!H37))</f>
        <v>Gujarat</v>
      </c>
      <c r="I37" t="str">
        <f>PROPER(TRIM([1]raw_orders!I37))</f>
        <v>Ahmedabad</v>
      </c>
      <c r="J37" t="str">
        <f>PROPER(TRIM([1]raw_orders!J37))</f>
        <v>Furniture</v>
      </c>
      <c r="K37" t="str">
        <f>PROPER(TRIM([1]raw_orders!K37))</f>
        <v>Bookcases</v>
      </c>
      <c r="L37" t="str">
        <f>[1]raw_orders!L37</f>
        <v>Prime Bookcases 414</v>
      </c>
      <c r="M37" t="str">
        <f>IF(TRIM([1]raw_orders!M37)="","Unknown",PROPER(TRIM([1]raw_orders!M37)))</f>
        <v>Second Class</v>
      </c>
      <c r="N37" s="5">
        <f>[1]raw_orders!N37</f>
        <v>8</v>
      </c>
      <c r="O37" s="5">
        <f>[1]raw_orders!O37</f>
        <v>2507.12</v>
      </c>
      <c r="P37" s="5">
        <f>[1]raw_orders!P37</f>
        <v>0.05</v>
      </c>
      <c r="Q37" t="str">
        <f>PROPER(TRIM([1]raw_orders!T37))</f>
        <v>Pending</v>
      </c>
      <c r="R37" t="str">
        <f>PROPER(TRIM([1]raw_orders!U37))</f>
        <v>Returned</v>
      </c>
      <c r="S37" s="5">
        <f>[1]raw_orders!S37</f>
        <v>3740.28</v>
      </c>
      <c r="T37" s="5">
        <f t="shared" si="0"/>
        <v>37.402799999999999</v>
      </c>
      <c r="U37" s="5">
        <f t="shared" si="1"/>
        <v>-730129.5034879999</v>
      </c>
      <c r="V37" s="5">
        <f t="shared" si="2"/>
        <v>-730129.55348799995</v>
      </c>
      <c r="W37" s="5">
        <f t="shared" si="3"/>
        <v>1.000000068481002</v>
      </c>
      <c r="X37" s="5">
        <f t="shared" si="4"/>
        <v>0</v>
      </c>
      <c r="Y37" s="5">
        <f t="shared" si="5"/>
        <v>5</v>
      </c>
      <c r="Z37" s="5">
        <f t="shared" si="6"/>
        <v>2024</v>
      </c>
      <c r="AA37" t="str">
        <f t="shared" si="7"/>
        <v>Clean</v>
      </c>
    </row>
    <row r="38" spans="1:27" x14ac:dyDescent="0.3">
      <c r="A38" t="str">
        <f>[1]raw_orders!A38</f>
        <v>ORD-2024-10037</v>
      </c>
      <c r="B38" s="4">
        <f>IFERROR(DATEVALUE([1]raw_orders!B38), "Invalid Date")</f>
        <v>45590</v>
      </c>
      <c r="C38" s="4">
        <f>IFERROR(DATEVALUE([1]raw_orders!C38), "Invalid Date")</f>
        <v>45593</v>
      </c>
      <c r="D38" t="str">
        <f>[1]raw_orders!D38</f>
        <v>CUST-8296</v>
      </c>
      <c r="E38" t="str">
        <f>PROPER(TRIM([1]raw_orders!E38))</f>
        <v>Rohan Mehta</v>
      </c>
      <c r="F38" t="str">
        <f>PROPER(TRIM([1]raw_orders!F38))</f>
        <v>Corporate</v>
      </c>
      <c r="G38" t="str">
        <f>IF(TRIM([1]raw_orders!G38)="","Unknown",PROPER(TRIM([1]raw_orders!G38)))</f>
        <v>West</v>
      </c>
      <c r="H38" t="str">
        <f>PROPER(TRIM([1]raw_orders!H38))</f>
        <v>Maharashtra</v>
      </c>
      <c r="I38" t="str">
        <f>PROPER(TRIM([1]raw_orders!I38))</f>
        <v>Mumbai</v>
      </c>
      <c r="J38" t="str">
        <f>PROPER(TRIM([1]raw_orders!J38))</f>
        <v>Furniture</v>
      </c>
      <c r="K38" t="str">
        <f>PROPER(TRIM([1]raw_orders!K38))</f>
        <v>Bookcases</v>
      </c>
      <c r="L38" t="str">
        <f>[1]raw_orders!L38</f>
        <v>Eco Bookcases 220</v>
      </c>
      <c r="M38" t="str">
        <f>IF(TRIM([1]raw_orders!M38)="","Unknown",PROPER(TRIM([1]raw_orders!M38)))</f>
        <v>Second Class</v>
      </c>
      <c r="N38" s="5">
        <f>[1]raw_orders!N38</f>
        <v>3</v>
      </c>
      <c r="O38" s="5">
        <f>[1]raw_orders!O38</f>
        <v>3126.47</v>
      </c>
      <c r="P38" s="5">
        <f>[1]raw_orders!P38</f>
        <v>0</v>
      </c>
      <c r="Q38" t="str">
        <f>PROPER(TRIM([1]raw_orders!T38))</f>
        <v>Paid</v>
      </c>
      <c r="R38" t="str">
        <f>PROPER(TRIM([1]raw_orders!U38))</f>
        <v>Returned</v>
      </c>
      <c r="S38" s="5">
        <f>[1]raw_orders!S38</f>
        <v>2708.56</v>
      </c>
      <c r="T38" s="5">
        <f t="shared" si="0"/>
        <v>27.085599999999999</v>
      </c>
      <c r="U38" s="5">
        <f t="shared" si="1"/>
        <v>-244667.537496</v>
      </c>
      <c r="V38" s="5">
        <f t="shared" si="2"/>
        <v>-244667.537496</v>
      </c>
      <c r="W38" s="5">
        <f t="shared" si="3"/>
        <v>1</v>
      </c>
      <c r="X38" s="5">
        <f t="shared" si="4"/>
        <v>3</v>
      </c>
      <c r="Y38" s="5">
        <f t="shared" si="5"/>
        <v>10</v>
      </c>
      <c r="Z38" s="5">
        <f t="shared" si="6"/>
        <v>2024</v>
      </c>
      <c r="AA38" t="str">
        <f t="shared" si="7"/>
        <v>Clean</v>
      </c>
    </row>
    <row r="39" spans="1:27" x14ac:dyDescent="0.3">
      <c r="A39" t="str">
        <f>[1]raw_orders!A39</f>
        <v>ORD-2025-10038</v>
      </c>
      <c r="B39" s="4">
        <f>IFERROR(DATEVALUE([1]raw_orders!B39), "Invalid Date")</f>
        <v>45867</v>
      </c>
      <c r="C39" s="4">
        <f>IFERROR(DATEVALUE([1]raw_orders!C39), "Invalid Date")</f>
        <v>45867</v>
      </c>
      <c r="D39" t="str">
        <f>[1]raw_orders!D39</f>
        <v>CUST-4646</v>
      </c>
      <c r="E39" t="str">
        <f>PROPER(TRIM([1]raw_orders!E39))</f>
        <v>Diya Patel</v>
      </c>
      <c r="F39" t="str">
        <f>PROPER(TRIM([1]raw_orders!F39))</f>
        <v>Consumer</v>
      </c>
      <c r="G39" t="str">
        <f>IF(TRIM([1]raw_orders!G39)="","Unknown",PROPER(TRIM([1]raw_orders!G39)))</f>
        <v>West</v>
      </c>
      <c r="H39" t="str">
        <f>PROPER(TRIM([1]raw_orders!H39))</f>
        <v>Maharashtra</v>
      </c>
      <c r="I39" t="str">
        <f>PROPER(TRIM([1]raw_orders!I39))</f>
        <v>Mumbai</v>
      </c>
      <c r="J39" t="str">
        <f>PROPER(TRIM([1]raw_orders!J39))</f>
        <v>Technology</v>
      </c>
      <c r="K39" t="str">
        <f>PROPER(TRIM([1]raw_orders!K39))</f>
        <v>Copiers</v>
      </c>
      <c r="L39" t="str">
        <f>[1]raw_orders!L39</f>
        <v>Pro Copiers 830</v>
      </c>
      <c r="M39" t="str">
        <f>IF(TRIM([1]raw_orders!M39)="","Unknown",PROPER(TRIM([1]raw_orders!M39)))</f>
        <v>Standard Class</v>
      </c>
      <c r="N39" s="5">
        <f>[1]raw_orders!N39</f>
        <v>4</v>
      </c>
      <c r="O39" s="5">
        <f>[1]raw_orders!O39</f>
        <v>1327.54</v>
      </c>
      <c r="P39" s="5">
        <f>[1]raw_orders!P39</f>
        <v>0.2</v>
      </c>
      <c r="Q39" t="str">
        <f>PROPER(TRIM([1]raw_orders!T39))</f>
        <v>Paid</v>
      </c>
      <c r="R39" t="str">
        <f>PROPER(TRIM([1]raw_orders!U39))</f>
        <v>Completed</v>
      </c>
      <c r="S39" s="5">
        <f>[1]raw_orders!S39</f>
        <v>927.04</v>
      </c>
      <c r="T39" s="5">
        <f t="shared" si="0"/>
        <v>9.2704000000000004</v>
      </c>
      <c r="U39" s="5">
        <f t="shared" si="1"/>
        <v>-43917.147263999999</v>
      </c>
      <c r="V39" s="5">
        <f t="shared" si="2"/>
        <v>-43917.347263999996</v>
      </c>
      <c r="W39" s="5">
        <f t="shared" si="3"/>
        <v>1.0000045540298599</v>
      </c>
      <c r="X39" s="5">
        <f t="shared" si="4"/>
        <v>0</v>
      </c>
      <c r="Y39" s="5">
        <f t="shared" si="5"/>
        <v>7</v>
      </c>
      <c r="Z39" s="5">
        <f t="shared" si="6"/>
        <v>2025</v>
      </c>
      <c r="AA39" t="str">
        <f t="shared" si="7"/>
        <v>Clean</v>
      </c>
    </row>
    <row r="40" spans="1:27" x14ac:dyDescent="0.3">
      <c r="A40" t="str">
        <f>[1]raw_orders!A40</f>
        <v>ORD-2024-10039</v>
      </c>
      <c r="B40" s="4">
        <f>IFERROR(DATEVALUE([1]raw_orders!B40), "Invalid Date")</f>
        <v>45460</v>
      </c>
      <c r="C40" s="4">
        <f>IFERROR(DATEVALUE([1]raw_orders!C40), "Invalid Date")</f>
        <v>45465</v>
      </c>
      <c r="D40" t="str">
        <f>[1]raw_orders!D40</f>
        <v>CUST-8235</v>
      </c>
      <c r="E40" t="str">
        <f>PROPER(TRIM([1]raw_orders!E40))</f>
        <v>Aarav Sharma</v>
      </c>
      <c r="F40" t="str">
        <f>PROPER(TRIM([1]raw_orders!F40))</f>
        <v>Corporate</v>
      </c>
      <c r="G40" t="str">
        <f>IF(TRIM([1]raw_orders!G40)="","Unknown",PROPER(TRIM([1]raw_orders!G40)))</f>
        <v>West</v>
      </c>
      <c r="H40" t="str">
        <f>PROPER(TRIM([1]raw_orders!H40))</f>
        <v>Gujarat</v>
      </c>
      <c r="I40" t="str">
        <f>PROPER(TRIM([1]raw_orders!I40))</f>
        <v>Ahmedabad</v>
      </c>
      <c r="J40" t="str">
        <f>PROPER(TRIM([1]raw_orders!J40))</f>
        <v>Technology</v>
      </c>
      <c r="K40" t="str">
        <f>PROPER(TRIM([1]raw_orders!K40))</f>
        <v>Phones</v>
      </c>
      <c r="L40" t="str">
        <f>[1]raw_orders!L40</f>
        <v>Prime Phones 507</v>
      </c>
      <c r="M40" t="str">
        <f>IF(TRIM([1]raw_orders!M40)="","Unknown",PROPER(TRIM([1]raw_orders!M40)))</f>
        <v>First Class</v>
      </c>
      <c r="N40" s="5">
        <f>[1]raw_orders!N40</f>
        <v>7</v>
      </c>
      <c r="O40" s="5">
        <f>[1]raw_orders!O40</f>
        <v>2210.6799999999998</v>
      </c>
      <c r="P40" s="5">
        <f>[1]raw_orders!P40</f>
        <v>0.1</v>
      </c>
      <c r="Q40" t="str">
        <f>PROPER(TRIM([1]raw_orders!T40))</f>
        <v>Paid</v>
      </c>
      <c r="R40" t="str">
        <f>PROPER(TRIM([1]raw_orders!U40))</f>
        <v>Completed</v>
      </c>
      <c r="S40" s="5">
        <f>[1]raw_orders!S40</f>
        <v>3422.41</v>
      </c>
      <c r="T40" s="5">
        <f t="shared" si="0"/>
        <v>34.2241</v>
      </c>
      <c r="U40" s="5">
        <f t="shared" si="1"/>
        <v>-514134.97371599992</v>
      </c>
      <c r="V40" s="5">
        <f t="shared" si="2"/>
        <v>-514135.0737159999</v>
      </c>
      <c r="W40" s="5">
        <f t="shared" si="3"/>
        <v>1.0000001945014541</v>
      </c>
      <c r="X40" s="5">
        <f t="shared" si="4"/>
        <v>5</v>
      </c>
      <c r="Y40" s="5">
        <f t="shared" si="5"/>
        <v>6</v>
      </c>
      <c r="Z40" s="5">
        <f t="shared" si="6"/>
        <v>2024</v>
      </c>
      <c r="AA40" t="str">
        <f t="shared" si="7"/>
        <v>Clean</v>
      </c>
    </row>
    <row r="41" spans="1:27" x14ac:dyDescent="0.3">
      <c r="A41" t="str">
        <f>[1]raw_orders!A41</f>
        <v>ORD-2024-10040</v>
      </c>
      <c r="B41" s="4">
        <f>IFERROR(DATEVALUE([1]raw_orders!B41), "Invalid Date")</f>
        <v>45608</v>
      </c>
      <c r="C41" s="4">
        <f>IFERROR(DATEVALUE([1]raw_orders!C41), "Invalid Date")</f>
        <v>45637</v>
      </c>
      <c r="D41" t="str">
        <f>[1]raw_orders!D41</f>
        <v>CUST-5830</v>
      </c>
      <c r="E41" t="str">
        <f>PROPER(TRIM([1]raw_orders!E41))</f>
        <v>Mira Das</v>
      </c>
      <c r="F41" t="str">
        <f>PROPER(TRIM([1]raw_orders!F41))</f>
        <v>Small Business</v>
      </c>
      <c r="G41" t="str">
        <f>IF(TRIM([1]raw_orders!G41)="","Unknown",PROPER(TRIM([1]raw_orders!G41)))</f>
        <v>West</v>
      </c>
      <c r="H41" t="str">
        <f>PROPER(TRIM([1]raw_orders!H41))</f>
        <v>Madhya Pradesh</v>
      </c>
      <c r="I41" t="str">
        <f>PROPER(TRIM([1]raw_orders!I41))</f>
        <v>Indore</v>
      </c>
      <c r="J41" t="str">
        <f>PROPER(TRIM([1]raw_orders!J41))</f>
        <v>Technology</v>
      </c>
      <c r="K41" t="str">
        <f>PROPER(TRIM([1]raw_orders!K41))</f>
        <v>Copiers</v>
      </c>
      <c r="L41" t="str">
        <f>[1]raw_orders!L41</f>
        <v>Classic Copiers 590</v>
      </c>
      <c r="M41" t="str">
        <f>IF(TRIM([1]raw_orders!M41)="","Unknown",PROPER(TRIM([1]raw_orders!M41)))</f>
        <v>First Class</v>
      </c>
      <c r="N41" s="5">
        <f>[1]raw_orders!N41</f>
        <v>4</v>
      </c>
      <c r="O41" s="5">
        <f>[1]raw_orders!O41</f>
        <v>1370.92</v>
      </c>
      <c r="P41" s="5">
        <f>[1]raw_orders!P41</f>
        <v>0.1</v>
      </c>
      <c r="Q41" t="str">
        <f>PROPER(TRIM([1]raw_orders!T41))</f>
        <v>Pending</v>
      </c>
      <c r="R41" t="str">
        <f>PROPER(TRIM([1]raw_orders!U41))</f>
        <v>Returned</v>
      </c>
      <c r="S41" s="5">
        <f>[1]raw_orders!S41</f>
        <v>1560.54</v>
      </c>
      <c r="T41" s="5">
        <f t="shared" si="0"/>
        <v>15.605399999999999</v>
      </c>
      <c r="U41" s="5">
        <f t="shared" si="1"/>
        <v>-80091.339871999997</v>
      </c>
      <c r="V41" s="5">
        <f t="shared" si="2"/>
        <v>-80091.439872000003</v>
      </c>
      <c r="W41" s="5">
        <f t="shared" si="3"/>
        <v>1.0000012485744423</v>
      </c>
      <c r="X41" s="5">
        <f t="shared" si="4"/>
        <v>29</v>
      </c>
      <c r="Y41" s="5">
        <f t="shared" si="5"/>
        <v>11</v>
      </c>
      <c r="Z41" s="5">
        <f t="shared" si="6"/>
        <v>2024</v>
      </c>
      <c r="AA41" t="str">
        <f t="shared" si="7"/>
        <v>Clean</v>
      </c>
    </row>
    <row r="42" spans="1:27" x14ac:dyDescent="0.3">
      <c r="A42" t="str">
        <f>[1]raw_orders!A42</f>
        <v>ORD-2024-10041</v>
      </c>
      <c r="B42" s="4">
        <f>IFERROR(DATEVALUE([1]raw_orders!B42), "Invalid Date")</f>
        <v>45575</v>
      </c>
      <c r="C42" s="4">
        <f>IFERROR(DATEVALUE([1]raw_orders!C42), "Invalid Date")</f>
        <v>45581</v>
      </c>
      <c r="D42" t="str">
        <f>[1]raw_orders!D42</f>
        <v>CUST-7178</v>
      </c>
      <c r="E42" t="str">
        <f>PROPER(TRIM([1]raw_orders!E42))</f>
        <v>Isha Nair</v>
      </c>
      <c r="F42" t="str">
        <f>PROPER(TRIM([1]raw_orders!F42))</f>
        <v>Home Office</v>
      </c>
      <c r="G42" t="str">
        <f>IF(TRIM([1]raw_orders!G42)="","Unknown",PROPER(TRIM([1]raw_orders!G42)))</f>
        <v>West</v>
      </c>
      <c r="H42" t="str">
        <f>PROPER(TRIM([1]raw_orders!H42))</f>
        <v>Rajasthan</v>
      </c>
      <c r="I42" t="str">
        <f>PROPER(TRIM([1]raw_orders!I42))</f>
        <v>Udaipur</v>
      </c>
      <c r="J42" t="str">
        <f>PROPER(TRIM([1]raw_orders!J42))</f>
        <v>Technology</v>
      </c>
      <c r="K42" t="str">
        <f>PROPER(TRIM([1]raw_orders!K42))</f>
        <v>Copiers</v>
      </c>
      <c r="L42" t="str">
        <f>[1]raw_orders!L42</f>
        <v>Eco Copiers 865</v>
      </c>
      <c r="M42" t="str">
        <f>IF(TRIM([1]raw_orders!M42)="","Unknown",PROPER(TRIM([1]raw_orders!M42)))</f>
        <v>Standard Class</v>
      </c>
      <c r="N42" s="5">
        <f>[1]raw_orders!N42</f>
        <v>7</v>
      </c>
      <c r="O42" s="5">
        <f>[1]raw_orders!O42</f>
        <v>2509.27</v>
      </c>
      <c r="P42" s="5">
        <f>[1]raw_orders!P42</f>
        <v>0.2</v>
      </c>
      <c r="Q42" t="str">
        <f>PROPER(TRIM([1]raw_orders!T42))</f>
        <v>Paid</v>
      </c>
      <c r="R42" t="str">
        <f>PROPER(TRIM([1]raw_orders!U42))</f>
        <v>Completed</v>
      </c>
      <c r="S42" s="5">
        <f>[1]raw_orders!S42</f>
        <v>2061.54</v>
      </c>
      <c r="T42" s="5">
        <f t="shared" si="0"/>
        <v>20.615400000000001</v>
      </c>
      <c r="U42" s="5">
        <f t="shared" si="1"/>
        <v>-344542.343306</v>
      </c>
      <c r="V42" s="5">
        <f t="shared" si="2"/>
        <v>-344542.54330600001</v>
      </c>
      <c r="W42" s="5">
        <f t="shared" si="3"/>
        <v>1.0000005804801757</v>
      </c>
      <c r="X42" s="5">
        <f t="shared" si="4"/>
        <v>6</v>
      </c>
      <c r="Y42" s="5">
        <f t="shared" si="5"/>
        <v>10</v>
      </c>
      <c r="Z42" s="5">
        <f t="shared" si="6"/>
        <v>2024</v>
      </c>
      <c r="AA42" t="str">
        <f t="shared" si="7"/>
        <v>Clean</v>
      </c>
    </row>
    <row r="43" spans="1:27" x14ac:dyDescent="0.3">
      <c r="A43" t="str">
        <f>[1]raw_orders!A43</f>
        <v>ORD-2024-10042</v>
      </c>
      <c r="B43" s="4">
        <f>IFERROR(DATEVALUE([1]raw_orders!B43), "Invalid Date")</f>
        <v>45629</v>
      </c>
      <c r="C43" s="4">
        <f>IFERROR(DATEVALUE([1]raw_orders!C43), "Invalid Date")</f>
        <v>45368</v>
      </c>
      <c r="D43" t="str">
        <f>[1]raw_orders!D43</f>
        <v>CUST-3829</v>
      </c>
      <c r="E43" t="str">
        <f>PROPER(TRIM([1]raw_orders!E43))</f>
        <v>Aarav Sharma</v>
      </c>
      <c r="F43" t="str">
        <f>PROPER(TRIM([1]raw_orders!F43))</f>
        <v>Small Business</v>
      </c>
      <c r="G43" t="str">
        <f>IF(TRIM([1]raw_orders!G43)="","Unknown",PROPER(TRIM([1]raw_orders!G43)))</f>
        <v>East</v>
      </c>
      <c r="H43" t="str">
        <f>PROPER(TRIM([1]raw_orders!H43))</f>
        <v>Odisha</v>
      </c>
      <c r="I43" t="str">
        <f>PROPER(TRIM([1]raw_orders!I43))</f>
        <v>Bhubaneswar</v>
      </c>
      <c r="J43" t="str">
        <f>PROPER(TRIM([1]raw_orders!J43))</f>
        <v>Furniture</v>
      </c>
      <c r="K43" t="str">
        <f>PROPER(TRIM([1]raw_orders!K43))</f>
        <v>Bookcases</v>
      </c>
      <c r="L43" t="str">
        <f>[1]raw_orders!L43</f>
        <v>Classic Bookcases 835</v>
      </c>
      <c r="M43" t="str">
        <f>IF(TRIM([1]raw_orders!M43)="","Unknown",PROPER(TRIM([1]raw_orders!M43)))</f>
        <v>Same Day</v>
      </c>
      <c r="N43" s="5">
        <f>[1]raw_orders!N43</f>
        <v>8</v>
      </c>
      <c r="O43" s="5">
        <f>[1]raw_orders!O43</f>
        <v>855.81</v>
      </c>
      <c r="P43" s="5">
        <f>[1]raw_orders!P43</f>
        <v>0</v>
      </c>
      <c r="Q43" t="str">
        <f>PROPER(TRIM([1]raw_orders!T43))</f>
        <v>Pending</v>
      </c>
      <c r="R43" t="str">
        <f>PROPER(TRIM([1]raw_orders!U43))</f>
        <v>Cancelled</v>
      </c>
      <c r="S43" s="5">
        <f>[1]raw_orders!S43</f>
        <v>2606.59</v>
      </c>
      <c r="T43" s="5">
        <f t="shared" si="0"/>
        <v>26.065900000000003</v>
      </c>
      <c r="U43" s="5">
        <f t="shared" si="1"/>
        <v>-171613.183032</v>
      </c>
      <c r="V43" s="5">
        <f t="shared" si="2"/>
        <v>-171613.183032</v>
      </c>
      <c r="W43" s="5">
        <f t="shared" si="3"/>
        <v>1</v>
      </c>
      <c r="X43" s="5">
        <f t="shared" si="4"/>
        <v>-261</v>
      </c>
      <c r="Y43" s="5">
        <f t="shared" si="5"/>
        <v>12</v>
      </c>
      <c r="Z43" s="5">
        <f t="shared" si="6"/>
        <v>2024</v>
      </c>
      <c r="AA43" t="str">
        <f t="shared" si="7"/>
        <v>Invalid</v>
      </c>
    </row>
    <row r="44" spans="1:27" x14ac:dyDescent="0.3">
      <c r="A44" t="str">
        <f>[1]raw_orders!A44</f>
        <v>ORD-2025-10043</v>
      </c>
      <c r="B44" s="4">
        <f>IFERROR(DATEVALUE([1]raw_orders!B44), "Invalid Date")</f>
        <v>45940</v>
      </c>
      <c r="C44" s="4">
        <f>IFERROR(DATEVALUE([1]raw_orders!C44), "Invalid Date")</f>
        <v>45945</v>
      </c>
      <c r="D44" t="str">
        <f>[1]raw_orders!D44</f>
        <v>CUST-6708</v>
      </c>
      <c r="E44" t="str">
        <f>PROPER(TRIM([1]raw_orders!E44))</f>
        <v>Arjun Bose</v>
      </c>
      <c r="F44" t="str">
        <f>PROPER(TRIM([1]raw_orders!F44))</f>
        <v>Corporate</v>
      </c>
      <c r="G44" t="str">
        <f>IF(TRIM([1]raw_orders!G44)="","Unknown",PROPER(TRIM([1]raw_orders!G44)))</f>
        <v>East</v>
      </c>
      <c r="H44" t="str">
        <f>PROPER(TRIM([1]raw_orders!H44))</f>
        <v>Jharkhand</v>
      </c>
      <c r="I44" t="str">
        <f>PROPER(TRIM([1]raw_orders!I44))</f>
        <v>Ranchi</v>
      </c>
      <c r="J44" t="str">
        <f>PROPER(TRIM([1]raw_orders!J44))</f>
        <v>Technology</v>
      </c>
      <c r="K44" t="str">
        <f>PROPER(TRIM([1]raw_orders!K44))</f>
        <v>Phones</v>
      </c>
      <c r="L44" t="str">
        <f>[1]raw_orders!L44</f>
        <v>Eco Phones 702</v>
      </c>
      <c r="M44" t="str">
        <f>IF(TRIM([1]raw_orders!M44)="","Unknown",PROPER(TRIM([1]raw_orders!M44)))</f>
        <v>Standard Class</v>
      </c>
      <c r="N44" s="5">
        <f>[1]raw_orders!N44</f>
        <v>8</v>
      </c>
      <c r="O44" s="5">
        <f>[1]raw_orders!O44</f>
        <v>979.87</v>
      </c>
      <c r="P44" s="5">
        <f>[1]raw_orders!P44</f>
        <v>0.05</v>
      </c>
      <c r="Q44" t="str">
        <f>PROPER(TRIM([1]raw_orders!T44))</f>
        <v>Paid</v>
      </c>
      <c r="R44" t="str">
        <f>PROPER(TRIM([1]raw_orders!U44))</f>
        <v>Completed</v>
      </c>
      <c r="S44" s="5">
        <f>[1]raw_orders!S44</f>
        <v>2950.79</v>
      </c>
      <c r="T44" s="5">
        <f t="shared" si="0"/>
        <v>29.507899999999999</v>
      </c>
      <c r="U44" s="5">
        <f t="shared" si="1"/>
        <v>-223472.28778399999</v>
      </c>
      <c r="V44" s="5">
        <f t="shared" si="2"/>
        <v>-223472.33778399997</v>
      </c>
      <c r="W44" s="5">
        <f t="shared" si="3"/>
        <v>1.0000002237413885</v>
      </c>
      <c r="X44" s="5">
        <f t="shared" si="4"/>
        <v>5</v>
      </c>
      <c r="Y44" s="5">
        <f t="shared" si="5"/>
        <v>10</v>
      </c>
      <c r="Z44" s="5">
        <f t="shared" si="6"/>
        <v>2025</v>
      </c>
      <c r="AA44" t="str">
        <f t="shared" si="7"/>
        <v>Clean</v>
      </c>
    </row>
    <row r="45" spans="1:27" x14ac:dyDescent="0.3">
      <c r="A45" t="str">
        <f>[1]raw_orders!A45</f>
        <v>ORD-2024-10044</v>
      </c>
      <c r="B45" s="4">
        <f>IFERROR(DATEVALUE([1]raw_orders!B45), "Invalid Date")</f>
        <v>45511</v>
      </c>
      <c r="C45" s="4" t="str">
        <f>IFERROR(DATEVALUE([1]raw_orders!C45), "Invalid Date")</f>
        <v>Invalid Date</v>
      </c>
      <c r="D45" t="str">
        <f>[1]raw_orders!D45</f>
        <v>CUST-7119</v>
      </c>
      <c r="E45" t="str">
        <f>PROPER(TRIM([1]raw_orders!E45))</f>
        <v>Priya Menon</v>
      </c>
      <c r="F45" t="str">
        <f>PROPER(TRIM([1]raw_orders!F45))</f>
        <v>Small Business</v>
      </c>
      <c r="G45" t="str">
        <f>IF(TRIM([1]raw_orders!G45)="","Unknown",PROPER(TRIM([1]raw_orders!G45)))</f>
        <v>East</v>
      </c>
      <c r="H45" t="str">
        <f>PROPER(TRIM([1]raw_orders!H45))</f>
        <v>Odisha</v>
      </c>
      <c r="I45" t="str">
        <f>PROPER(TRIM([1]raw_orders!I45))</f>
        <v>Bhubaneswar</v>
      </c>
      <c r="J45" t="str">
        <f>PROPER(TRIM([1]raw_orders!J45))</f>
        <v>Furniture</v>
      </c>
      <c r="K45" t="str">
        <f>PROPER(TRIM([1]raw_orders!K45))</f>
        <v>Furnishings</v>
      </c>
      <c r="L45" t="str">
        <f>[1]raw_orders!L45</f>
        <v>Smart Furnishings 956</v>
      </c>
      <c r="M45" t="str">
        <f>IF(TRIM([1]raw_orders!M45)="","Unknown",PROPER(TRIM([1]raw_orders!M45)))</f>
        <v>Same Day</v>
      </c>
      <c r="N45" s="5">
        <f>[1]raw_orders!N45</f>
        <v>3</v>
      </c>
      <c r="O45" s="5">
        <f>[1]raw_orders!O45</f>
        <v>1010.23</v>
      </c>
      <c r="P45" s="5">
        <f>[1]raw_orders!P45</f>
        <v>0</v>
      </c>
      <c r="Q45" t="str">
        <f>PROPER(TRIM([1]raw_orders!T45))</f>
        <v>Paid</v>
      </c>
      <c r="R45" t="str">
        <f>PROPER(TRIM([1]raw_orders!U45))</f>
        <v>Completed</v>
      </c>
      <c r="S45" s="5">
        <f>[1]raw_orders!S45</f>
        <v>1309.6099999999999</v>
      </c>
      <c r="T45" s="5">
        <f t="shared" si="0"/>
        <v>13.0961</v>
      </c>
      <c r="U45" s="5">
        <f t="shared" si="1"/>
        <v>-36659.529308999998</v>
      </c>
      <c r="V45" s="5">
        <f t="shared" si="2"/>
        <v>-36659.529308999998</v>
      </c>
      <c r="W45" s="5">
        <f t="shared" si="3"/>
        <v>1</v>
      </c>
      <c r="X45" s="5" t="str">
        <f t="shared" si="4"/>
        <v>Invalid Date</v>
      </c>
      <c r="Y45" s="5">
        <f t="shared" si="5"/>
        <v>8</v>
      </c>
      <c r="Z45" s="5">
        <f t="shared" si="6"/>
        <v>2024</v>
      </c>
      <c r="AA45" t="str">
        <f t="shared" si="7"/>
        <v>Clean</v>
      </c>
    </row>
    <row r="46" spans="1:27" x14ac:dyDescent="0.3">
      <c r="A46" t="str">
        <f>[1]raw_orders!A46</f>
        <v>ORD-2024-10045</v>
      </c>
      <c r="B46" s="4" t="str">
        <f>IFERROR(DATEVALUE([1]raw_orders!B46), "Invalid Date")</f>
        <v>Invalid Date</v>
      </c>
      <c r="C46" s="4">
        <f>IFERROR(DATEVALUE([1]raw_orders!C46), "Invalid Date")</f>
        <v>45468</v>
      </c>
      <c r="D46" t="str">
        <f>[1]raw_orders!D46</f>
        <v>CUST-3373</v>
      </c>
      <c r="E46" t="str">
        <f>PROPER(TRIM([1]raw_orders!E46))</f>
        <v>Rohan Mehta</v>
      </c>
      <c r="F46" t="str">
        <f>PROPER(TRIM([1]raw_orders!F46))</f>
        <v>Small Business</v>
      </c>
      <c r="G46" t="str">
        <f>IF(TRIM([1]raw_orders!G46)="","Unknown",PROPER(TRIM([1]raw_orders!G46)))</f>
        <v>North</v>
      </c>
      <c r="H46" t="str">
        <f>PROPER(TRIM([1]raw_orders!H46))</f>
        <v>Haryana</v>
      </c>
      <c r="I46" t="str">
        <f>PROPER(TRIM([1]raw_orders!I46))</f>
        <v>Gurugram</v>
      </c>
      <c r="J46" t="str">
        <f>PROPER(TRIM([1]raw_orders!J46))</f>
        <v>Furniture</v>
      </c>
      <c r="K46" t="str">
        <f>PROPER(TRIM([1]raw_orders!K46))</f>
        <v>Chairs</v>
      </c>
      <c r="L46" t="str">
        <f>[1]raw_orders!L46</f>
        <v>Max Chairs 393</v>
      </c>
      <c r="M46" t="str">
        <f>IF(TRIM([1]raw_orders!M46)="","Unknown",PROPER(TRIM([1]raw_orders!M46)))</f>
        <v>Standard Class</v>
      </c>
      <c r="N46" s="5">
        <f>[1]raw_orders!N46</f>
        <v>9</v>
      </c>
      <c r="O46" s="5">
        <f>[1]raw_orders!O46</f>
        <v>3329.77</v>
      </c>
      <c r="P46" s="5">
        <f>[1]raw_orders!P46</f>
        <v>0.1</v>
      </c>
      <c r="Q46" t="str">
        <f>PROPER(TRIM([1]raw_orders!T46))</f>
        <v>Paid</v>
      </c>
      <c r="R46" t="str">
        <f>PROPER(TRIM([1]raw_orders!U46))</f>
        <v>Completed</v>
      </c>
      <c r="S46" s="5">
        <f>[1]raw_orders!S46</f>
        <v>9594.94</v>
      </c>
      <c r="T46" s="5">
        <f t="shared" si="0"/>
        <v>95.949400000000011</v>
      </c>
      <c r="U46" s="5">
        <f t="shared" si="1"/>
        <v>-2845436.9727420006</v>
      </c>
      <c r="V46" s="5">
        <f t="shared" si="2"/>
        <v>-2845437.0727420007</v>
      </c>
      <c r="W46" s="5">
        <f t="shared" si="3"/>
        <v>1.0000000351439871</v>
      </c>
      <c r="X46" s="5" t="str">
        <f t="shared" si="4"/>
        <v>Invalid Date</v>
      </c>
      <c r="Y46" s="5" t="e">
        <f t="shared" si="5"/>
        <v>#VALUE!</v>
      </c>
      <c r="Z46" s="5" t="e">
        <f t="shared" si="6"/>
        <v>#VALUE!</v>
      </c>
      <c r="AA46" t="str">
        <f t="shared" si="7"/>
        <v>Clean</v>
      </c>
    </row>
    <row r="47" spans="1:27" x14ac:dyDescent="0.3">
      <c r="A47" t="str">
        <f>[1]raw_orders!A47</f>
        <v>ORD-2024-10046</v>
      </c>
      <c r="B47" s="4">
        <f>IFERROR(DATEVALUE([1]raw_orders!B47), "Invalid Date")</f>
        <v>45309</v>
      </c>
      <c r="C47" s="4">
        <f>IFERROR(DATEVALUE([1]raw_orders!C47), "Invalid Date")</f>
        <v>45315</v>
      </c>
      <c r="D47" t="str">
        <f>[1]raw_orders!D47</f>
        <v>CUST-8896</v>
      </c>
      <c r="E47" t="str">
        <f>PROPER(TRIM([1]raw_orders!E47))</f>
        <v>Isha Nair</v>
      </c>
      <c r="F47" t="str">
        <f>PROPER(TRIM([1]raw_orders!F47))</f>
        <v>Home Office</v>
      </c>
      <c r="G47" t="str">
        <f>IF(TRIM([1]raw_orders!G47)="","Unknown",PROPER(TRIM([1]raw_orders!G47)))</f>
        <v>East</v>
      </c>
      <c r="H47" t="str">
        <f>PROPER(TRIM([1]raw_orders!H47))</f>
        <v>Bihar</v>
      </c>
      <c r="I47" t="str">
        <f>PROPER(TRIM([1]raw_orders!I47))</f>
        <v>Patna</v>
      </c>
      <c r="J47" t="str">
        <f>PROPER(TRIM([1]raw_orders!J47))</f>
        <v>Office Supplies</v>
      </c>
      <c r="K47" t="str">
        <f>PROPER(TRIM([1]raw_orders!K47))</f>
        <v>Art</v>
      </c>
      <c r="L47" t="str">
        <f>[1]raw_orders!L47</f>
        <v>Prime Art 221</v>
      </c>
      <c r="M47" t="str">
        <f>IF(TRIM([1]raw_orders!M47)="","Unknown",PROPER(TRIM([1]raw_orders!M47)))</f>
        <v>Second Class</v>
      </c>
      <c r="N47" s="5">
        <f>[1]raw_orders!N47</f>
        <v>8</v>
      </c>
      <c r="O47" s="5">
        <f>[1]raw_orders!O47</f>
        <v>3927.82</v>
      </c>
      <c r="P47" s="5">
        <f>[1]raw_orders!P47</f>
        <v>0.05</v>
      </c>
      <c r="Q47" t="str">
        <f>PROPER(TRIM([1]raw_orders!T47))</f>
        <v>Pending</v>
      </c>
      <c r="R47" t="str">
        <f>PROPER(TRIM([1]raw_orders!U47))</f>
        <v>Returned</v>
      </c>
      <c r="S47" s="5">
        <f>[1]raw_orders!S47</f>
        <v>12363.95</v>
      </c>
      <c r="T47" s="5">
        <f t="shared" si="0"/>
        <v>123.63950000000001</v>
      </c>
      <c r="U47" s="5">
        <f t="shared" si="1"/>
        <v>-3853647.0471200007</v>
      </c>
      <c r="V47" s="5">
        <f t="shared" si="2"/>
        <v>-3853647.0971200005</v>
      </c>
      <c r="W47" s="5">
        <f t="shared" si="3"/>
        <v>1.0000000129747222</v>
      </c>
      <c r="X47" s="5">
        <f t="shared" si="4"/>
        <v>6</v>
      </c>
      <c r="Y47" s="5">
        <f t="shared" si="5"/>
        <v>1</v>
      </c>
      <c r="Z47" s="5">
        <f t="shared" si="6"/>
        <v>2024</v>
      </c>
      <c r="AA47" t="str">
        <f t="shared" si="7"/>
        <v>Clean</v>
      </c>
    </row>
    <row r="48" spans="1:27" x14ac:dyDescent="0.3">
      <c r="A48" t="str">
        <f>[1]raw_orders!A48</f>
        <v>ORD-2024-10047</v>
      </c>
      <c r="B48" s="4">
        <f>IFERROR(DATEVALUE([1]raw_orders!B48), "Invalid Date")</f>
        <v>45492</v>
      </c>
      <c r="C48" s="4">
        <f>IFERROR(DATEVALUE([1]raw_orders!C48), "Invalid Date")</f>
        <v>45492</v>
      </c>
      <c r="D48" t="str">
        <f>[1]raw_orders!D48</f>
        <v>CUST-8517</v>
      </c>
      <c r="E48" t="str">
        <f>PROPER(TRIM([1]raw_orders!E48))</f>
        <v>Ananya Rao</v>
      </c>
      <c r="F48" t="str">
        <f>PROPER(TRIM([1]raw_orders!F48))</f>
        <v>Small Business</v>
      </c>
      <c r="G48" t="str">
        <f>IF(TRIM([1]raw_orders!G48)="","Unknown",PROPER(TRIM([1]raw_orders!G48)))</f>
        <v>South</v>
      </c>
      <c r="H48" t="str">
        <f>PROPER(TRIM([1]raw_orders!H48))</f>
        <v>Kerala</v>
      </c>
      <c r="I48" t="str">
        <f>PROPER(TRIM([1]raw_orders!I48))</f>
        <v>Kochi</v>
      </c>
      <c r="J48" t="str">
        <f>PROPER(TRIM([1]raw_orders!J48))</f>
        <v>Furniture</v>
      </c>
      <c r="K48" t="str">
        <f>PROPER(TRIM([1]raw_orders!K48))</f>
        <v>Bookcases</v>
      </c>
      <c r="L48" t="str">
        <f>[1]raw_orders!L48</f>
        <v>Elite Bookcases 671</v>
      </c>
      <c r="M48" t="str">
        <f>IF(TRIM([1]raw_orders!M48)="","Unknown",PROPER(TRIM([1]raw_orders!M48)))</f>
        <v>Standard Class</v>
      </c>
      <c r="N48" s="5">
        <f>[1]raw_orders!N48</f>
        <v>9</v>
      </c>
      <c r="O48" s="5">
        <f>[1]raw_orders!O48</f>
        <v>2386.79</v>
      </c>
      <c r="P48" s="5">
        <f>[1]raw_orders!P48</f>
        <v>0.25</v>
      </c>
      <c r="Q48" t="str">
        <f>PROPER(TRIM([1]raw_orders!T48))</f>
        <v>Refunded</v>
      </c>
      <c r="R48" t="str">
        <f>PROPER(TRIM([1]raw_orders!U48))</f>
        <v>Returned</v>
      </c>
      <c r="S48" s="5">
        <f>[1]raw_orders!S48</f>
        <v>5430.8</v>
      </c>
      <c r="T48" s="5">
        <f t="shared" si="0"/>
        <v>54.308</v>
      </c>
      <c r="U48" s="5">
        <f t="shared" si="1"/>
        <v>-1145115.0118800001</v>
      </c>
      <c r="V48" s="5">
        <f t="shared" si="2"/>
        <v>-1145115.2618800001</v>
      </c>
      <c r="W48" s="5">
        <f t="shared" si="3"/>
        <v>1.0000002183186818</v>
      </c>
      <c r="X48" s="5">
        <f t="shared" si="4"/>
        <v>0</v>
      </c>
      <c r="Y48" s="5">
        <f t="shared" si="5"/>
        <v>7</v>
      </c>
      <c r="Z48" s="5">
        <f t="shared" si="6"/>
        <v>2024</v>
      </c>
      <c r="AA48" t="str">
        <f t="shared" si="7"/>
        <v>Clean</v>
      </c>
    </row>
    <row r="49" spans="1:27" x14ac:dyDescent="0.3">
      <c r="A49" t="str">
        <f>[1]raw_orders!A49</f>
        <v>ORD-2024-10048</v>
      </c>
      <c r="B49" s="4">
        <f>IFERROR(DATEVALUE([1]raw_orders!B49), "Invalid Date")</f>
        <v>45516</v>
      </c>
      <c r="C49" s="4">
        <f>IFERROR(DATEVALUE([1]raw_orders!C49), "Invalid Date")</f>
        <v>45516</v>
      </c>
      <c r="D49" t="str">
        <f>[1]raw_orders!D49</f>
        <v>CUST-1987</v>
      </c>
      <c r="E49" t="str">
        <f>PROPER(TRIM([1]raw_orders!E49))</f>
        <v>Rahul Verma</v>
      </c>
      <c r="F49" t="str">
        <f>PROPER(TRIM([1]raw_orders!F49))</f>
        <v>Corporate</v>
      </c>
      <c r="G49" t="str">
        <f>IF(TRIM([1]raw_orders!G49)="","Unknown",PROPER(TRIM([1]raw_orders!G49)))</f>
        <v>South</v>
      </c>
      <c r="H49" t="str">
        <f>PROPER(TRIM([1]raw_orders!H49))</f>
        <v>Tamil Nadu</v>
      </c>
      <c r="I49" t="str">
        <f>PROPER(TRIM([1]raw_orders!I49))</f>
        <v>Chennai</v>
      </c>
      <c r="J49" t="str">
        <f>PROPER(TRIM([1]raw_orders!J49))</f>
        <v>Office Supplies</v>
      </c>
      <c r="K49" t="str">
        <f>PROPER(TRIM([1]raw_orders!K49))</f>
        <v>Storage</v>
      </c>
      <c r="L49" t="str">
        <f>[1]raw_orders!L49</f>
        <v>Max Storage 432</v>
      </c>
      <c r="M49" t="str">
        <f>IF(TRIM([1]raw_orders!M49)="","Unknown",PROPER(TRIM([1]raw_orders!M49)))</f>
        <v>Standard Class</v>
      </c>
      <c r="N49" s="5">
        <f>[1]raw_orders!N49</f>
        <v>8</v>
      </c>
      <c r="O49" s="5">
        <f>[1]raw_orders!O49</f>
        <v>2445.31</v>
      </c>
      <c r="P49" s="5">
        <f>[1]raw_orders!P49</f>
        <v>0.1</v>
      </c>
      <c r="Q49" t="str">
        <f>PROPER(TRIM([1]raw_orders!T49))</f>
        <v>Paid</v>
      </c>
      <c r="R49" t="str">
        <f>PROPER(TRIM([1]raw_orders!U49))</f>
        <v>Completed</v>
      </c>
      <c r="S49" s="5">
        <f>[1]raw_orders!S49</f>
        <v>5167.2700000000004</v>
      </c>
      <c r="T49" s="5">
        <f t="shared" si="0"/>
        <v>51.672700000000006</v>
      </c>
      <c r="U49" s="5">
        <f t="shared" si="1"/>
        <v>-991283.68029600009</v>
      </c>
      <c r="V49" s="5">
        <f t="shared" si="2"/>
        <v>-991283.78029600007</v>
      </c>
      <c r="W49" s="5">
        <f t="shared" si="3"/>
        <v>1.0000001008792962</v>
      </c>
      <c r="X49" s="5">
        <f t="shared" si="4"/>
        <v>0</v>
      </c>
      <c r="Y49" s="5">
        <f t="shared" si="5"/>
        <v>8</v>
      </c>
      <c r="Z49" s="5">
        <f t="shared" si="6"/>
        <v>2024</v>
      </c>
      <c r="AA49" t="str">
        <f t="shared" si="7"/>
        <v>Clean</v>
      </c>
    </row>
    <row r="50" spans="1:27" x14ac:dyDescent="0.3">
      <c r="A50" t="str">
        <f>[1]raw_orders!A50</f>
        <v>ORD-2025-10049</v>
      </c>
      <c r="B50" s="4">
        <f>IFERROR(DATEVALUE([1]raw_orders!B50), "Invalid Date")</f>
        <v>45687</v>
      </c>
      <c r="C50" s="4">
        <f>IFERROR(DATEVALUE([1]raw_orders!C50), "Invalid Date")</f>
        <v>45693</v>
      </c>
      <c r="D50" t="str">
        <f>[1]raw_orders!D50</f>
        <v>CUST-8183</v>
      </c>
      <c r="E50" t="str">
        <f>PROPER(TRIM([1]raw_orders!E50))</f>
        <v>Neha Gupta</v>
      </c>
      <c r="F50" t="str">
        <f>PROPER(TRIM([1]raw_orders!F50))</f>
        <v>Corporate</v>
      </c>
      <c r="G50" t="str">
        <f>IF(TRIM([1]raw_orders!G50)="","Unknown",PROPER(TRIM([1]raw_orders!G50)))</f>
        <v>West</v>
      </c>
      <c r="H50" t="str">
        <f>PROPER(TRIM([1]raw_orders!H50))</f>
        <v>Maharashtra</v>
      </c>
      <c r="I50" t="str">
        <f>PROPER(TRIM([1]raw_orders!I50))</f>
        <v>Mumbai</v>
      </c>
      <c r="J50" t="str">
        <f>PROPER(TRIM([1]raw_orders!J50))</f>
        <v>Furniture</v>
      </c>
      <c r="K50" t="str">
        <f>PROPER(TRIM([1]raw_orders!K50))</f>
        <v>Chairs</v>
      </c>
      <c r="L50" t="str">
        <f>[1]raw_orders!L50</f>
        <v>Basic Chairs 837</v>
      </c>
      <c r="M50" t="str">
        <f>IF(TRIM([1]raw_orders!M50)="","Unknown",PROPER(TRIM([1]raw_orders!M50)))</f>
        <v>Second Class</v>
      </c>
      <c r="N50" s="5">
        <f>[1]raw_orders!N50</f>
        <v>7</v>
      </c>
      <c r="O50" s="5">
        <f>[1]raw_orders!O50</f>
        <v>4063.66</v>
      </c>
      <c r="P50" s="5">
        <f>[1]raw_orders!P50</f>
        <v>0</v>
      </c>
      <c r="Q50" t="str">
        <f>PROPER(TRIM([1]raw_orders!T50))</f>
        <v>Paid</v>
      </c>
      <c r="R50" t="str">
        <f>PROPER(TRIM([1]raw_orders!U50))</f>
        <v>Completed</v>
      </c>
      <c r="S50" s="5">
        <f>[1]raw_orders!S50</f>
        <v>7507.03</v>
      </c>
      <c r="T50" s="5">
        <f t="shared" si="0"/>
        <v>75.070300000000003</v>
      </c>
      <c r="U50" s="5">
        <f t="shared" si="1"/>
        <v>-2106975.607086</v>
      </c>
      <c r="V50" s="5">
        <f t="shared" si="2"/>
        <v>-2106975.607086</v>
      </c>
      <c r="W50" s="5">
        <f t="shared" si="3"/>
        <v>1</v>
      </c>
      <c r="X50" s="5">
        <f t="shared" si="4"/>
        <v>6</v>
      </c>
      <c r="Y50" s="5">
        <f t="shared" si="5"/>
        <v>1</v>
      </c>
      <c r="Z50" s="5">
        <f t="shared" si="6"/>
        <v>2025</v>
      </c>
      <c r="AA50" t="str">
        <f t="shared" si="7"/>
        <v>Clean</v>
      </c>
    </row>
    <row r="51" spans="1:27" x14ac:dyDescent="0.3">
      <c r="A51" t="str">
        <f>[1]raw_orders!A51</f>
        <v>ORD-2024-10050</v>
      </c>
      <c r="B51" s="4">
        <f>IFERROR(DATEVALUE([1]raw_orders!B51), "Invalid Date")</f>
        <v>45388</v>
      </c>
      <c r="C51" s="4">
        <f>IFERROR(DATEVALUE([1]raw_orders!C51), "Invalid Date")</f>
        <v>45395</v>
      </c>
      <c r="D51" t="str">
        <f>[1]raw_orders!D51</f>
        <v>CUST-2380</v>
      </c>
      <c r="E51" t="str">
        <f>PROPER(TRIM([1]raw_orders!E51))</f>
        <v>Aarav Sharma</v>
      </c>
      <c r="F51" t="str">
        <f>PROPER(TRIM([1]raw_orders!F51))</f>
        <v>Home Office</v>
      </c>
      <c r="G51" t="str">
        <f>IF(TRIM([1]raw_orders!G51)="","Unknown",PROPER(TRIM([1]raw_orders!G51)))</f>
        <v>North</v>
      </c>
      <c r="H51" t="str">
        <f>PROPER(TRIM([1]raw_orders!H51))</f>
        <v>Uttar Pradesh</v>
      </c>
      <c r="I51" t="str">
        <f>PROPER(TRIM([1]raw_orders!I51))</f>
        <v>Noida</v>
      </c>
      <c r="J51" t="str">
        <f>PROPER(TRIM([1]raw_orders!J51))</f>
        <v>Technology</v>
      </c>
      <c r="K51" t="str">
        <f>PROPER(TRIM([1]raw_orders!K51))</f>
        <v>Copiers</v>
      </c>
      <c r="L51" t="str">
        <f>[1]raw_orders!L51</f>
        <v>Classic Copiers 295</v>
      </c>
      <c r="M51" t="str">
        <f>IF(TRIM([1]raw_orders!M51)="","Unknown",PROPER(TRIM([1]raw_orders!M51)))</f>
        <v>Second Class</v>
      </c>
      <c r="N51" s="5">
        <f>[1]raw_orders!N51</f>
        <v>9</v>
      </c>
      <c r="O51" s="5">
        <f>[1]raw_orders!O51</f>
        <v>792.11</v>
      </c>
      <c r="P51" s="5">
        <f>[1]raw_orders!P51</f>
        <v>0.05</v>
      </c>
      <c r="Q51" t="str">
        <f>PROPER(TRIM([1]raw_orders!T51))</f>
        <v>Paid</v>
      </c>
      <c r="R51" t="str">
        <f>PROPER(TRIM([1]raw_orders!U51))</f>
        <v>Completed</v>
      </c>
      <c r="S51" s="5">
        <f>[1]raw_orders!S51</f>
        <v>1017.08</v>
      </c>
      <c r="T51" s="5">
        <f t="shared" si="0"/>
        <v>10.1708</v>
      </c>
      <c r="U51" s="5">
        <f t="shared" si="1"/>
        <v>-65378.541491999997</v>
      </c>
      <c r="V51" s="5">
        <f t="shared" si="2"/>
        <v>-65378.591492</v>
      </c>
      <c r="W51" s="5">
        <f t="shared" si="3"/>
        <v>1.0000007647769262</v>
      </c>
      <c r="X51" s="5">
        <f t="shared" si="4"/>
        <v>7</v>
      </c>
      <c r="Y51" s="5">
        <f t="shared" si="5"/>
        <v>4</v>
      </c>
      <c r="Z51" s="5">
        <f t="shared" si="6"/>
        <v>2024</v>
      </c>
      <c r="AA51" t="str">
        <f t="shared" si="7"/>
        <v>Clean</v>
      </c>
    </row>
    <row r="52" spans="1:27" x14ac:dyDescent="0.3">
      <c r="A52" t="str">
        <f>[1]raw_orders!A52</f>
        <v>ORD-2025-10051</v>
      </c>
      <c r="B52" s="4">
        <f>IFERROR(DATEVALUE([1]raw_orders!B52), "Invalid Date")</f>
        <v>45966</v>
      </c>
      <c r="C52" s="4">
        <f>IFERROR(DATEVALUE([1]raw_orders!C52), "Invalid Date")</f>
        <v>45796</v>
      </c>
      <c r="D52" t="str">
        <f>[1]raw_orders!D52</f>
        <v>CUST-8787</v>
      </c>
      <c r="E52" t="str">
        <f>PROPER(TRIM([1]raw_orders!E52))</f>
        <v>Sneha Kapoor</v>
      </c>
      <c r="F52" t="str">
        <f>PROPER(TRIM([1]raw_orders!F52))</f>
        <v>Consumer</v>
      </c>
      <c r="G52" t="str">
        <f>IF(TRIM([1]raw_orders!G52)="","Unknown",PROPER(TRIM([1]raw_orders!G52)))</f>
        <v>East</v>
      </c>
      <c r="H52" t="str">
        <f>PROPER(TRIM([1]raw_orders!H52))</f>
        <v>West Bengal</v>
      </c>
      <c r="I52" t="str">
        <f>PROPER(TRIM([1]raw_orders!I52))</f>
        <v>Kolkata</v>
      </c>
      <c r="J52" t="str">
        <f>PROPER(TRIM([1]raw_orders!J52))</f>
        <v>Technology</v>
      </c>
      <c r="K52" t="str">
        <f>PROPER(TRIM([1]raw_orders!K52))</f>
        <v>Copiers</v>
      </c>
      <c r="L52" t="str">
        <f>[1]raw_orders!L52</f>
        <v>Pro Copiers 963</v>
      </c>
      <c r="M52" t="str">
        <f>IF(TRIM([1]raw_orders!M52)="","Unknown",PROPER(TRIM([1]raw_orders!M52)))</f>
        <v>Standard Class</v>
      </c>
      <c r="N52" s="5">
        <f>[1]raw_orders!N52</f>
        <v>1</v>
      </c>
      <c r="O52" s="5">
        <f>[1]raw_orders!O52</f>
        <v>2382.8000000000002</v>
      </c>
      <c r="P52" s="5">
        <f>[1]raw_orders!P52</f>
        <v>0.15</v>
      </c>
      <c r="Q52" t="str">
        <f>PROPER(TRIM([1]raw_orders!T52))</f>
        <v>Paid</v>
      </c>
      <c r="R52" t="str">
        <f>PROPER(TRIM([1]raw_orders!U52))</f>
        <v>Completed</v>
      </c>
      <c r="S52" s="5">
        <f>[1]raw_orders!S52</f>
        <v>884.73</v>
      </c>
      <c r="T52" s="5">
        <f t="shared" si="0"/>
        <v>8.8473000000000006</v>
      </c>
      <c r="U52" s="5">
        <f t="shared" si="1"/>
        <v>-18698.546440000002</v>
      </c>
      <c r="V52" s="5">
        <f t="shared" si="2"/>
        <v>-18698.696440000003</v>
      </c>
      <c r="W52" s="5">
        <f t="shared" si="3"/>
        <v>1.0000080220139294</v>
      </c>
      <c r="X52" s="5">
        <f t="shared" si="4"/>
        <v>-170</v>
      </c>
      <c r="Y52" s="5">
        <f t="shared" si="5"/>
        <v>11</v>
      </c>
      <c r="Z52" s="5">
        <f t="shared" si="6"/>
        <v>2025</v>
      </c>
      <c r="AA52" t="str">
        <f t="shared" si="7"/>
        <v>Invalid</v>
      </c>
    </row>
    <row r="53" spans="1:27" x14ac:dyDescent="0.3">
      <c r="A53" t="str">
        <f>[1]raw_orders!A53</f>
        <v>ORD-2024-10052</v>
      </c>
      <c r="B53" s="4">
        <f>IFERROR(DATEVALUE([1]raw_orders!B53), "Invalid Date")</f>
        <v>45406</v>
      </c>
      <c r="C53" s="4">
        <f>IFERROR(DATEVALUE([1]raw_orders!C53), "Invalid Date")</f>
        <v>45411</v>
      </c>
      <c r="D53" t="str">
        <f>[1]raw_orders!D53</f>
        <v>CUST-3557</v>
      </c>
      <c r="E53" t="str">
        <f>PROPER(TRIM([1]raw_orders!E53))</f>
        <v>Ananya Rao</v>
      </c>
      <c r="F53" t="str">
        <f>PROPER(TRIM([1]raw_orders!F53))</f>
        <v>Corporate</v>
      </c>
      <c r="G53" t="str">
        <f>IF(TRIM([1]raw_orders!G53)="","Unknown",PROPER(TRIM([1]raw_orders!G53)))</f>
        <v>South</v>
      </c>
      <c r="H53" t="str">
        <f>PROPER(TRIM([1]raw_orders!H53))</f>
        <v>Telangana</v>
      </c>
      <c r="I53" t="str">
        <f>PROPER(TRIM([1]raw_orders!I53))</f>
        <v>Hyderabad</v>
      </c>
      <c r="J53" t="str">
        <f>PROPER(TRIM([1]raw_orders!J53))</f>
        <v>Office Supplies</v>
      </c>
      <c r="K53" t="str">
        <f>PROPER(TRIM([1]raw_orders!K53))</f>
        <v>Art</v>
      </c>
      <c r="L53" t="str">
        <f>[1]raw_orders!L53</f>
        <v>Pro Art 907</v>
      </c>
      <c r="M53" t="str">
        <f>IF(TRIM([1]raw_orders!M53)="","Unknown",PROPER(TRIM([1]raw_orders!M53)))</f>
        <v>Standard Class</v>
      </c>
      <c r="N53" s="5">
        <f>[1]raw_orders!N53</f>
        <v>6</v>
      </c>
      <c r="O53" s="5">
        <f>[1]raw_orders!O53</f>
        <v>1528.08</v>
      </c>
      <c r="P53" s="5">
        <f>[1]raw_orders!P53</f>
        <v>0</v>
      </c>
      <c r="Q53" t="str">
        <f>PROPER(TRIM([1]raw_orders!T53))</f>
        <v>Paid</v>
      </c>
      <c r="R53" t="str">
        <f>PROPER(TRIM([1]raw_orders!U53))</f>
        <v>Completed</v>
      </c>
      <c r="S53" s="5">
        <f>[1]raw_orders!S53</f>
        <v>1728.71</v>
      </c>
      <c r="T53" s="5">
        <f t="shared" si="0"/>
        <v>17.287099999999999</v>
      </c>
      <c r="U53" s="5">
        <f t="shared" si="1"/>
        <v>-149327.95060799998</v>
      </c>
      <c r="V53" s="5">
        <f t="shared" si="2"/>
        <v>-149327.95060799998</v>
      </c>
      <c r="W53" s="5">
        <f t="shared" si="3"/>
        <v>1</v>
      </c>
      <c r="X53" s="5">
        <f t="shared" si="4"/>
        <v>5</v>
      </c>
      <c r="Y53" s="5">
        <f t="shared" si="5"/>
        <v>4</v>
      </c>
      <c r="Z53" s="5">
        <f t="shared" si="6"/>
        <v>2024</v>
      </c>
      <c r="AA53" t="str">
        <f t="shared" si="7"/>
        <v>Clean</v>
      </c>
    </row>
    <row r="54" spans="1:27" x14ac:dyDescent="0.3">
      <c r="A54" t="str">
        <f>[1]raw_orders!A54</f>
        <v>ORD-2024-10053</v>
      </c>
      <c r="B54" s="4">
        <f>IFERROR(DATEVALUE([1]raw_orders!B54), "Invalid Date")</f>
        <v>45591</v>
      </c>
      <c r="C54" s="4">
        <f>IFERROR(DATEVALUE([1]raw_orders!C54), "Invalid Date")</f>
        <v>45593</v>
      </c>
      <c r="D54" t="str">
        <f>[1]raw_orders!D54</f>
        <v>CUST-2778</v>
      </c>
      <c r="E54" t="str">
        <f>PROPER(TRIM([1]raw_orders!E54))</f>
        <v>Kabir Singh</v>
      </c>
      <c r="F54" t="str">
        <f>PROPER(TRIM([1]raw_orders!F54))</f>
        <v>Small Business</v>
      </c>
      <c r="G54" t="str">
        <f>IF(TRIM([1]raw_orders!G54)="","Unknown",PROPER(TRIM([1]raw_orders!G54)))</f>
        <v>North</v>
      </c>
      <c r="H54" t="str">
        <f>PROPER(TRIM([1]raw_orders!H54))</f>
        <v>Rajasthan</v>
      </c>
      <c r="I54" t="str">
        <f>PROPER(TRIM([1]raw_orders!I54))</f>
        <v>Jaipur</v>
      </c>
      <c r="J54" t="str">
        <f>PROPER(TRIM([1]raw_orders!J54))</f>
        <v>Furniture</v>
      </c>
      <c r="K54" t="str">
        <f>PROPER(TRIM([1]raw_orders!K54))</f>
        <v>Chairs</v>
      </c>
      <c r="L54" t="str">
        <f>[1]raw_orders!L54</f>
        <v>Pro Chairs 526</v>
      </c>
      <c r="M54" t="str">
        <f>IF(TRIM([1]raw_orders!M54)="","Unknown",PROPER(TRIM([1]raw_orders!M54)))</f>
        <v>First Class</v>
      </c>
      <c r="N54" s="5">
        <f>[1]raw_orders!N54</f>
        <v>9</v>
      </c>
      <c r="O54" s="5">
        <f>[1]raw_orders!O54</f>
        <v>1399.63</v>
      </c>
      <c r="P54" s="5">
        <f>[1]raw_orders!P54</f>
        <v>0</v>
      </c>
      <c r="Q54" t="str">
        <f>PROPER(TRIM([1]raw_orders!T54))</f>
        <v>Failed</v>
      </c>
      <c r="R54" t="str">
        <f>PROPER(TRIM([1]raw_orders!U54))</f>
        <v>Cancelled</v>
      </c>
      <c r="S54" s="5">
        <f>[1]raw_orders!S54</f>
        <v>1993.38</v>
      </c>
      <c r="T54" s="5">
        <f t="shared" si="0"/>
        <v>19.933800000000002</v>
      </c>
      <c r="U54" s="5">
        <f t="shared" si="1"/>
        <v>-238502.83044600007</v>
      </c>
      <c r="V54" s="5">
        <f t="shared" si="2"/>
        <v>-238502.83044600007</v>
      </c>
      <c r="W54" s="5">
        <f t="shared" si="3"/>
        <v>1</v>
      </c>
      <c r="X54" s="5">
        <f t="shared" si="4"/>
        <v>2</v>
      </c>
      <c r="Y54" s="5">
        <f t="shared" si="5"/>
        <v>10</v>
      </c>
      <c r="Z54" s="5">
        <f t="shared" si="6"/>
        <v>2024</v>
      </c>
      <c r="AA54" t="str">
        <f t="shared" si="7"/>
        <v>Clean</v>
      </c>
    </row>
    <row r="55" spans="1:27" x14ac:dyDescent="0.3">
      <c r="A55" t="str">
        <f>[1]raw_orders!A55</f>
        <v>ORD-2025-10054</v>
      </c>
      <c r="B55" s="4">
        <f>IFERROR(DATEVALUE([1]raw_orders!B55), "Invalid Date")</f>
        <v>45747</v>
      </c>
      <c r="C55" s="4">
        <f>IFERROR(DATEVALUE([1]raw_orders!C55), "Invalid Date")</f>
        <v>45747</v>
      </c>
      <c r="D55" t="str">
        <f>[1]raw_orders!D55</f>
        <v>CUST-7195</v>
      </c>
      <c r="E55" t="str">
        <f>PROPER(TRIM([1]raw_orders!E55))</f>
        <v>Kabir Singh</v>
      </c>
      <c r="F55" t="str">
        <f>PROPER(TRIM([1]raw_orders!F55))</f>
        <v>Home Office</v>
      </c>
      <c r="G55" t="str">
        <f>IF(TRIM([1]raw_orders!G55)="","Unknown",PROPER(TRIM([1]raw_orders!G55)))</f>
        <v>West</v>
      </c>
      <c r="H55" t="str">
        <f>PROPER(TRIM([1]raw_orders!H55))</f>
        <v>Gujarat</v>
      </c>
      <c r="I55" t="str">
        <f>PROPER(TRIM([1]raw_orders!I55))</f>
        <v>Ahmedabad</v>
      </c>
      <c r="J55" t="str">
        <f>PROPER(TRIM([1]raw_orders!J55))</f>
        <v>Office Supplies</v>
      </c>
      <c r="K55" t="str">
        <f>PROPER(TRIM([1]raw_orders!K55))</f>
        <v>Storage</v>
      </c>
      <c r="L55" t="str">
        <f>[1]raw_orders!L55</f>
        <v>Elite Storage 924</v>
      </c>
      <c r="M55" t="str">
        <f>IF(TRIM([1]raw_orders!M55)="","Unknown",PROPER(TRIM([1]raw_orders!M55)))</f>
        <v>First Class</v>
      </c>
      <c r="N55" s="5">
        <f>[1]raw_orders!N55</f>
        <v>5</v>
      </c>
      <c r="O55" s="5">
        <f>[1]raw_orders!O55</f>
        <v>1207.47</v>
      </c>
      <c r="P55" s="5">
        <f>[1]raw_orders!P55</f>
        <v>0.15</v>
      </c>
      <c r="Q55" t="str">
        <f>PROPER(TRIM([1]raw_orders!T55))</f>
        <v>Paid</v>
      </c>
      <c r="R55" t="str">
        <f>PROPER(TRIM([1]raw_orders!U55))</f>
        <v>Completed</v>
      </c>
      <c r="S55" s="5">
        <f>[1]raw_orders!S55</f>
        <v>2293.0700000000002</v>
      </c>
      <c r="T55" s="5">
        <f t="shared" si="0"/>
        <v>22.930700000000002</v>
      </c>
      <c r="U55" s="5">
        <f t="shared" si="1"/>
        <v>-132403.31164500001</v>
      </c>
      <c r="V55" s="5">
        <f t="shared" si="2"/>
        <v>-132403.461645</v>
      </c>
      <c r="W55" s="5">
        <f t="shared" si="3"/>
        <v>1.000001132902177</v>
      </c>
      <c r="X55" s="5">
        <f t="shared" si="4"/>
        <v>0</v>
      </c>
      <c r="Y55" s="5">
        <f t="shared" si="5"/>
        <v>3</v>
      </c>
      <c r="Z55" s="5">
        <f t="shared" si="6"/>
        <v>2025</v>
      </c>
      <c r="AA55" t="str">
        <f t="shared" si="7"/>
        <v>Clean</v>
      </c>
    </row>
    <row r="56" spans="1:27" x14ac:dyDescent="0.3">
      <c r="A56" t="str">
        <f>[1]raw_orders!A56</f>
        <v>ORD-2025-10055</v>
      </c>
      <c r="B56" s="4">
        <f>IFERROR(DATEVALUE([1]raw_orders!B56), "Invalid Date")</f>
        <v>45807</v>
      </c>
      <c r="C56" s="4">
        <f>IFERROR(DATEVALUE([1]raw_orders!C56), "Invalid Date")</f>
        <v>45810</v>
      </c>
      <c r="D56" t="str">
        <f>[1]raw_orders!D56</f>
        <v>CUST-9039</v>
      </c>
      <c r="E56" t="str">
        <f>PROPER(TRIM([1]raw_orders!E56))</f>
        <v>Arjun Bose</v>
      </c>
      <c r="F56" t="str">
        <f>PROPER(TRIM([1]raw_orders!F56))</f>
        <v>Corporate</v>
      </c>
      <c r="G56" t="str">
        <f>IF(TRIM([1]raw_orders!G56)="","Unknown",PROPER(TRIM([1]raw_orders!G56)))</f>
        <v>South</v>
      </c>
      <c r="H56" t="str">
        <f>PROPER(TRIM([1]raw_orders!H56))</f>
        <v>Tamil Nadu</v>
      </c>
      <c r="I56" t="str">
        <f>PROPER(TRIM([1]raw_orders!I56))</f>
        <v>Chennai</v>
      </c>
      <c r="J56" t="str">
        <f>PROPER(TRIM([1]raw_orders!J56))</f>
        <v>Office Supplies</v>
      </c>
      <c r="K56" t="str">
        <f>PROPER(TRIM([1]raw_orders!K56))</f>
        <v>Labels</v>
      </c>
      <c r="L56" t="str">
        <f>[1]raw_orders!L56</f>
        <v>Pro Labels 957</v>
      </c>
      <c r="M56" t="str">
        <f>IF(TRIM([1]raw_orders!M56)="","Unknown",PROPER(TRIM([1]raw_orders!M56)))</f>
        <v>Same Day</v>
      </c>
      <c r="N56" s="5">
        <f>[1]raw_orders!N56</f>
        <v>8</v>
      </c>
      <c r="O56" s="5">
        <f>[1]raw_orders!O56</f>
        <v>474.37</v>
      </c>
      <c r="P56" s="5">
        <f>[1]raw_orders!P56</f>
        <v>0.1</v>
      </c>
      <c r="Q56" t="str">
        <f>PROPER(TRIM([1]raw_orders!T56))</f>
        <v>Failed</v>
      </c>
      <c r="R56" t="str">
        <f>PROPER(TRIM([1]raw_orders!U56))</f>
        <v>Cancelled</v>
      </c>
      <c r="S56" s="5">
        <f>[1]raw_orders!S56</f>
        <v>1422.23</v>
      </c>
      <c r="T56" s="5">
        <f t="shared" si="0"/>
        <v>14.222300000000001</v>
      </c>
      <c r="U56" s="5">
        <f t="shared" si="1"/>
        <v>-50178.099608000004</v>
      </c>
      <c r="V56" s="5">
        <f t="shared" si="2"/>
        <v>-50178.199608000003</v>
      </c>
      <c r="W56" s="5">
        <f t="shared" si="3"/>
        <v>1.0000019929013011</v>
      </c>
      <c r="X56" s="5">
        <f t="shared" si="4"/>
        <v>3</v>
      </c>
      <c r="Y56" s="5">
        <f t="shared" si="5"/>
        <v>5</v>
      </c>
      <c r="Z56" s="5">
        <f t="shared" si="6"/>
        <v>2025</v>
      </c>
      <c r="AA56" t="str">
        <f t="shared" si="7"/>
        <v>Clean</v>
      </c>
    </row>
    <row r="57" spans="1:27" x14ac:dyDescent="0.3">
      <c r="A57" t="str">
        <f>[1]raw_orders!A57</f>
        <v>ORD-2025-10056</v>
      </c>
      <c r="B57" s="4">
        <f>IFERROR(DATEVALUE([1]raw_orders!B57), "Invalid Date")</f>
        <v>45839</v>
      </c>
      <c r="C57" s="4">
        <f>IFERROR(DATEVALUE([1]raw_orders!C57), "Invalid Date")</f>
        <v>45841</v>
      </c>
      <c r="D57" t="str">
        <f>[1]raw_orders!D57</f>
        <v>CUST-9821</v>
      </c>
      <c r="E57" t="str">
        <f>PROPER(TRIM([1]raw_orders!E57))</f>
        <v>Mira Das</v>
      </c>
      <c r="F57" t="str">
        <f>PROPER(TRIM([1]raw_orders!F57))</f>
        <v>Small Business</v>
      </c>
      <c r="G57" t="str">
        <f>IF(TRIM([1]raw_orders!G57)="","Unknown",PROPER(TRIM([1]raw_orders!G57)))</f>
        <v>South</v>
      </c>
      <c r="H57" t="str">
        <f>PROPER(TRIM([1]raw_orders!H57))</f>
        <v>Andhra Pradesh</v>
      </c>
      <c r="I57" t="str">
        <f>PROPER(TRIM([1]raw_orders!I57))</f>
        <v>Vijayawada</v>
      </c>
      <c r="J57" t="str">
        <f>PROPER(TRIM([1]raw_orders!J57))</f>
        <v>Technology</v>
      </c>
      <c r="K57" t="str">
        <f>PROPER(TRIM([1]raw_orders!K57))</f>
        <v>Machines</v>
      </c>
      <c r="L57" t="str">
        <f>[1]raw_orders!L57</f>
        <v>Classic Machines 310</v>
      </c>
      <c r="M57" t="str">
        <f>IF(TRIM([1]raw_orders!M57)="","Unknown",PROPER(TRIM([1]raw_orders!M57)))</f>
        <v>Same Day</v>
      </c>
      <c r="N57" s="5">
        <f>[1]raw_orders!N57</f>
        <v>3</v>
      </c>
      <c r="O57" s="5">
        <f>[1]raw_orders!O57</f>
        <v>1516.24</v>
      </c>
      <c r="P57" s="5">
        <f>[1]raw_orders!P57</f>
        <v>0.25</v>
      </c>
      <c r="Q57" t="str">
        <f>PROPER(TRIM([1]raw_orders!T57))</f>
        <v>Paid</v>
      </c>
      <c r="R57" t="str">
        <f>PROPER(TRIM([1]raw_orders!U57))</f>
        <v>Completed</v>
      </c>
      <c r="S57" s="5">
        <f>[1]raw_orders!S57</f>
        <v>608.41</v>
      </c>
      <c r="T57" s="5">
        <f t="shared" si="0"/>
        <v>6.0840999999999994</v>
      </c>
      <c r="U57" s="5">
        <f t="shared" si="1"/>
        <v>-23126.147352</v>
      </c>
      <c r="V57" s="5">
        <f t="shared" si="2"/>
        <v>-23126.397352</v>
      </c>
      <c r="W57" s="5">
        <f t="shared" si="3"/>
        <v>1.0000108102744567</v>
      </c>
      <c r="X57" s="5">
        <f t="shared" si="4"/>
        <v>2</v>
      </c>
      <c r="Y57" s="5">
        <f t="shared" si="5"/>
        <v>7</v>
      </c>
      <c r="Z57" s="5">
        <f t="shared" si="6"/>
        <v>2025</v>
      </c>
      <c r="AA57" t="str">
        <f t="shared" si="7"/>
        <v>Clean</v>
      </c>
    </row>
    <row r="58" spans="1:27" x14ac:dyDescent="0.3">
      <c r="A58" t="str">
        <f>[1]raw_orders!A58</f>
        <v>ORD-2025-10057</v>
      </c>
      <c r="B58" s="4">
        <f>IFERROR(DATEVALUE([1]raw_orders!B58), "Invalid Date")</f>
        <v>45662</v>
      </c>
      <c r="C58" s="4">
        <f>IFERROR(DATEVALUE([1]raw_orders!C58), "Invalid Date")</f>
        <v>45663</v>
      </c>
      <c r="D58" t="str">
        <f>[1]raw_orders!D58</f>
        <v>CUST-8701</v>
      </c>
      <c r="E58" t="str">
        <f>PROPER(TRIM([1]raw_orders!E58))</f>
        <v>Karan Malhotra</v>
      </c>
      <c r="F58" t="str">
        <f>PROPER(TRIM([1]raw_orders!F58))</f>
        <v>Consumer</v>
      </c>
      <c r="G58" t="str">
        <f>IF(TRIM([1]raw_orders!G58)="","Unknown",PROPER(TRIM([1]raw_orders!G58)))</f>
        <v>South</v>
      </c>
      <c r="H58" t="str">
        <f>PROPER(TRIM([1]raw_orders!H58))</f>
        <v>Karnataka</v>
      </c>
      <c r="I58" t="str">
        <f>PROPER(TRIM([1]raw_orders!I58))</f>
        <v>Bengaluru</v>
      </c>
      <c r="J58" t="str">
        <f>PROPER(TRIM([1]raw_orders!J58))</f>
        <v>Office Supplies</v>
      </c>
      <c r="K58" t="str">
        <f>PROPER(TRIM([1]raw_orders!K58))</f>
        <v>Binders</v>
      </c>
      <c r="L58" t="str">
        <f>[1]raw_orders!L58</f>
        <v>Smart Binders 393</v>
      </c>
      <c r="M58" t="str">
        <f>IF(TRIM([1]raw_orders!M58)="","Unknown",PROPER(TRIM([1]raw_orders!M58)))</f>
        <v>Second Class</v>
      </c>
      <c r="N58" s="5">
        <f>[1]raw_orders!N58</f>
        <v>3</v>
      </c>
      <c r="O58" s="5">
        <f>[1]raw_orders!O58</f>
        <v>3155.61</v>
      </c>
      <c r="P58" s="5">
        <f>[1]raw_orders!P58</f>
        <v>0</v>
      </c>
      <c r="Q58" t="str">
        <f>PROPER(TRIM([1]raw_orders!T58))</f>
        <v>Refunded</v>
      </c>
      <c r="R58" t="str">
        <f>PROPER(TRIM([1]raw_orders!U58))</f>
        <v>Cancelled</v>
      </c>
      <c r="S58" s="5">
        <f>[1]raw_orders!S58</f>
        <v>2909</v>
      </c>
      <c r="T58" s="5">
        <f t="shared" si="0"/>
        <v>29.09</v>
      </c>
      <c r="U58" s="5">
        <f t="shared" si="1"/>
        <v>-265923.25469999999</v>
      </c>
      <c r="V58" s="5">
        <f t="shared" si="2"/>
        <v>-265923.25469999999</v>
      </c>
      <c r="W58" s="5">
        <f t="shared" si="3"/>
        <v>1</v>
      </c>
      <c r="X58" s="5">
        <f t="shared" si="4"/>
        <v>1</v>
      </c>
      <c r="Y58" s="5">
        <f t="shared" si="5"/>
        <v>1</v>
      </c>
      <c r="Z58" s="5">
        <f t="shared" si="6"/>
        <v>2025</v>
      </c>
      <c r="AA58" t="str">
        <f t="shared" si="7"/>
        <v>Clean</v>
      </c>
    </row>
    <row r="59" spans="1:27" x14ac:dyDescent="0.3">
      <c r="A59" t="str">
        <f>[1]raw_orders!A59</f>
        <v>ORD-2024-10058</v>
      </c>
      <c r="B59" s="4">
        <f>IFERROR(DATEVALUE([1]raw_orders!B59), "Invalid Date")</f>
        <v>45329</v>
      </c>
      <c r="C59" s="4">
        <f>IFERROR(DATEVALUE([1]raw_orders!C59), "Invalid Date")</f>
        <v>45337</v>
      </c>
      <c r="D59" t="str">
        <f>[1]raw_orders!D59</f>
        <v>CUST-9941</v>
      </c>
      <c r="E59" t="str">
        <f>PROPER(TRIM([1]raw_orders!E59))</f>
        <v>Priya Menon</v>
      </c>
      <c r="F59" t="str">
        <f>PROPER(TRIM([1]raw_orders!F59))</f>
        <v>Consumer</v>
      </c>
      <c r="G59" t="str">
        <f>IF(TRIM([1]raw_orders!G59)="","Unknown",PROPER(TRIM([1]raw_orders!G59)))</f>
        <v>West</v>
      </c>
      <c r="H59" t="str">
        <f>PROPER(TRIM([1]raw_orders!H59))</f>
        <v>Goa</v>
      </c>
      <c r="I59" t="str">
        <f>PROPER(TRIM([1]raw_orders!I59))</f>
        <v>Panaji</v>
      </c>
      <c r="J59" t="str">
        <f>PROPER(TRIM([1]raw_orders!J59))</f>
        <v>Furniture</v>
      </c>
      <c r="K59" t="str">
        <f>PROPER(TRIM([1]raw_orders!K59))</f>
        <v>Chairs</v>
      </c>
      <c r="L59" t="str">
        <f>[1]raw_orders!L59</f>
        <v>Max Chairs 813</v>
      </c>
      <c r="M59" t="str">
        <f>IF(TRIM([1]raw_orders!M59)="","Unknown",PROPER(TRIM([1]raw_orders!M59)))</f>
        <v>Same Day</v>
      </c>
      <c r="N59" s="5">
        <f>[1]raw_orders!N59</f>
        <v>5</v>
      </c>
      <c r="O59" s="5">
        <f>[1]raw_orders!O59</f>
        <v>255.87</v>
      </c>
      <c r="P59" s="5">
        <f>[1]raw_orders!P59</f>
        <v>0</v>
      </c>
      <c r="Q59" t="str">
        <f>PROPER(TRIM([1]raw_orders!T59))</f>
        <v>Paid</v>
      </c>
      <c r="R59" t="str">
        <f>PROPER(TRIM([1]raw_orders!U59))</f>
        <v>Completed</v>
      </c>
      <c r="S59" s="5">
        <f>[1]raw_orders!S59</f>
        <v>187.81</v>
      </c>
      <c r="T59" s="5">
        <f t="shared" si="0"/>
        <v>1.8781000000000001</v>
      </c>
      <c r="U59" s="5">
        <f t="shared" si="1"/>
        <v>-1123.3972350000001</v>
      </c>
      <c r="V59" s="5">
        <f t="shared" si="2"/>
        <v>-1123.3972350000001</v>
      </c>
      <c r="W59" s="5">
        <f t="shared" si="3"/>
        <v>1</v>
      </c>
      <c r="X59" s="5">
        <f t="shared" si="4"/>
        <v>8</v>
      </c>
      <c r="Y59" s="5">
        <f t="shared" si="5"/>
        <v>2</v>
      </c>
      <c r="Z59" s="5">
        <f t="shared" si="6"/>
        <v>2024</v>
      </c>
      <c r="AA59" t="str">
        <f t="shared" si="7"/>
        <v>Clean</v>
      </c>
    </row>
    <row r="60" spans="1:27" x14ac:dyDescent="0.3">
      <c r="A60" t="str">
        <f>[1]raw_orders!A60</f>
        <v>ORD-2024-10059</v>
      </c>
      <c r="B60" s="4">
        <f>IFERROR(DATEVALUE([1]raw_orders!B60), "Invalid Date")</f>
        <v>45536</v>
      </c>
      <c r="C60" s="4">
        <f>IFERROR(DATEVALUE([1]raw_orders!C60), "Invalid Date")</f>
        <v>45542</v>
      </c>
      <c r="D60" t="str">
        <f>[1]raw_orders!D60</f>
        <v>CUST-3983</v>
      </c>
      <c r="E60" t="str">
        <f>PROPER(TRIM([1]raw_orders!E60))</f>
        <v>Isha Nair</v>
      </c>
      <c r="F60" t="str">
        <f>PROPER(TRIM([1]raw_orders!F60))</f>
        <v>Home Office</v>
      </c>
      <c r="G60" t="str">
        <f>IF(TRIM([1]raw_orders!G60)="","Unknown",PROPER(TRIM([1]raw_orders!G60)))</f>
        <v>North</v>
      </c>
      <c r="H60" t="str">
        <f>PROPER(TRIM([1]raw_orders!H60))</f>
        <v>Rajasthan</v>
      </c>
      <c r="I60" t="str">
        <f>PROPER(TRIM([1]raw_orders!I60))</f>
        <v>Jaipur</v>
      </c>
      <c r="J60" t="str">
        <f>PROPER(TRIM([1]raw_orders!J60))</f>
        <v>Office Supplies</v>
      </c>
      <c r="K60" t="str">
        <f>PROPER(TRIM([1]raw_orders!K60))</f>
        <v>Storage</v>
      </c>
      <c r="L60" t="str">
        <f>[1]raw_orders!L60</f>
        <v>Basic Storage 872</v>
      </c>
      <c r="M60" t="str">
        <f>IF(TRIM([1]raw_orders!M60)="","Unknown",PROPER(TRIM([1]raw_orders!M60)))</f>
        <v>Unknown</v>
      </c>
      <c r="N60" s="5">
        <f>[1]raw_orders!N60</f>
        <v>9</v>
      </c>
      <c r="O60" s="5">
        <f>[1]raw_orders!O60</f>
        <v>1389.48</v>
      </c>
      <c r="P60" s="5">
        <f>[1]raw_orders!P60</f>
        <v>0.1</v>
      </c>
      <c r="Q60" t="str">
        <f>PROPER(TRIM([1]raw_orders!T60))</f>
        <v>Pending</v>
      </c>
      <c r="R60" t="str">
        <f>PROPER(TRIM([1]raw_orders!U60))</f>
        <v>Returned</v>
      </c>
      <c r="S60" s="5">
        <f>[1]raw_orders!S60</f>
        <v>4676.7299999999996</v>
      </c>
      <c r="T60" s="5">
        <f t="shared" si="0"/>
        <v>46.767299999999999</v>
      </c>
      <c r="U60" s="5">
        <f t="shared" si="1"/>
        <v>-572334.732036</v>
      </c>
      <c r="V60" s="5">
        <f t="shared" si="2"/>
        <v>-572334.83203599998</v>
      </c>
      <c r="W60" s="5">
        <f t="shared" si="3"/>
        <v>1.0000001747229277</v>
      </c>
      <c r="X60" s="5">
        <f t="shared" si="4"/>
        <v>6</v>
      </c>
      <c r="Y60" s="5">
        <f t="shared" si="5"/>
        <v>9</v>
      </c>
      <c r="Z60" s="5">
        <f t="shared" si="6"/>
        <v>2024</v>
      </c>
      <c r="AA60" t="str">
        <f t="shared" si="7"/>
        <v>Warning</v>
      </c>
    </row>
    <row r="61" spans="1:27" x14ac:dyDescent="0.3">
      <c r="A61" t="str">
        <f>[1]raw_orders!A61</f>
        <v>ORD-2024-10060</v>
      </c>
      <c r="B61" s="4">
        <f>IFERROR(DATEVALUE([1]raw_orders!B61), "Invalid Date")</f>
        <v>45493</v>
      </c>
      <c r="C61" s="4">
        <f>IFERROR(DATEVALUE([1]raw_orders!C61), "Invalid Date")</f>
        <v>45498</v>
      </c>
      <c r="D61" t="str">
        <f>[1]raw_orders!D61</f>
        <v>CUST-2418</v>
      </c>
      <c r="E61" t="str">
        <f>PROPER(TRIM([1]raw_orders!E61))</f>
        <v>Priya Menon</v>
      </c>
      <c r="F61" t="str">
        <f>PROPER(TRIM([1]raw_orders!F61))</f>
        <v>Corporate</v>
      </c>
      <c r="G61" t="str">
        <f>IF(TRIM([1]raw_orders!G61)="","Unknown",PROPER(TRIM([1]raw_orders!G61)))</f>
        <v>East</v>
      </c>
      <c r="H61" t="str">
        <f>PROPER(TRIM([1]raw_orders!H61))</f>
        <v>Assam</v>
      </c>
      <c r="I61" t="str">
        <f>PROPER(TRIM([1]raw_orders!I61))</f>
        <v>Guwahati</v>
      </c>
      <c r="J61" t="str">
        <f>PROPER(TRIM([1]raw_orders!J61))</f>
        <v>Office Supplies</v>
      </c>
      <c r="K61" t="str">
        <f>PROPER(TRIM([1]raw_orders!K61))</f>
        <v>Labels</v>
      </c>
      <c r="L61" t="str">
        <f>[1]raw_orders!L61</f>
        <v>Smart Labels 655</v>
      </c>
      <c r="M61" t="str">
        <f>IF(TRIM([1]raw_orders!M61)="","Unknown",PROPER(TRIM([1]raw_orders!M61)))</f>
        <v>Same Day</v>
      </c>
      <c r="N61" s="5">
        <f>[1]raw_orders!N61</f>
        <v>5</v>
      </c>
      <c r="O61" s="5">
        <f>[1]raw_orders!O61</f>
        <v>4133.8500000000004</v>
      </c>
      <c r="P61" s="5">
        <f>[1]raw_orders!P61</f>
        <v>0.2</v>
      </c>
      <c r="Q61" t="str">
        <f>PROPER(TRIM([1]raw_orders!T61))</f>
        <v>Paid</v>
      </c>
      <c r="R61" t="str">
        <f>PROPER(TRIM([1]raw_orders!U61))</f>
        <v>Cancelled</v>
      </c>
      <c r="S61" s="5">
        <f>[1]raw_orders!S61</f>
        <v>3545.19</v>
      </c>
      <c r="T61" s="5">
        <f t="shared" si="0"/>
        <v>35.451900000000002</v>
      </c>
      <c r="U61" s="5">
        <f t="shared" si="1"/>
        <v>-712094.934075</v>
      </c>
      <c r="V61" s="5">
        <f t="shared" si="2"/>
        <v>-712095.13407499995</v>
      </c>
      <c r="W61" s="5">
        <f t="shared" si="3"/>
        <v>1.0000002808614279</v>
      </c>
      <c r="X61" s="5">
        <f t="shared" si="4"/>
        <v>5</v>
      </c>
      <c r="Y61" s="5">
        <f t="shared" si="5"/>
        <v>7</v>
      </c>
      <c r="Z61" s="5">
        <f t="shared" si="6"/>
        <v>2024</v>
      </c>
      <c r="AA61" t="str">
        <f t="shared" si="7"/>
        <v>Clean</v>
      </c>
    </row>
    <row r="62" spans="1:27" x14ac:dyDescent="0.3">
      <c r="A62" t="str">
        <f>[1]raw_orders!A62</f>
        <v>ORD-2024-10061</v>
      </c>
      <c r="B62" s="4" t="str">
        <f>IFERROR(DATEVALUE([1]raw_orders!B62), "Invalid Date")</f>
        <v>Invalid Date</v>
      </c>
      <c r="C62" s="4">
        <f>IFERROR(DATEVALUE([1]raw_orders!C62), "Invalid Date")</f>
        <v>45492</v>
      </c>
      <c r="D62" t="str">
        <f>[1]raw_orders!D62</f>
        <v>CUST-2892</v>
      </c>
      <c r="E62" t="str">
        <f>PROPER(TRIM([1]raw_orders!E62))</f>
        <v>Ananya Rao</v>
      </c>
      <c r="F62" t="str">
        <f>PROPER(TRIM([1]raw_orders!F62))</f>
        <v>Corporate</v>
      </c>
      <c r="G62" t="str">
        <f>IF(TRIM([1]raw_orders!G62)="","Unknown",PROPER(TRIM([1]raw_orders!G62)))</f>
        <v>East</v>
      </c>
      <c r="H62" t="str">
        <f>PROPER(TRIM([1]raw_orders!H62))</f>
        <v>Assam</v>
      </c>
      <c r="I62" t="str">
        <f>PROPER(TRIM([1]raw_orders!I62))</f>
        <v>Guwahati</v>
      </c>
      <c r="J62" t="str">
        <f>PROPER(TRIM([1]raw_orders!J62))</f>
        <v>Office Supplies</v>
      </c>
      <c r="K62" t="str">
        <f>PROPER(TRIM([1]raw_orders!K62))</f>
        <v>Labels</v>
      </c>
      <c r="L62" t="str">
        <f>[1]raw_orders!L62</f>
        <v>Eco Labels 210</v>
      </c>
      <c r="M62" t="str">
        <f>IF(TRIM([1]raw_orders!M62)="","Unknown",PROPER(TRIM([1]raw_orders!M62)))</f>
        <v>Same Day</v>
      </c>
      <c r="N62" s="5">
        <f>[1]raw_orders!N62</f>
        <v>3</v>
      </c>
      <c r="O62" s="5">
        <f>[1]raw_orders!O62</f>
        <v>275.76</v>
      </c>
      <c r="P62" s="5">
        <f>[1]raw_orders!P62</f>
        <v>0.2</v>
      </c>
      <c r="Q62" t="str">
        <f>PROPER(TRIM([1]raw_orders!T62))</f>
        <v>Refunded</v>
      </c>
      <c r="R62" t="str">
        <f>PROPER(TRIM([1]raw_orders!U62))</f>
        <v>Cancelled</v>
      </c>
      <c r="S62" s="5">
        <f>[1]raw_orders!S62</f>
        <v>180.35</v>
      </c>
      <c r="T62" s="5">
        <f t="shared" si="0"/>
        <v>1.8034999999999999</v>
      </c>
      <c r="U62" s="5">
        <f t="shared" si="1"/>
        <v>-664.71947999999986</v>
      </c>
      <c r="V62" s="5">
        <f t="shared" si="2"/>
        <v>-664.91947999999991</v>
      </c>
      <c r="W62" s="5">
        <f t="shared" si="3"/>
        <v>1.0003008788007839</v>
      </c>
      <c r="X62" s="5" t="str">
        <f t="shared" si="4"/>
        <v>Invalid Date</v>
      </c>
      <c r="Y62" s="5" t="e">
        <f t="shared" si="5"/>
        <v>#VALUE!</v>
      </c>
      <c r="Z62" s="5" t="e">
        <f t="shared" si="6"/>
        <v>#VALUE!</v>
      </c>
      <c r="AA62" t="str">
        <f t="shared" si="7"/>
        <v>Clean</v>
      </c>
    </row>
    <row r="63" spans="1:27" x14ac:dyDescent="0.3">
      <c r="A63" t="str">
        <f>[1]raw_orders!A63</f>
        <v>ORD-2024-10062</v>
      </c>
      <c r="B63" s="4">
        <f>IFERROR(DATEVALUE([1]raw_orders!B63), "Invalid Date")</f>
        <v>45398</v>
      </c>
      <c r="C63" s="4" t="str">
        <f>IFERROR(DATEVALUE([1]raw_orders!C63), "Invalid Date")</f>
        <v>Invalid Date</v>
      </c>
      <c r="D63" t="str">
        <f>[1]raw_orders!D63</f>
        <v>CUST-7008</v>
      </c>
      <c r="E63" t="str">
        <f>PROPER(TRIM([1]raw_orders!E63))</f>
        <v>Vikram Iyer</v>
      </c>
      <c r="F63" t="str">
        <f>PROPER(TRIM([1]raw_orders!F63))</f>
        <v>Home Office</v>
      </c>
      <c r="G63" t="str">
        <f>IF(TRIM([1]raw_orders!G63)="","Unknown",PROPER(TRIM([1]raw_orders!G63)))</f>
        <v>East</v>
      </c>
      <c r="H63" t="str">
        <f>PROPER(TRIM([1]raw_orders!H63))</f>
        <v>Bihar</v>
      </c>
      <c r="I63" t="str">
        <f>PROPER(TRIM([1]raw_orders!I63))</f>
        <v>Patna</v>
      </c>
      <c r="J63" t="str">
        <f>PROPER(TRIM([1]raw_orders!J63))</f>
        <v>Furniture</v>
      </c>
      <c r="K63" t="str">
        <f>PROPER(TRIM([1]raw_orders!K63))</f>
        <v>Bookcases</v>
      </c>
      <c r="L63" t="str">
        <f>[1]raw_orders!L63</f>
        <v>Classic Bookcases 296</v>
      </c>
      <c r="M63" t="str">
        <f>IF(TRIM([1]raw_orders!M63)="","Unknown",PROPER(TRIM([1]raw_orders!M63)))</f>
        <v>Standard Class</v>
      </c>
      <c r="N63" s="5">
        <f>[1]raw_orders!N63</f>
        <v>1</v>
      </c>
      <c r="O63" s="5">
        <f>[1]raw_orders!O63</f>
        <v>949.59</v>
      </c>
      <c r="P63" s="5">
        <f>[1]raw_orders!P63</f>
        <v>0</v>
      </c>
      <c r="Q63" t="str">
        <f>PROPER(TRIM([1]raw_orders!T63))</f>
        <v>Paid</v>
      </c>
      <c r="R63" t="str">
        <f>PROPER(TRIM([1]raw_orders!U63))</f>
        <v>Completed</v>
      </c>
      <c r="S63" s="5">
        <f>[1]raw_orders!S63</f>
        <v>198.34</v>
      </c>
      <c r="T63" s="5">
        <f t="shared" si="0"/>
        <v>1.9834000000000001</v>
      </c>
      <c r="U63" s="5">
        <f t="shared" si="1"/>
        <v>-933.82680600000003</v>
      </c>
      <c r="V63" s="5">
        <f t="shared" si="2"/>
        <v>-933.82680600000003</v>
      </c>
      <c r="W63" s="5">
        <f t="shared" si="3"/>
        <v>1</v>
      </c>
      <c r="X63" s="5" t="str">
        <f t="shared" si="4"/>
        <v>Invalid Date</v>
      </c>
      <c r="Y63" s="5">
        <f t="shared" si="5"/>
        <v>4</v>
      </c>
      <c r="Z63" s="5">
        <f t="shared" si="6"/>
        <v>2024</v>
      </c>
      <c r="AA63" t="str">
        <f t="shared" si="7"/>
        <v>Clean</v>
      </c>
    </row>
    <row r="64" spans="1:27" x14ac:dyDescent="0.3">
      <c r="A64" t="str">
        <f>[1]raw_orders!A64</f>
        <v>ORD-2024-10063</v>
      </c>
      <c r="B64" s="4">
        <f>IFERROR(DATEVALUE([1]raw_orders!B64), "Invalid Date")</f>
        <v>45595</v>
      </c>
      <c r="C64" s="4">
        <f>IFERROR(DATEVALUE([1]raw_orders!C64), "Invalid Date")</f>
        <v>45598</v>
      </c>
      <c r="D64" t="str">
        <f>[1]raw_orders!D64</f>
        <v>CUST-4900</v>
      </c>
      <c r="E64" t="str">
        <f>PROPER(TRIM([1]raw_orders!E64))</f>
        <v>Sneha Kapoor</v>
      </c>
      <c r="F64" t="str">
        <f>PROPER(TRIM([1]raw_orders!F64))</f>
        <v>Home Office</v>
      </c>
      <c r="G64" t="str">
        <f>IF(TRIM([1]raw_orders!G64)="","Unknown",PROPER(TRIM([1]raw_orders!G64)))</f>
        <v>North</v>
      </c>
      <c r="H64" t="str">
        <f>PROPER(TRIM([1]raw_orders!H64))</f>
        <v>Rajasthan</v>
      </c>
      <c r="I64" t="str">
        <f>PROPER(TRIM([1]raw_orders!I64))</f>
        <v>Jaipur</v>
      </c>
      <c r="J64" t="str">
        <f>PROPER(TRIM([1]raw_orders!J64))</f>
        <v>Technology</v>
      </c>
      <c r="K64" t="str">
        <f>PROPER(TRIM([1]raw_orders!K64))</f>
        <v>Phones</v>
      </c>
      <c r="L64" t="str">
        <f>[1]raw_orders!L64</f>
        <v>Basic Phones 230</v>
      </c>
      <c r="M64" t="str">
        <f>IF(TRIM([1]raw_orders!M64)="","Unknown",PROPER(TRIM([1]raw_orders!M64)))</f>
        <v>Standard Class</v>
      </c>
      <c r="N64" s="5">
        <f>[1]raw_orders!N64</f>
        <v>9</v>
      </c>
      <c r="O64" s="5">
        <f>[1]raw_orders!O64</f>
        <v>3042.29</v>
      </c>
      <c r="P64" s="5">
        <f>[1]raw_orders!P64</f>
        <v>0.2</v>
      </c>
      <c r="Q64" t="str">
        <f>PROPER(TRIM([1]raw_orders!T64))</f>
        <v>Paid</v>
      </c>
      <c r="R64" t="str">
        <f>PROPER(TRIM([1]raw_orders!U64))</f>
        <v>Completed</v>
      </c>
      <c r="S64" s="5">
        <f>[1]raw_orders!S64</f>
        <v>8333.94</v>
      </c>
      <c r="T64" s="5">
        <f t="shared" si="0"/>
        <v>83.339400000000012</v>
      </c>
      <c r="U64" s="5">
        <f t="shared" si="1"/>
        <v>-2254502.9990340006</v>
      </c>
      <c r="V64" s="5">
        <f t="shared" si="2"/>
        <v>-2254503.1990340007</v>
      </c>
      <c r="W64" s="5">
        <f t="shared" si="3"/>
        <v>1.000000088711348</v>
      </c>
      <c r="X64" s="5">
        <f t="shared" si="4"/>
        <v>3</v>
      </c>
      <c r="Y64" s="5">
        <f t="shared" si="5"/>
        <v>10</v>
      </c>
      <c r="Z64" s="5">
        <f t="shared" si="6"/>
        <v>2024</v>
      </c>
      <c r="AA64" t="str">
        <f t="shared" si="7"/>
        <v>Clean</v>
      </c>
    </row>
    <row r="65" spans="1:27" x14ac:dyDescent="0.3">
      <c r="A65" t="str">
        <f>[1]raw_orders!A65</f>
        <v>ORD-2024-10064</v>
      </c>
      <c r="B65" s="4">
        <f>IFERROR(DATEVALUE([1]raw_orders!B65), "Invalid Date")</f>
        <v>45316</v>
      </c>
      <c r="C65" s="4">
        <f>IFERROR(DATEVALUE([1]raw_orders!C65), "Invalid Date")</f>
        <v>45323</v>
      </c>
      <c r="D65" t="str">
        <f>[1]raw_orders!D65</f>
        <v>CUST-5382</v>
      </c>
      <c r="E65" t="str">
        <f>PROPER(TRIM([1]raw_orders!E65))</f>
        <v>Sneha Kapoor</v>
      </c>
      <c r="F65" t="str">
        <f>PROPER(TRIM([1]raw_orders!F65))</f>
        <v>Home Office</v>
      </c>
      <c r="G65" t="str">
        <f>IF(TRIM([1]raw_orders!G65)="","Unknown",PROPER(TRIM([1]raw_orders!G65)))</f>
        <v>North</v>
      </c>
      <c r="H65" t="str">
        <f>PROPER(TRIM([1]raw_orders!H65))</f>
        <v>Haryana</v>
      </c>
      <c r="I65" t="str">
        <f>PROPER(TRIM([1]raw_orders!I65))</f>
        <v>Gurugram</v>
      </c>
      <c r="J65" t="str">
        <f>PROPER(TRIM([1]raw_orders!J65))</f>
        <v>Office Supplies</v>
      </c>
      <c r="K65" t="str">
        <f>PROPER(TRIM([1]raw_orders!K65))</f>
        <v>Binders</v>
      </c>
      <c r="L65" t="str">
        <f>[1]raw_orders!L65</f>
        <v>Pro Binders 690</v>
      </c>
      <c r="M65" t="str">
        <f>IF(TRIM([1]raw_orders!M65)="","Unknown",PROPER(TRIM([1]raw_orders!M65)))</f>
        <v>Same Day</v>
      </c>
      <c r="N65" s="5">
        <f>[1]raw_orders!N65</f>
        <v>2</v>
      </c>
      <c r="O65" s="5">
        <f>[1]raw_orders!O65</f>
        <v>2832.77</v>
      </c>
      <c r="P65" s="5">
        <f>[1]raw_orders!P65</f>
        <v>0.15</v>
      </c>
      <c r="Q65" t="str">
        <f>PROPER(TRIM([1]raw_orders!T65))</f>
        <v>Paid</v>
      </c>
      <c r="R65" t="str">
        <f>PROPER(TRIM([1]raw_orders!U65))</f>
        <v>Completed</v>
      </c>
      <c r="S65" s="5">
        <f>[1]raw_orders!S65</f>
        <v>1917.47</v>
      </c>
      <c r="T65" s="5">
        <f t="shared" si="0"/>
        <v>19.174700000000001</v>
      </c>
      <c r="U65" s="5">
        <f t="shared" si="1"/>
        <v>-102969.48983800001</v>
      </c>
      <c r="V65" s="5">
        <f t="shared" si="2"/>
        <v>-102969.639838</v>
      </c>
      <c r="W65" s="5">
        <f t="shared" si="3"/>
        <v>1.0000014567421887</v>
      </c>
      <c r="X65" s="5">
        <f t="shared" si="4"/>
        <v>7</v>
      </c>
      <c r="Y65" s="5">
        <f t="shared" si="5"/>
        <v>1</v>
      </c>
      <c r="Z65" s="5">
        <f t="shared" si="6"/>
        <v>2024</v>
      </c>
      <c r="AA65" t="str">
        <f t="shared" si="7"/>
        <v>Clean</v>
      </c>
    </row>
    <row r="66" spans="1:27" x14ac:dyDescent="0.3">
      <c r="A66" t="str">
        <f>[1]raw_orders!A66</f>
        <v>ORD-2024-10065</v>
      </c>
      <c r="B66" s="4">
        <f>IFERROR(DATEVALUE([1]raw_orders!B66), "Invalid Date")</f>
        <v>45649</v>
      </c>
      <c r="C66" s="4" t="str">
        <f>IFERROR(DATEVALUE([1]raw_orders!C66), "Invalid Date")</f>
        <v>Invalid Date</v>
      </c>
      <c r="D66" t="str">
        <f>[1]raw_orders!D66</f>
        <v>CUST-2749</v>
      </c>
      <c r="E66" t="str">
        <f>PROPER(TRIM([1]raw_orders!E66))</f>
        <v>Aarav Sharma</v>
      </c>
      <c r="F66" t="str">
        <f>PROPER(TRIM([1]raw_orders!F66))</f>
        <v>Corporate</v>
      </c>
      <c r="G66" t="str">
        <f>IF(TRIM([1]raw_orders!G66)="","Unknown",PROPER(TRIM([1]raw_orders!G66)))</f>
        <v>East</v>
      </c>
      <c r="H66" t="str">
        <f>PROPER(TRIM([1]raw_orders!H66))</f>
        <v>Jharkhand</v>
      </c>
      <c r="I66" t="str">
        <f>PROPER(TRIM([1]raw_orders!I66))</f>
        <v>Ranchi</v>
      </c>
      <c r="J66" t="str">
        <f>PROPER(TRIM([1]raw_orders!J66))</f>
        <v>Office Supplies</v>
      </c>
      <c r="K66" t="str">
        <f>PROPER(TRIM([1]raw_orders!K66))</f>
        <v>Paper</v>
      </c>
      <c r="L66" t="str">
        <f>[1]raw_orders!L66</f>
        <v>Classic Paper 458</v>
      </c>
      <c r="M66" t="str">
        <f>IF(TRIM([1]raw_orders!M66)="","Unknown",PROPER(TRIM([1]raw_orders!M66)))</f>
        <v>First Class</v>
      </c>
      <c r="N66" s="5">
        <f>[1]raw_orders!N66</f>
        <v>7</v>
      </c>
      <c r="O66" s="5">
        <f>[1]raw_orders!O66</f>
        <v>447.84</v>
      </c>
      <c r="P66" s="5">
        <f>[1]raw_orders!P66</f>
        <v>0</v>
      </c>
      <c r="Q66" t="str">
        <f>PROPER(TRIM([1]raw_orders!T66))</f>
        <v>Refunded</v>
      </c>
      <c r="R66" t="str">
        <f>PROPER(TRIM([1]raw_orders!U66))</f>
        <v>Returned</v>
      </c>
      <c r="S66" s="5">
        <f>[1]raw_orders!S66</f>
        <v>767.25</v>
      </c>
      <c r="T66" s="5">
        <f t="shared" si="0"/>
        <v>7.6725000000000003</v>
      </c>
      <c r="U66" s="5">
        <f t="shared" si="1"/>
        <v>-20917.486799999999</v>
      </c>
      <c r="V66" s="5">
        <f t="shared" si="2"/>
        <v>-20917.486799999999</v>
      </c>
      <c r="W66" s="5">
        <f t="shared" si="3"/>
        <v>1</v>
      </c>
      <c r="X66" s="5" t="str">
        <f t="shared" si="4"/>
        <v>Invalid Date</v>
      </c>
      <c r="Y66" s="5">
        <f t="shared" si="5"/>
        <v>12</v>
      </c>
      <c r="Z66" s="5">
        <f t="shared" si="6"/>
        <v>2024</v>
      </c>
      <c r="AA66" t="str">
        <f t="shared" si="7"/>
        <v>Clean</v>
      </c>
    </row>
    <row r="67" spans="1:27" x14ac:dyDescent="0.3">
      <c r="A67" t="str">
        <f>[1]raw_orders!A67</f>
        <v>ORD-2024-10066</v>
      </c>
      <c r="B67" s="4">
        <f>IFERROR(DATEVALUE([1]raw_orders!B67), "Invalid Date")</f>
        <v>45404</v>
      </c>
      <c r="C67" s="4">
        <f>IFERROR(DATEVALUE([1]raw_orders!C67), "Invalid Date")</f>
        <v>45409</v>
      </c>
      <c r="D67" t="str">
        <f>[1]raw_orders!D67</f>
        <v>CUST-2463</v>
      </c>
      <c r="E67" t="str">
        <f>PROPER(TRIM([1]raw_orders!E67))</f>
        <v>Mira Das</v>
      </c>
      <c r="F67" t="str">
        <f>PROPER(TRIM([1]raw_orders!F67))</f>
        <v>Home Office</v>
      </c>
      <c r="G67" t="str">
        <f>IF(TRIM([1]raw_orders!G67)="","Unknown",PROPER(TRIM([1]raw_orders!G67)))</f>
        <v>West</v>
      </c>
      <c r="H67" t="str">
        <f>PROPER(TRIM([1]raw_orders!H67))</f>
        <v>Maharashtra</v>
      </c>
      <c r="I67" t="str">
        <f>PROPER(TRIM([1]raw_orders!I67))</f>
        <v>Mumbai</v>
      </c>
      <c r="J67" t="str">
        <f>PROPER(TRIM([1]raw_orders!J67))</f>
        <v>Office Supplies</v>
      </c>
      <c r="K67" t="str">
        <f>PROPER(TRIM([1]raw_orders!K67))</f>
        <v>Paper</v>
      </c>
      <c r="L67" t="str">
        <f>[1]raw_orders!L67</f>
        <v>Pro Paper 552</v>
      </c>
      <c r="M67" t="str">
        <f>IF(TRIM([1]raw_orders!M67)="","Unknown",PROPER(TRIM([1]raw_orders!M67)))</f>
        <v>Second Class</v>
      </c>
      <c r="N67" s="5">
        <f>[1]raw_orders!N67</f>
        <v>1</v>
      </c>
      <c r="O67" s="5">
        <f>[1]raw_orders!O67</f>
        <v>4280.1899999999996</v>
      </c>
      <c r="P67" s="5">
        <f>[1]raw_orders!P67</f>
        <v>0.05</v>
      </c>
      <c r="Q67" t="str">
        <f>PROPER(TRIM([1]raw_orders!T67))</f>
        <v>Paid</v>
      </c>
      <c r="R67" t="str">
        <f>PROPER(TRIM([1]raw_orders!U67))</f>
        <v>Completed</v>
      </c>
      <c r="S67" s="5">
        <f>[1]raw_orders!S67</f>
        <v>1437.26</v>
      </c>
      <c r="T67" s="5">
        <f t="shared" ref="T67:T130" si="8">IF(AND(ISNUMBER(S67),S67&gt;=0,S67&lt;=1),S67,IF(S67="",0,IF(S67&lt;0,"INVALID - Negative",IF(S67&gt;1,S67/100,"INVALID"))))</f>
        <v>14.3726</v>
      </c>
      <c r="U67" s="5">
        <f t="shared" ref="U67:U130" si="9">IF(AND(ISNUMBER(N67),ISNUMBER(O67),OR(ISNUMBER(T67),T67=0)),N67*O67*(1-IF(ISNUMBER(T67),T67,0)),"Calculation Error")</f>
        <v>-57237.268793999996</v>
      </c>
      <c r="V67" s="5">
        <f t="shared" ref="V67:V130" si="10">IF(AND(ISNUMBER(U67),ISNUMBER(P67)),U67-P67,"Calculation Error")</f>
        <v>-57237.318793999999</v>
      </c>
      <c r="W67" s="5">
        <f t="shared" ref="W67:W130" si="11">IF(AND(ISNUMBER(V67),ISNUMBER(U67),U67&lt;&gt;0),V67/U67,IF(U67=0,"N/A","Calculation Error"))</f>
        <v>1.0000008735567063</v>
      </c>
      <c r="X67" s="5">
        <f t="shared" ref="X67:X130" si="12">IF(AND(ISNUMBER(B67),ISNUMBER(C67)),C67-B67,"Invalid Date")</f>
        <v>5</v>
      </c>
      <c r="Y67" s="5">
        <f t="shared" ref="Y67:Y130" si="13">MONTH(B67)</f>
        <v>4</v>
      </c>
      <c r="Z67" s="5">
        <f t="shared" ref="Z67:Z130" si="14">YEAR(B67)</f>
        <v>2024</v>
      </c>
      <c r="AA67" t="str">
        <f t="shared" ref="AA67:AA130" si="15">IF(OR(G67="Unknown",M67="Unknown",T67="INVALID - Negative",T67="INVALID",X67&lt;0,R67="Duplicate ID - Review Required"),IF(OR(T67="INVALID - Negative",T67="INVALID",X67&lt;0,R67="Duplicate ID - Review Required"),"Invalid","Warning"),"Clean")</f>
        <v>Clean</v>
      </c>
    </row>
    <row r="68" spans="1:27" x14ac:dyDescent="0.3">
      <c r="A68" t="str">
        <f>[1]raw_orders!A68</f>
        <v>ORD-2025-10067</v>
      </c>
      <c r="B68" s="4" t="str">
        <f>IFERROR(DATEVALUE([1]raw_orders!B68), "Invalid Date")</f>
        <v>Invalid Date</v>
      </c>
      <c r="C68" s="4">
        <f>IFERROR(DATEVALUE([1]raw_orders!C68), "Invalid Date")</f>
        <v>45901</v>
      </c>
      <c r="D68" t="str">
        <f>[1]raw_orders!D68</f>
        <v>CUST-1504</v>
      </c>
      <c r="E68" t="str">
        <f>PROPER(TRIM([1]raw_orders!E68))</f>
        <v>Karan Malhotra</v>
      </c>
      <c r="F68" t="str">
        <f>PROPER(TRIM([1]raw_orders!F68))</f>
        <v>Small Business</v>
      </c>
      <c r="G68" t="str">
        <f>IF(TRIM([1]raw_orders!G68)="","Unknown",PROPER(TRIM([1]raw_orders!G68)))</f>
        <v>South</v>
      </c>
      <c r="H68" t="str">
        <f>PROPER(TRIM([1]raw_orders!H68))</f>
        <v>Tamil Nadu</v>
      </c>
      <c r="I68" t="str">
        <f>PROPER(TRIM([1]raw_orders!I68))</f>
        <v>Chennai</v>
      </c>
      <c r="J68" t="str">
        <f>PROPER(TRIM([1]raw_orders!J68))</f>
        <v>Technology</v>
      </c>
      <c r="K68" t="str">
        <f>PROPER(TRIM([1]raw_orders!K68))</f>
        <v>Accessories</v>
      </c>
      <c r="L68" t="str">
        <f>[1]raw_orders!L68</f>
        <v>Elite Accessories 187</v>
      </c>
      <c r="M68" t="str">
        <f>IF(TRIM([1]raw_orders!M68)="","Unknown",PROPER(TRIM([1]raw_orders!M68)))</f>
        <v>Same Day</v>
      </c>
      <c r="N68" s="5">
        <f>[1]raw_orders!N68</f>
        <v>7</v>
      </c>
      <c r="O68" s="5">
        <f>[1]raw_orders!O68</f>
        <v>1057.46</v>
      </c>
      <c r="P68" s="5">
        <f>[1]raw_orders!P68</f>
        <v>0.05</v>
      </c>
      <c r="Q68" t="str">
        <f>PROPER(TRIM([1]raw_orders!T68))</f>
        <v>Paid</v>
      </c>
      <c r="R68" t="str">
        <f>PROPER(TRIM([1]raw_orders!U68))</f>
        <v>Completed</v>
      </c>
      <c r="S68" s="5">
        <f>[1]raw_orders!S68</f>
        <v>2421.77</v>
      </c>
      <c r="T68" s="5">
        <f t="shared" si="8"/>
        <v>24.217700000000001</v>
      </c>
      <c r="U68" s="5">
        <f t="shared" si="9"/>
        <v>-171862.52329400001</v>
      </c>
      <c r="V68" s="5">
        <f t="shared" si="10"/>
        <v>-171862.573294</v>
      </c>
      <c r="W68" s="5">
        <f t="shared" si="11"/>
        <v>1.0000002909302099</v>
      </c>
      <c r="X68" s="5" t="str">
        <f t="shared" si="12"/>
        <v>Invalid Date</v>
      </c>
      <c r="Y68" s="5" t="e">
        <f t="shared" si="13"/>
        <v>#VALUE!</v>
      </c>
      <c r="Z68" s="5" t="e">
        <f t="shared" si="14"/>
        <v>#VALUE!</v>
      </c>
      <c r="AA68" t="str">
        <f t="shared" si="15"/>
        <v>Clean</v>
      </c>
    </row>
    <row r="69" spans="1:27" x14ac:dyDescent="0.3">
      <c r="A69" t="str">
        <f>[1]raw_orders!A69</f>
        <v>ORD-2025-10068</v>
      </c>
      <c r="B69" s="4">
        <f>IFERROR(DATEVALUE([1]raw_orders!B69), "Invalid Date")</f>
        <v>45691</v>
      </c>
      <c r="C69" s="4">
        <f>IFERROR(DATEVALUE([1]raw_orders!C69), "Invalid Date")</f>
        <v>45695</v>
      </c>
      <c r="D69" t="str">
        <f>[1]raw_orders!D69</f>
        <v>CUST-8282</v>
      </c>
      <c r="E69" t="str">
        <f>PROPER(TRIM([1]raw_orders!E69))</f>
        <v>Kabir Singh</v>
      </c>
      <c r="F69" t="str">
        <f>PROPER(TRIM([1]raw_orders!F69))</f>
        <v>Consumer</v>
      </c>
      <c r="G69" t="str">
        <f>IF(TRIM([1]raw_orders!G69)="","Unknown",PROPER(TRIM([1]raw_orders!G69)))</f>
        <v>North</v>
      </c>
      <c r="H69" t="str">
        <f>PROPER(TRIM([1]raw_orders!H69))</f>
        <v>Haryana</v>
      </c>
      <c r="I69" t="str">
        <f>PROPER(TRIM([1]raw_orders!I69))</f>
        <v>Gurugram</v>
      </c>
      <c r="J69" t="str">
        <f>PROPER(TRIM([1]raw_orders!J69))</f>
        <v>Office Supplies</v>
      </c>
      <c r="K69" t="str">
        <f>PROPER(TRIM([1]raw_orders!K69))</f>
        <v>Paper</v>
      </c>
      <c r="L69" t="str">
        <f>[1]raw_orders!L69</f>
        <v>Eco Paper 922</v>
      </c>
      <c r="M69" t="str">
        <f>IF(TRIM([1]raw_orders!M69)="","Unknown",PROPER(TRIM([1]raw_orders!M69)))</f>
        <v>First Class</v>
      </c>
      <c r="N69" s="5">
        <f>[1]raw_orders!N69</f>
        <v>7</v>
      </c>
      <c r="O69" s="5">
        <f>[1]raw_orders!O69</f>
        <v>3609.34</v>
      </c>
      <c r="P69" s="5">
        <f>[1]raw_orders!P69</f>
        <v>0.05</v>
      </c>
      <c r="Q69" t="str">
        <f>PROPER(TRIM([1]raw_orders!T69))</f>
        <v>Paid</v>
      </c>
      <c r="R69" t="str">
        <f>PROPER(TRIM([1]raw_orders!U69))</f>
        <v>Completed</v>
      </c>
      <c r="S69" s="5">
        <f>[1]raw_orders!S69</f>
        <v>5294.54</v>
      </c>
      <c r="T69" s="5">
        <f t="shared" si="8"/>
        <v>52.945399999999999</v>
      </c>
      <c r="U69" s="5">
        <f t="shared" si="9"/>
        <v>-1312420.2702520001</v>
      </c>
      <c r="V69" s="5">
        <f t="shared" si="10"/>
        <v>-1312420.3202520001</v>
      </c>
      <c r="W69" s="5">
        <f t="shared" si="11"/>
        <v>1.0000000380975524</v>
      </c>
      <c r="X69" s="5">
        <f t="shared" si="12"/>
        <v>4</v>
      </c>
      <c r="Y69" s="5">
        <f t="shared" si="13"/>
        <v>2</v>
      </c>
      <c r="Z69" s="5">
        <f t="shared" si="14"/>
        <v>2025</v>
      </c>
      <c r="AA69" t="str">
        <f t="shared" si="15"/>
        <v>Clean</v>
      </c>
    </row>
    <row r="70" spans="1:27" x14ac:dyDescent="0.3">
      <c r="A70" t="str">
        <f>[1]raw_orders!A70</f>
        <v>ORD-2024-10069</v>
      </c>
      <c r="B70" s="4">
        <f>IFERROR(DATEVALUE([1]raw_orders!B70), "Invalid Date")</f>
        <v>45576</v>
      </c>
      <c r="C70" s="4">
        <f>IFERROR(DATEVALUE([1]raw_orders!C70), "Invalid Date")</f>
        <v>45609</v>
      </c>
      <c r="D70" t="str">
        <f>[1]raw_orders!D70</f>
        <v>CUST-6054</v>
      </c>
      <c r="E70" t="str">
        <f>PROPER(TRIM([1]raw_orders!E70))</f>
        <v>Isha Nair</v>
      </c>
      <c r="F70" t="str">
        <f>PROPER(TRIM([1]raw_orders!F70))</f>
        <v>Corporate</v>
      </c>
      <c r="G70" t="str">
        <f>IF(TRIM([1]raw_orders!G70)="","Unknown",PROPER(TRIM([1]raw_orders!G70)))</f>
        <v>East</v>
      </c>
      <c r="H70" t="str">
        <f>PROPER(TRIM([1]raw_orders!H70))</f>
        <v>Jharkhand</v>
      </c>
      <c r="I70" t="str">
        <f>PROPER(TRIM([1]raw_orders!I70))</f>
        <v>Ranchi</v>
      </c>
      <c r="J70" t="str">
        <f>PROPER(TRIM([1]raw_orders!J70))</f>
        <v>Office Supplies</v>
      </c>
      <c r="K70" t="str">
        <f>PROPER(TRIM([1]raw_orders!K70))</f>
        <v>Storage</v>
      </c>
      <c r="L70" t="str">
        <f>[1]raw_orders!L70</f>
        <v>Pro Storage 975</v>
      </c>
      <c r="M70" t="str">
        <f>IF(TRIM([1]raw_orders!M70)="","Unknown",PROPER(TRIM([1]raw_orders!M70)))</f>
        <v>Second Class</v>
      </c>
      <c r="N70" s="5">
        <f>[1]raw_orders!N70</f>
        <v>9</v>
      </c>
      <c r="O70" s="5">
        <f>[1]raw_orders!O70</f>
        <v>2211.12</v>
      </c>
      <c r="P70" s="5">
        <f>[1]raw_orders!P70</f>
        <v>0</v>
      </c>
      <c r="Q70" t="str">
        <f>PROPER(TRIM([1]raw_orders!T70))</f>
        <v>Failed</v>
      </c>
      <c r="R70" t="str">
        <f>PROPER(TRIM([1]raw_orders!U70))</f>
        <v>Returned</v>
      </c>
      <c r="S70" s="5">
        <f>[1]raw_orders!S70</f>
        <v>8937.42</v>
      </c>
      <c r="T70" s="5">
        <f t="shared" si="8"/>
        <v>89.374200000000002</v>
      </c>
      <c r="U70" s="5">
        <f t="shared" si="9"/>
        <v>-1758653.6499359999</v>
      </c>
      <c r="V70" s="5">
        <f t="shared" si="10"/>
        <v>-1758653.6499359999</v>
      </c>
      <c r="W70" s="5">
        <f t="shared" si="11"/>
        <v>1</v>
      </c>
      <c r="X70" s="5">
        <f t="shared" si="12"/>
        <v>33</v>
      </c>
      <c r="Y70" s="5">
        <f t="shared" si="13"/>
        <v>10</v>
      </c>
      <c r="Z70" s="5">
        <f t="shared" si="14"/>
        <v>2024</v>
      </c>
      <c r="AA70" t="str">
        <f t="shared" si="15"/>
        <v>Clean</v>
      </c>
    </row>
    <row r="71" spans="1:27" x14ac:dyDescent="0.3">
      <c r="A71" t="str">
        <f>[1]raw_orders!A71</f>
        <v>ORD-2024-10070</v>
      </c>
      <c r="B71" s="4">
        <f>IFERROR(DATEVALUE([1]raw_orders!B71), "Invalid Date")</f>
        <v>45391</v>
      </c>
      <c r="C71" s="4" t="str">
        <f>IFERROR(DATEVALUE([1]raw_orders!C71), "Invalid Date")</f>
        <v>Invalid Date</v>
      </c>
      <c r="D71" t="str">
        <f>[1]raw_orders!D71</f>
        <v>CUST-5979</v>
      </c>
      <c r="E71" t="str">
        <f>PROPER(TRIM([1]raw_orders!E71))</f>
        <v>Neha Gupta</v>
      </c>
      <c r="F71" t="str">
        <f>PROPER(TRIM([1]raw_orders!F71))</f>
        <v>Small Business</v>
      </c>
      <c r="G71" t="str">
        <f>IF(TRIM([1]raw_orders!G71)="","Unknown",PROPER(TRIM([1]raw_orders!G71)))</f>
        <v>West</v>
      </c>
      <c r="H71" t="str">
        <f>PROPER(TRIM([1]raw_orders!H71))</f>
        <v>Gujarat</v>
      </c>
      <c r="I71" t="str">
        <f>PROPER(TRIM([1]raw_orders!I71))</f>
        <v>Ahmedabad</v>
      </c>
      <c r="J71" t="str">
        <f>PROPER(TRIM([1]raw_orders!J71))</f>
        <v>Technology</v>
      </c>
      <c r="K71" t="str">
        <f>PROPER(TRIM([1]raw_orders!K71))</f>
        <v>Machines</v>
      </c>
      <c r="L71" t="str">
        <f>[1]raw_orders!L71</f>
        <v>Prime Machines 782</v>
      </c>
      <c r="M71" t="str">
        <f>IF(TRIM([1]raw_orders!M71)="","Unknown",PROPER(TRIM([1]raw_orders!M71)))</f>
        <v>Same Day</v>
      </c>
      <c r="N71" s="5">
        <f>[1]raw_orders!N71</f>
        <v>7</v>
      </c>
      <c r="O71" s="5">
        <f>[1]raw_orders!O71</f>
        <v>3417.09</v>
      </c>
      <c r="P71" s="5">
        <f>[1]raw_orders!P71</f>
        <v>0.1</v>
      </c>
      <c r="Q71" t="str">
        <f>PROPER(TRIM([1]raw_orders!T71))</f>
        <v>Refunded</v>
      </c>
      <c r="R71" t="str">
        <f>PROPER(TRIM([1]raw_orders!U71))</f>
        <v>Returned</v>
      </c>
      <c r="S71" s="5">
        <f>[1]raw_orders!S71</f>
        <v>3240.09</v>
      </c>
      <c r="T71" s="5">
        <f t="shared" si="8"/>
        <v>32.4009</v>
      </c>
      <c r="U71" s="5">
        <f t="shared" si="9"/>
        <v>-751097.90966700006</v>
      </c>
      <c r="V71" s="5">
        <f t="shared" si="10"/>
        <v>-751098.00966700003</v>
      </c>
      <c r="W71" s="5">
        <f t="shared" si="11"/>
        <v>1.0000001331384347</v>
      </c>
      <c r="X71" s="5" t="str">
        <f t="shared" si="12"/>
        <v>Invalid Date</v>
      </c>
      <c r="Y71" s="5">
        <f t="shared" si="13"/>
        <v>4</v>
      </c>
      <c r="Z71" s="5">
        <f t="shared" si="14"/>
        <v>2024</v>
      </c>
      <c r="AA71" t="str">
        <f t="shared" si="15"/>
        <v>Clean</v>
      </c>
    </row>
    <row r="72" spans="1:27" x14ac:dyDescent="0.3">
      <c r="A72" t="str">
        <f>[1]raw_orders!A72</f>
        <v>ORD-2025-10071</v>
      </c>
      <c r="B72" s="4">
        <f>IFERROR(DATEVALUE([1]raw_orders!B72), "Invalid Date")</f>
        <v>45891</v>
      </c>
      <c r="C72" s="4">
        <f>IFERROR(DATEVALUE([1]raw_orders!C72), "Invalid Date")</f>
        <v>45896</v>
      </c>
      <c r="D72" t="str">
        <f>[1]raw_orders!D72</f>
        <v>CUST-5582</v>
      </c>
      <c r="E72" t="str">
        <f>PROPER(TRIM([1]raw_orders!E72))</f>
        <v>Karan Malhotra</v>
      </c>
      <c r="F72" t="str">
        <f>PROPER(TRIM([1]raw_orders!F72))</f>
        <v>Corporate</v>
      </c>
      <c r="G72" t="str">
        <f>IF(TRIM([1]raw_orders!G72)="","Unknown",PROPER(TRIM([1]raw_orders!G72)))</f>
        <v>South</v>
      </c>
      <c r="H72" t="str">
        <f>PROPER(TRIM([1]raw_orders!H72))</f>
        <v>Andhra Pradesh</v>
      </c>
      <c r="I72" t="str">
        <f>PROPER(TRIM([1]raw_orders!I72))</f>
        <v>Vijayawada</v>
      </c>
      <c r="J72" t="str">
        <f>PROPER(TRIM([1]raw_orders!J72))</f>
        <v>Technology</v>
      </c>
      <c r="K72" t="str">
        <f>PROPER(TRIM([1]raw_orders!K72))</f>
        <v>Phones</v>
      </c>
      <c r="L72" t="str">
        <f>[1]raw_orders!L72</f>
        <v>Max Phones 661</v>
      </c>
      <c r="M72" t="str">
        <f>IF(TRIM([1]raw_orders!M72)="","Unknown",PROPER(TRIM([1]raw_orders!M72)))</f>
        <v>First Class</v>
      </c>
      <c r="N72" s="5">
        <f>[1]raw_orders!N72</f>
        <v>2</v>
      </c>
      <c r="O72" s="5">
        <f>[1]raw_orders!O72</f>
        <v>905.87</v>
      </c>
      <c r="P72" s="5">
        <f>[1]raw_orders!P72</f>
        <v>0.15</v>
      </c>
      <c r="Q72" t="str">
        <f>PROPER(TRIM([1]raw_orders!T72))</f>
        <v>Paid</v>
      </c>
      <c r="R72" t="str">
        <f>PROPER(TRIM([1]raw_orders!U72))</f>
        <v>Completed</v>
      </c>
      <c r="S72" s="5">
        <f>[1]raw_orders!S72</f>
        <v>469.78</v>
      </c>
      <c r="T72" s="5">
        <f t="shared" si="8"/>
        <v>4.6978</v>
      </c>
      <c r="U72" s="5">
        <f t="shared" si="9"/>
        <v>-6699.4521720000002</v>
      </c>
      <c r="V72" s="5">
        <f t="shared" si="10"/>
        <v>-6699.6021719999999</v>
      </c>
      <c r="W72" s="5">
        <f t="shared" si="11"/>
        <v>1.0000223898904192</v>
      </c>
      <c r="X72" s="5">
        <f t="shared" si="12"/>
        <v>5</v>
      </c>
      <c r="Y72" s="5">
        <f t="shared" si="13"/>
        <v>8</v>
      </c>
      <c r="Z72" s="5">
        <f t="shared" si="14"/>
        <v>2025</v>
      </c>
      <c r="AA72" t="str">
        <f t="shared" si="15"/>
        <v>Clean</v>
      </c>
    </row>
    <row r="73" spans="1:27" x14ac:dyDescent="0.3">
      <c r="A73" t="str">
        <f>[1]raw_orders!A73</f>
        <v>ORD-2025-10072</v>
      </c>
      <c r="B73" s="4" t="str">
        <f>IFERROR(DATEVALUE([1]raw_orders!B73), "Invalid Date")</f>
        <v>Invalid Date</v>
      </c>
      <c r="C73" s="4">
        <f>IFERROR(DATEVALUE([1]raw_orders!C73), "Invalid Date")</f>
        <v>45770</v>
      </c>
      <c r="D73" t="str">
        <f>[1]raw_orders!D73</f>
        <v>CUST-3308</v>
      </c>
      <c r="E73" t="str">
        <f>PROPER(TRIM([1]raw_orders!E73))</f>
        <v>Mira Das</v>
      </c>
      <c r="F73" t="str">
        <f>PROPER(TRIM([1]raw_orders!F73))</f>
        <v>Small Business</v>
      </c>
      <c r="G73" t="str">
        <f>IF(TRIM([1]raw_orders!G73)="","Unknown",PROPER(TRIM([1]raw_orders!G73)))</f>
        <v>West</v>
      </c>
      <c r="H73" t="str">
        <f>PROPER(TRIM([1]raw_orders!H73))</f>
        <v>Goa</v>
      </c>
      <c r="I73" t="str">
        <f>PROPER(TRIM([1]raw_orders!I73))</f>
        <v>Panaji</v>
      </c>
      <c r="J73" t="str">
        <f>PROPER(TRIM([1]raw_orders!J73))</f>
        <v>Technology</v>
      </c>
      <c r="K73" t="str">
        <f>PROPER(TRIM([1]raw_orders!K73))</f>
        <v>Machines</v>
      </c>
      <c r="L73" t="str">
        <f>[1]raw_orders!L73</f>
        <v>Elite Machines 836</v>
      </c>
      <c r="M73" t="str">
        <f>IF(TRIM([1]raw_orders!M73)="","Unknown",PROPER(TRIM([1]raw_orders!M73)))</f>
        <v>Standard Class</v>
      </c>
      <c r="N73" s="5">
        <f>[1]raw_orders!N73</f>
        <v>6</v>
      </c>
      <c r="O73" s="5">
        <f>[1]raw_orders!O73</f>
        <v>2027.32</v>
      </c>
      <c r="P73" s="5">
        <f>[1]raw_orders!P73</f>
        <v>0.1</v>
      </c>
      <c r="Q73" t="str">
        <f>PROPER(TRIM([1]raw_orders!T73))</f>
        <v>Paid</v>
      </c>
      <c r="R73" t="str">
        <f>PROPER(TRIM([1]raw_orders!U73))</f>
        <v>Completed</v>
      </c>
      <c r="S73" s="5">
        <f>[1]raw_orders!S73</f>
        <v>4500.17</v>
      </c>
      <c r="T73" s="5">
        <f t="shared" si="8"/>
        <v>45.0017</v>
      </c>
      <c r="U73" s="5">
        <f t="shared" si="9"/>
        <v>-535233.15866399999</v>
      </c>
      <c r="V73" s="5">
        <f t="shared" si="10"/>
        <v>-535233.25866399996</v>
      </c>
      <c r="W73" s="5">
        <f t="shared" si="11"/>
        <v>1.0000001868344635</v>
      </c>
      <c r="X73" s="5" t="str">
        <f t="shared" si="12"/>
        <v>Invalid Date</v>
      </c>
      <c r="Y73" s="5" t="e">
        <f t="shared" si="13"/>
        <v>#VALUE!</v>
      </c>
      <c r="Z73" s="5" t="e">
        <f t="shared" si="14"/>
        <v>#VALUE!</v>
      </c>
      <c r="AA73" t="str">
        <f t="shared" si="15"/>
        <v>Clean</v>
      </c>
    </row>
    <row r="74" spans="1:27" x14ac:dyDescent="0.3">
      <c r="A74" t="str">
        <f>[1]raw_orders!A74</f>
        <v>ORD-2024-10073</v>
      </c>
      <c r="B74" s="4">
        <f>IFERROR(DATEVALUE([1]raw_orders!B74), "Invalid Date")</f>
        <v>45333</v>
      </c>
      <c r="C74" s="4">
        <f>IFERROR(DATEVALUE([1]raw_orders!C74), "Invalid Date")</f>
        <v>45329</v>
      </c>
      <c r="D74" t="str">
        <f>[1]raw_orders!D74</f>
        <v>CUST-5018</v>
      </c>
      <c r="E74" t="str">
        <f>PROPER(TRIM([1]raw_orders!E74))</f>
        <v>Karan Malhotra</v>
      </c>
      <c r="F74" t="str">
        <f>PROPER(TRIM([1]raw_orders!F74))</f>
        <v>Home Office</v>
      </c>
      <c r="G74" t="str">
        <f>IF(TRIM([1]raw_orders!G74)="","Unknown",PROPER(TRIM([1]raw_orders!G74)))</f>
        <v>South</v>
      </c>
      <c r="H74" t="str">
        <f>PROPER(TRIM([1]raw_orders!H74))</f>
        <v>Tamil Nadu</v>
      </c>
      <c r="I74" t="str">
        <f>PROPER(TRIM([1]raw_orders!I74))</f>
        <v>Chennai</v>
      </c>
      <c r="J74" t="str">
        <f>PROPER(TRIM([1]raw_orders!J74))</f>
        <v>Furniture</v>
      </c>
      <c r="K74" t="str">
        <f>PROPER(TRIM([1]raw_orders!K74))</f>
        <v>Tables</v>
      </c>
      <c r="L74" t="str">
        <f>[1]raw_orders!L74</f>
        <v>Prime Tables 902</v>
      </c>
      <c r="M74" t="str">
        <f>IF(TRIM([1]raw_orders!M74)="","Unknown",PROPER(TRIM([1]raw_orders!M74)))</f>
        <v>First Class</v>
      </c>
      <c r="N74" s="5">
        <f>[1]raw_orders!N74</f>
        <v>7</v>
      </c>
      <c r="O74" s="5">
        <f>[1]raw_orders!O74</f>
        <v>2287.4699999999998</v>
      </c>
      <c r="P74" s="5">
        <f>[1]raw_orders!P74</f>
        <v>0.15</v>
      </c>
      <c r="Q74" t="str">
        <f>PROPER(TRIM([1]raw_orders!T74))</f>
        <v>Paid</v>
      </c>
      <c r="R74" t="str">
        <f>PROPER(TRIM([1]raw_orders!U74))</f>
        <v>Completed</v>
      </c>
      <c r="S74" s="5">
        <f>[1]raw_orders!S74</f>
        <v>3571.4</v>
      </c>
      <c r="T74" s="5">
        <f t="shared" si="8"/>
        <v>35.713999999999999</v>
      </c>
      <c r="U74" s="5">
        <f t="shared" si="9"/>
        <v>-555850.63506</v>
      </c>
      <c r="V74" s="5">
        <f t="shared" si="10"/>
        <v>-555850.78506000002</v>
      </c>
      <c r="W74" s="5">
        <f t="shared" si="11"/>
        <v>1.0000002698566675</v>
      </c>
      <c r="X74" s="5">
        <f t="shared" si="12"/>
        <v>-4</v>
      </c>
      <c r="Y74" s="5">
        <f t="shared" si="13"/>
        <v>2</v>
      </c>
      <c r="Z74" s="5">
        <f t="shared" si="14"/>
        <v>2024</v>
      </c>
      <c r="AA74" t="str">
        <f t="shared" si="15"/>
        <v>Invalid</v>
      </c>
    </row>
    <row r="75" spans="1:27" x14ac:dyDescent="0.3">
      <c r="A75" t="str">
        <f>[1]raw_orders!A75</f>
        <v>ORD-2025-10074</v>
      </c>
      <c r="B75" s="4">
        <f>IFERROR(DATEVALUE([1]raw_orders!B75), "Invalid Date")</f>
        <v>45745</v>
      </c>
      <c r="C75" s="4">
        <f>IFERROR(DATEVALUE([1]raw_orders!C75), "Invalid Date")</f>
        <v>45720</v>
      </c>
      <c r="D75" t="str">
        <f>[1]raw_orders!D75</f>
        <v>CUST-2342</v>
      </c>
      <c r="E75" t="str">
        <f>PROPER(TRIM([1]raw_orders!E75))</f>
        <v>Sneha Kapoor</v>
      </c>
      <c r="F75" t="str">
        <f>PROPER(TRIM([1]raw_orders!F75))</f>
        <v>Corporate</v>
      </c>
      <c r="G75" t="str">
        <f>IF(TRIM([1]raw_orders!G75)="","Unknown",PROPER(TRIM([1]raw_orders!G75)))</f>
        <v>East</v>
      </c>
      <c r="H75" t="str">
        <f>PROPER(TRIM([1]raw_orders!H75))</f>
        <v>West Bengal</v>
      </c>
      <c r="I75" t="str">
        <f>PROPER(TRIM([1]raw_orders!I75))</f>
        <v>Kolkata</v>
      </c>
      <c r="J75" t="str">
        <f>PROPER(TRIM([1]raw_orders!J75))</f>
        <v>Furniture</v>
      </c>
      <c r="K75" t="str">
        <f>PROPER(TRIM([1]raw_orders!K75))</f>
        <v>Bookcases</v>
      </c>
      <c r="L75" t="str">
        <f>[1]raw_orders!L75</f>
        <v>Smart Bookcases 167</v>
      </c>
      <c r="M75" t="str">
        <f>IF(TRIM([1]raw_orders!M75)="","Unknown",PROPER(TRIM([1]raw_orders!M75)))</f>
        <v>First Class</v>
      </c>
      <c r="N75" s="5">
        <f>[1]raw_orders!N75</f>
        <v>5</v>
      </c>
      <c r="O75" s="5">
        <f>[1]raw_orders!O75</f>
        <v>1425.74</v>
      </c>
      <c r="P75" s="5">
        <f>[1]raw_orders!P75</f>
        <v>0</v>
      </c>
      <c r="Q75" t="str">
        <f>PROPER(TRIM([1]raw_orders!T75))</f>
        <v>Paid</v>
      </c>
      <c r="R75" t="str">
        <f>PROPER(TRIM([1]raw_orders!U75))</f>
        <v>Completed</v>
      </c>
      <c r="S75" s="5">
        <f>[1]raw_orders!S75</f>
        <v>2746.55</v>
      </c>
      <c r="T75" s="5">
        <f t="shared" si="8"/>
        <v>27.465500000000002</v>
      </c>
      <c r="U75" s="5">
        <f t="shared" si="9"/>
        <v>-188664.60985000001</v>
      </c>
      <c r="V75" s="5">
        <f t="shared" si="10"/>
        <v>-188664.60985000001</v>
      </c>
      <c r="W75" s="5">
        <f t="shared" si="11"/>
        <v>1</v>
      </c>
      <c r="X75" s="5">
        <f t="shared" si="12"/>
        <v>-25</v>
      </c>
      <c r="Y75" s="5">
        <f t="shared" si="13"/>
        <v>3</v>
      </c>
      <c r="Z75" s="5">
        <f t="shared" si="14"/>
        <v>2025</v>
      </c>
      <c r="AA75" t="str">
        <f t="shared" si="15"/>
        <v>Invalid</v>
      </c>
    </row>
    <row r="76" spans="1:27" x14ac:dyDescent="0.3">
      <c r="A76" t="str">
        <f>[1]raw_orders!A76</f>
        <v>ORD-2025-10075</v>
      </c>
      <c r="B76" s="4" t="str">
        <f>IFERROR(DATEVALUE([1]raw_orders!B76), "Invalid Date")</f>
        <v>Invalid Date</v>
      </c>
      <c r="C76" s="4">
        <f>IFERROR(DATEVALUE([1]raw_orders!C76), "Invalid Date")</f>
        <v>45717</v>
      </c>
      <c r="D76" t="str">
        <f>[1]raw_orders!D76</f>
        <v>CUST-6201</v>
      </c>
      <c r="E76" t="str">
        <f>PROPER(TRIM([1]raw_orders!E76))</f>
        <v>Vikram Iyer</v>
      </c>
      <c r="F76" t="str">
        <f>PROPER(TRIM([1]raw_orders!F76))</f>
        <v>Small Business</v>
      </c>
      <c r="G76" t="str">
        <f>IF(TRIM([1]raw_orders!G76)="","Unknown",PROPER(TRIM([1]raw_orders!G76)))</f>
        <v>East</v>
      </c>
      <c r="H76" t="str">
        <f>PROPER(TRIM([1]raw_orders!H76))</f>
        <v>West Bengal</v>
      </c>
      <c r="I76" t="str">
        <f>PROPER(TRIM([1]raw_orders!I76))</f>
        <v>Kolkata</v>
      </c>
      <c r="J76" t="str">
        <f>PROPER(TRIM([1]raw_orders!J76))</f>
        <v>Furniture</v>
      </c>
      <c r="K76" t="str">
        <f>PROPER(TRIM([1]raw_orders!K76))</f>
        <v>Chairs</v>
      </c>
      <c r="L76" t="str">
        <f>[1]raw_orders!L76</f>
        <v>Max Chairs 244</v>
      </c>
      <c r="M76" t="str">
        <f>IF(TRIM([1]raw_orders!M76)="","Unknown",PROPER(TRIM([1]raw_orders!M76)))</f>
        <v>Standard Class</v>
      </c>
      <c r="N76" s="5">
        <f>[1]raw_orders!N76</f>
        <v>6</v>
      </c>
      <c r="O76" s="5">
        <f>[1]raw_orders!O76</f>
        <v>551.64</v>
      </c>
      <c r="P76" s="5">
        <f>[1]raw_orders!P76</f>
        <v>0</v>
      </c>
      <c r="Q76" t="str">
        <f>PROPER(TRIM([1]raw_orders!T76))</f>
        <v>Paid</v>
      </c>
      <c r="R76" t="str">
        <f>PROPER(TRIM([1]raw_orders!U76))</f>
        <v>Completed</v>
      </c>
      <c r="S76" s="5">
        <f>[1]raw_orders!S76</f>
        <v>638.76</v>
      </c>
      <c r="T76" s="5">
        <f t="shared" si="8"/>
        <v>6.3875999999999999</v>
      </c>
      <c r="U76" s="5">
        <f t="shared" si="9"/>
        <v>-17832.093983999999</v>
      </c>
      <c r="V76" s="5">
        <f t="shared" si="10"/>
        <v>-17832.093983999999</v>
      </c>
      <c r="W76" s="5">
        <f t="shared" si="11"/>
        <v>1</v>
      </c>
      <c r="X76" s="5" t="str">
        <f t="shared" si="12"/>
        <v>Invalid Date</v>
      </c>
      <c r="Y76" s="5" t="e">
        <f t="shared" si="13"/>
        <v>#VALUE!</v>
      </c>
      <c r="Z76" s="5" t="e">
        <f t="shared" si="14"/>
        <v>#VALUE!</v>
      </c>
      <c r="AA76" t="str">
        <f t="shared" si="15"/>
        <v>Clean</v>
      </c>
    </row>
    <row r="77" spans="1:27" x14ac:dyDescent="0.3">
      <c r="A77" t="str">
        <f>[1]raw_orders!A77</f>
        <v>ORD-2025-10076</v>
      </c>
      <c r="B77" s="4">
        <f>IFERROR(DATEVALUE([1]raw_orders!B77), "Invalid Date")</f>
        <v>45891</v>
      </c>
      <c r="C77" s="4" t="str">
        <f>IFERROR(DATEVALUE([1]raw_orders!C77), "Invalid Date")</f>
        <v>Invalid Date</v>
      </c>
      <c r="D77" t="str">
        <f>[1]raw_orders!D77</f>
        <v>CUST-5808</v>
      </c>
      <c r="E77" t="str">
        <f>PROPER(TRIM([1]raw_orders!E77))</f>
        <v>Priya Menon</v>
      </c>
      <c r="F77" t="str">
        <f>PROPER(TRIM([1]raw_orders!F77))</f>
        <v>Small Business</v>
      </c>
      <c r="G77" t="str">
        <f>IF(TRIM([1]raw_orders!G77)="","Unknown",PROPER(TRIM([1]raw_orders!G77)))</f>
        <v>East</v>
      </c>
      <c r="H77" t="str">
        <f>PROPER(TRIM([1]raw_orders!H77))</f>
        <v>Odisha</v>
      </c>
      <c r="I77" t="str">
        <f>PROPER(TRIM([1]raw_orders!I77))</f>
        <v>Bhubaneswar</v>
      </c>
      <c r="J77" t="str">
        <f>PROPER(TRIM([1]raw_orders!J77))</f>
        <v>Office Supplies</v>
      </c>
      <c r="K77" t="str">
        <f>PROPER(TRIM([1]raw_orders!K77))</f>
        <v>Labels</v>
      </c>
      <c r="L77" t="str">
        <f>[1]raw_orders!L77</f>
        <v>Eco Labels 653</v>
      </c>
      <c r="M77" t="str">
        <f>IF(TRIM([1]raw_orders!M77)="","Unknown",PROPER(TRIM([1]raw_orders!M77)))</f>
        <v>First Class</v>
      </c>
      <c r="N77" s="5">
        <f>[1]raw_orders!N77</f>
        <v>3</v>
      </c>
      <c r="O77" s="5">
        <f>[1]raw_orders!O77</f>
        <v>3294.82</v>
      </c>
      <c r="P77" s="5">
        <f>[1]raw_orders!P77</f>
        <v>0.2</v>
      </c>
      <c r="Q77" t="str">
        <f>PROPER(TRIM([1]raw_orders!T77))</f>
        <v>Paid</v>
      </c>
      <c r="R77" t="str">
        <f>PROPER(TRIM([1]raw_orders!U77))</f>
        <v>Completed</v>
      </c>
      <c r="S77" s="5">
        <f>[1]raw_orders!S77</f>
        <v>2516.39</v>
      </c>
      <c r="T77" s="5">
        <f t="shared" si="8"/>
        <v>25.163899999999998</v>
      </c>
      <c r="U77" s="5">
        <f t="shared" si="9"/>
        <v>-238847.10299400002</v>
      </c>
      <c r="V77" s="5">
        <f t="shared" si="10"/>
        <v>-238847.30299400003</v>
      </c>
      <c r="W77" s="5">
        <f t="shared" si="11"/>
        <v>1.0000008373557707</v>
      </c>
      <c r="X77" s="5" t="str">
        <f t="shared" si="12"/>
        <v>Invalid Date</v>
      </c>
      <c r="Y77" s="5">
        <f t="shared" si="13"/>
        <v>8</v>
      </c>
      <c r="Z77" s="5">
        <f t="shared" si="14"/>
        <v>2025</v>
      </c>
      <c r="AA77" t="str">
        <f t="shared" si="15"/>
        <v>Clean</v>
      </c>
    </row>
    <row r="78" spans="1:27" x14ac:dyDescent="0.3">
      <c r="A78" t="str">
        <f>[1]raw_orders!A78</f>
        <v>ORD-2024-10077</v>
      </c>
      <c r="B78" s="4">
        <f>IFERROR(DATEVALUE([1]raw_orders!B78), "Invalid Date")</f>
        <v>45599</v>
      </c>
      <c r="C78" s="4">
        <f>IFERROR(DATEVALUE([1]raw_orders!C78), "Invalid Date")</f>
        <v>45607</v>
      </c>
      <c r="D78" t="str">
        <f>[1]raw_orders!D78</f>
        <v>CUST-2642</v>
      </c>
      <c r="E78" t="str">
        <f>PROPER(TRIM([1]raw_orders!E78))</f>
        <v>Ananya Rao</v>
      </c>
      <c r="F78" t="str">
        <f>PROPER(TRIM([1]raw_orders!F78))</f>
        <v>Corporate</v>
      </c>
      <c r="G78" t="str">
        <f>IF(TRIM([1]raw_orders!G78)="","Unknown",PROPER(TRIM([1]raw_orders!G78)))</f>
        <v>East</v>
      </c>
      <c r="H78" t="str">
        <f>PROPER(TRIM([1]raw_orders!H78))</f>
        <v>Jharkhand</v>
      </c>
      <c r="I78" t="str">
        <f>PROPER(TRIM([1]raw_orders!I78))</f>
        <v>Ranchi</v>
      </c>
      <c r="J78" t="str">
        <f>PROPER(TRIM([1]raw_orders!J78))</f>
        <v>Office Supplies</v>
      </c>
      <c r="K78" t="str">
        <f>PROPER(TRIM([1]raw_orders!K78))</f>
        <v>Labels</v>
      </c>
      <c r="L78" t="str">
        <f>[1]raw_orders!L78</f>
        <v>Max Labels 617</v>
      </c>
      <c r="M78" t="str">
        <f>IF(TRIM([1]raw_orders!M78)="","Unknown",PROPER(TRIM([1]raw_orders!M78)))</f>
        <v>Second Class</v>
      </c>
      <c r="N78" s="5">
        <f>[1]raw_orders!N78</f>
        <v>3</v>
      </c>
      <c r="O78" s="5">
        <f>[1]raw_orders!O78</f>
        <v>3406.27</v>
      </c>
      <c r="P78" s="5">
        <f>[1]raw_orders!P78</f>
        <v>0</v>
      </c>
      <c r="Q78" t="str">
        <f>PROPER(TRIM([1]raw_orders!T78))</f>
        <v>Paid</v>
      </c>
      <c r="R78" t="str">
        <f>PROPER(TRIM([1]raw_orders!U78))</f>
        <v>Completed</v>
      </c>
      <c r="S78" s="5">
        <f>[1]raw_orders!S78</f>
        <v>2601.84</v>
      </c>
      <c r="T78" s="5">
        <f t="shared" si="8"/>
        <v>26.0184</v>
      </c>
      <c r="U78" s="5">
        <f t="shared" si="9"/>
        <v>-255658.27610399999</v>
      </c>
      <c r="V78" s="5">
        <f t="shared" si="10"/>
        <v>-255658.27610399999</v>
      </c>
      <c r="W78" s="5">
        <f t="shared" si="11"/>
        <v>1</v>
      </c>
      <c r="X78" s="5">
        <f t="shared" si="12"/>
        <v>8</v>
      </c>
      <c r="Y78" s="5">
        <f t="shared" si="13"/>
        <v>11</v>
      </c>
      <c r="Z78" s="5">
        <f t="shared" si="14"/>
        <v>2024</v>
      </c>
      <c r="AA78" t="str">
        <f t="shared" si="15"/>
        <v>Clean</v>
      </c>
    </row>
    <row r="79" spans="1:27" x14ac:dyDescent="0.3">
      <c r="A79" t="str">
        <f>[1]raw_orders!A79</f>
        <v>ORD-2025-10078</v>
      </c>
      <c r="B79" s="4">
        <f>IFERROR(DATEVALUE([1]raw_orders!B79), "Invalid Date")</f>
        <v>45876</v>
      </c>
      <c r="C79" s="4">
        <f>IFERROR(DATEVALUE([1]raw_orders!C79), "Invalid Date")</f>
        <v>45850</v>
      </c>
      <c r="D79" t="str">
        <f>[1]raw_orders!D79</f>
        <v>CUST-4385</v>
      </c>
      <c r="E79" t="str">
        <f>PROPER(TRIM([1]raw_orders!E79))</f>
        <v>Rohan Mehta</v>
      </c>
      <c r="F79" t="str">
        <f>PROPER(TRIM([1]raw_orders!F79))</f>
        <v>Home Office</v>
      </c>
      <c r="G79" t="str">
        <f>IF(TRIM([1]raw_orders!G79)="","Unknown",PROPER(TRIM([1]raw_orders!G79)))</f>
        <v>North</v>
      </c>
      <c r="H79" t="str">
        <f>PROPER(TRIM([1]raw_orders!H79))</f>
        <v>Uttar Pradesh</v>
      </c>
      <c r="I79" t="str">
        <f>PROPER(TRIM([1]raw_orders!I79))</f>
        <v>Noida</v>
      </c>
      <c r="J79" t="str">
        <f>PROPER(TRIM([1]raw_orders!J79))</f>
        <v>Furniture</v>
      </c>
      <c r="K79" t="str">
        <f>PROPER(TRIM([1]raw_orders!K79))</f>
        <v>Furnishings</v>
      </c>
      <c r="L79" t="str">
        <f>[1]raw_orders!L79</f>
        <v>Pro Furnishings 529</v>
      </c>
      <c r="M79" t="str">
        <f>IF(TRIM([1]raw_orders!M79)="","Unknown",PROPER(TRIM([1]raw_orders!M79)))</f>
        <v>Standard Class</v>
      </c>
      <c r="N79" s="5">
        <f>[1]raw_orders!N79</f>
        <v>1</v>
      </c>
      <c r="O79" s="5">
        <f>[1]raw_orders!O79</f>
        <v>2582.1999999999998</v>
      </c>
      <c r="P79" s="5">
        <f>[1]raw_orders!P79</f>
        <v>0.15</v>
      </c>
      <c r="Q79" t="str">
        <f>PROPER(TRIM([1]raw_orders!T79))</f>
        <v>Refunded</v>
      </c>
      <c r="R79" t="str">
        <f>PROPER(TRIM([1]raw_orders!U79))</f>
        <v>Cancelled</v>
      </c>
      <c r="S79" s="5">
        <f>[1]raw_orders!S79</f>
        <v>971.7</v>
      </c>
      <c r="T79" s="5">
        <f t="shared" si="8"/>
        <v>9.7170000000000005</v>
      </c>
      <c r="U79" s="5">
        <f t="shared" si="9"/>
        <v>-22509.037400000001</v>
      </c>
      <c r="V79" s="5">
        <f t="shared" si="10"/>
        <v>-22509.187400000003</v>
      </c>
      <c r="W79" s="5">
        <f t="shared" si="11"/>
        <v>1.0000066639899936</v>
      </c>
      <c r="X79" s="5">
        <f t="shared" si="12"/>
        <v>-26</v>
      </c>
      <c r="Y79" s="5">
        <f t="shared" si="13"/>
        <v>8</v>
      </c>
      <c r="Z79" s="5">
        <f t="shared" si="14"/>
        <v>2025</v>
      </c>
      <c r="AA79" t="str">
        <f t="shared" si="15"/>
        <v>Invalid</v>
      </c>
    </row>
    <row r="80" spans="1:27" x14ac:dyDescent="0.3">
      <c r="A80" t="str">
        <f>[1]raw_orders!A80</f>
        <v>ORD-2025-10079</v>
      </c>
      <c r="B80" s="4" t="str">
        <f>IFERROR(DATEVALUE([1]raw_orders!B80), "Invalid Date")</f>
        <v>Invalid Date</v>
      </c>
      <c r="C80" s="4">
        <f>IFERROR(DATEVALUE([1]raw_orders!C80), "Invalid Date")</f>
        <v>45859</v>
      </c>
      <c r="D80" t="str">
        <f>[1]raw_orders!D80</f>
        <v>CUST-8043</v>
      </c>
      <c r="E80" t="str">
        <f>PROPER(TRIM([1]raw_orders!E80))</f>
        <v>Sneha Kapoor</v>
      </c>
      <c r="F80" t="str">
        <f>PROPER(TRIM([1]raw_orders!F80))</f>
        <v>Corporate</v>
      </c>
      <c r="G80" t="str">
        <f>IF(TRIM([1]raw_orders!G80)="","Unknown",PROPER(TRIM([1]raw_orders!G80)))</f>
        <v>East</v>
      </c>
      <c r="H80" t="str">
        <f>PROPER(TRIM([1]raw_orders!H80))</f>
        <v>West Bengal</v>
      </c>
      <c r="I80" t="str">
        <f>PROPER(TRIM([1]raw_orders!I80))</f>
        <v>Kolkata</v>
      </c>
      <c r="J80" t="str">
        <f>PROPER(TRIM([1]raw_orders!J80))</f>
        <v>Furniture</v>
      </c>
      <c r="K80" t="str">
        <f>PROPER(TRIM([1]raw_orders!K80))</f>
        <v>Tables</v>
      </c>
      <c r="L80" t="str">
        <f>[1]raw_orders!L80</f>
        <v>Smart Tables 561</v>
      </c>
      <c r="M80" t="str">
        <f>IF(TRIM([1]raw_orders!M80)="","Unknown",PROPER(TRIM([1]raw_orders!M80)))</f>
        <v>First Class</v>
      </c>
      <c r="N80" s="5">
        <f>[1]raw_orders!N80</f>
        <v>5</v>
      </c>
      <c r="O80" s="5">
        <f>[1]raw_orders!O80</f>
        <v>2129.5100000000002</v>
      </c>
      <c r="P80" s="5">
        <f>[1]raw_orders!P80</f>
        <v>0.15</v>
      </c>
      <c r="Q80" t="str">
        <f>PROPER(TRIM([1]raw_orders!T80))</f>
        <v>Paid</v>
      </c>
      <c r="R80" t="str">
        <f>PROPER(TRIM([1]raw_orders!U80))</f>
        <v>Completed</v>
      </c>
      <c r="S80" s="5">
        <f>[1]raw_orders!S80</f>
        <v>2271.5700000000002</v>
      </c>
      <c r="T80" s="5">
        <f t="shared" si="8"/>
        <v>22.715700000000002</v>
      </c>
      <c r="U80" s="5">
        <f t="shared" si="9"/>
        <v>-231219.00153500005</v>
      </c>
      <c r="V80" s="5">
        <f t="shared" si="10"/>
        <v>-231219.15153500004</v>
      </c>
      <c r="W80" s="5">
        <f t="shared" si="11"/>
        <v>1.0000006487356099</v>
      </c>
      <c r="X80" s="5" t="str">
        <f t="shared" si="12"/>
        <v>Invalid Date</v>
      </c>
      <c r="Y80" s="5" t="e">
        <f t="shared" si="13"/>
        <v>#VALUE!</v>
      </c>
      <c r="Z80" s="5" t="e">
        <f t="shared" si="14"/>
        <v>#VALUE!</v>
      </c>
      <c r="AA80" t="str">
        <f t="shared" si="15"/>
        <v>Clean</v>
      </c>
    </row>
    <row r="81" spans="1:27" x14ac:dyDescent="0.3">
      <c r="A81" t="str">
        <f>[1]raw_orders!A81</f>
        <v>ORD-2025-10080</v>
      </c>
      <c r="B81" s="4">
        <f>IFERROR(DATEVALUE([1]raw_orders!B81), "Invalid Date")</f>
        <v>45927</v>
      </c>
      <c r="C81" s="4">
        <f>IFERROR(DATEVALUE([1]raw_orders!C81), "Invalid Date")</f>
        <v>45933</v>
      </c>
      <c r="D81" t="str">
        <f>[1]raw_orders!D81</f>
        <v>CUST-9978</v>
      </c>
      <c r="E81" t="str">
        <f>PROPER(TRIM([1]raw_orders!E81))</f>
        <v>Diya Patel</v>
      </c>
      <c r="F81" t="str">
        <f>PROPER(TRIM([1]raw_orders!F81))</f>
        <v>Home Office</v>
      </c>
      <c r="G81" t="str">
        <f>IF(TRIM([1]raw_orders!G81)="","Unknown",PROPER(TRIM([1]raw_orders!G81)))</f>
        <v>South</v>
      </c>
      <c r="H81" t="str">
        <f>PROPER(TRIM([1]raw_orders!H81))</f>
        <v>Tamil Nadu</v>
      </c>
      <c r="I81" t="str">
        <f>PROPER(TRIM([1]raw_orders!I81))</f>
        <v>Chennai</v>
      </c>
      <c r="J81" t="str">
        <f>PROPER(TRIM([1]raw_orders!J81))</f>
        <v>Furniture</v>
      </c>
      <c r="K81" t="str">
        <f>PROPER(TRIM([1]raw_orders!K81))</f>
        <v>Chairs</v>
      </c>
      <c r="L81" t="str">
        <f>[1]raw_orders!L81</f>
        <v>Prime Chairs 838</v>
      </c>
      <c r="M81" t="str">
        <f>IF(TRIM([1]raw_orders!M81)="","Unknown",PROPER(TRIM([1]raw_orders!M81)))</f>
        <v>Same Day</v>
      </c>
      <c r="N81" s="5">
        <f>[1]raw_orders!N81</f>
        <v>9</v>
      </c>
      <c r="O81" s="5">
        <f>[1]raw_orders!O81</f>
        <v>4131.5200000000004</v>
      </c>
      <c r="P81" s="5">
        <f>[1]raw_orders!P81</f>
        <v>0.1</v>
      </c>
      <c r="Q81" t="str">
        <f>PROPER(TRIM([1]raw_orders!T81))</f>
        <v>Paid</v>
      </c>
      <c r="R81" t="str">
        <f>PROPER(TRIM([1]raw_orders!U81))</f>
        <v>Completed</v>
      </c>
      <c r="S81" s="5">
        <f>[1]raw_orders!S81</f>
        <v>8684.0499999999993</v>
      </c>
      <c r="T81" s="5">
        <f t="shared" si="8"/>
        <v>86.840499999999992</v>
      </c>
      <c r="U81" s="5">
        <f t="shared" si="9"/>
        <v>-3191865.6830400005</v>
      </c>
      <c r="V81" s="5">
        <f t="shared" si="10"/>
        <v>-3191865.7830400006</v>
      </c>
      <c r="W81" s="5">
        <f t="shared" si="11"/>
        <v>1.0000000313296391</v>
      </c>
      <c r="X81" s="5">
        <f t="shared" si="12"/>
        <v>6</v>
      </c>
      <c r="Y81" s="5">
        <f t="shared" si="13"/>
        <v>9</v>
      </c>
      <c r="Z81" s="5">
        <f t="shared" si="14"/>
        <v>2025</v>
      </c>
      <c r="AA81" t="str">
        <f t="shared" si="15"/>
        <v>Clean</v>
      </c>
    </row>
    <row r="82" spans="1:27" x14ac:dyDescent="0.3">
      <c r="A82" t="str">
        <f>[1]raw_orders!A82</f>
        <v>ORD-2024-10081</v>
      </c>
      <c r="B82" s="4">
        <f>IFERROR(DATEVALUE([1]raw_orders!B82), "Invalid Date")</f>
        <v>45514</v>
      </c>
      <c r="C82" s="4">
        <f>IFERROR(DATEVALUE([1]raw_orders!C82), "Invalid Date")</f>
        <v>45518</v>
      </c>
      <c r="D82" t="str">
        <f>[1]raw_orders!D82</f>
        <v>CUST-2094</v>
      </c>
      <c r="E82" t="str">
        <f>PROPER(TRIM([1]raw_orders!E82))</f>
        <v>Aarav Sharma</v>
      </c>
      <c r="F82" t="str">
        <f>PROPER(TRIM([1]raw_orders!F82))</f>
        <v>Small Business</v>
      </c>
      <c r="G82" t="str">
        <f>IF(TRIM([1]raw_orders!G82)="","Unknown",PROPER(TRIM([1]raw_orders!G82)))</f>
        <v>North</v>
      </c>
      <c r="H82" t="str">
        <f>PROPER(TRIM([1]raw_orders!H82))</f>
        <v>Delhi</v>
      </c>
      <c r="I82" t="str">
        <f>PROPER(TRIM([1]raw_orders!I82))</f>
        <v>New Delhi</v>
      </c>
      <c r="J82" t="str">
        <f>PROPER(TRIM([1]raw_orders!J82))</f>
        <v>Office Supplies</v>
      </c>
      <c r="K82" t="str">
        <f>PROPER(TRIM([1]raw_orders!K82))</f>
        <v>Storage</v>
      </c>
      <c r="L82" t="str">
        <f>[1]raw_orders!L82</f>
        <v>Elite Storage 371</v>
      </c>
      <c r="M82" t="str">
        <f>IF(TRIM([1]raw_orders!M82)="","Unknown",PROPER(TRIM([1]raw_orders!M82)))</f>
        <v>Second Class</v>
      </c>
      <c r="N82" s="5">
        <f>[1]raw_orders!N82</f>
        <v>4</v>
      </c>
      <c r="O82" s="5">
        <f>[1]raw_orders!O82</f>
        <v>1182.32</v>
      </c>
      <c r="P82" s="5">
        <f>[1]raw_orders!P82</f>
        <v>0.1</v>
      </c>
      <c r="Q82" t="str">
        <f>PROPER(TRIM([1]raw_orders!T82))</f>
        <v>Pending</v>
      </c>
      <c r="R82" t="str">
        <f>PROPER(TRIM([1]raw_orders!U82))</f>
        <v>Returned</v>
      </c>
      <c r="S82" s="5">
        <f>[1]raw_orders!S82</f>
        <v>1761.02</v>
      </c>
      <c r="T82" s="5">
        <f t="shared" si="8"/>
        <v>17.610199999999999</v>
      </c>
      <c r="U82" s="5">
        <f t="shared" si="9"/>
        <v>-78554.286655999997</v>
      </c>
      <c r="V82" s="5">
        <f t="shared" si="10"/>
        <v>-78554.386656000002</v>
      </c>
      <c r="W82" s="5">
        <f t="shared" si="11"/>
        <v>1.0000012730050041</v>
      </c>
      <c r="X82" s="5">
        <f t="shared" si="12"/>
        <v>4</v>
      </c>
      <c r="Y82" s="5">
        <f t="shared" si="13"/>
        <v>8</v>
      </c>
      <c r="Z82" s="5">
        <f t="shared" si="14"/>
        <v>2024</v>
      </c>
      <c r="AA82" t="str">
        <f t="shared" si="15"/>
        <v>Clean</v>
      </c>
    </row>
    <row r="83" spans="1:27" x14ac:dyDescent="0.3">
      <c r="A83" t="str">
        <f>[1]raw_orders!A83</f>
        <v>ORD-2025-10082</v>
      </c>
      <c r="B83" s="4">
        <f>IFERROR(DATEVALUE([1]raw_orders!B83), "Invalid Date")</f>
        <v>45732</v>
      </c>
      <c r="C83" s="4">
        <f>IFERROR(DATEVALUE([1]raw_orders!C83), "Invalid Date")</f>
        <v>45733</v>
      </c>
      <c r="D83" t="str">
        <f>[1]raw_orders!D83</f>
        <v>CUST-7907</v>
      </c>
      <c r="E83" t="str">
        <f>PROPER(TRIM([1]raw_orders!E83))</f>
        <v>Karan Malhotra</v>
      </c>
      <c r="F83" t="str">
        <f>PROPER(TRIM([1]raw_orders!F83))</f>
        <v>Home Office</v>
      </c>
      <c r="G83" t="str">
        <f>IF(TRIM([1]raw_orders!G83)="","Unknown",PROPER(TRIM([1]raw_orders!G83)))</f>
        <v>West</v>
      </c>
      <c r="H83" t="str">
        <f>PROPER(TRIM([1]raw_orders!H83))</f>
        <v>Goa</v>
      </c>
      <c r="I83" t="str">
        <f>PROPER(TRIM([1]raw_orders!I83))</f>
        <v>Panaji</v>
      </c>
      <c r="J83" t="str">
        <f>PROPER(TRIM([1]raw_orders!J83))</f>
        <v>Office Supplies</v>
      </c>
      <c r="K83" t="str">
        <f>PROPER(TRIM([1]raw_orders!K83))</f>
        <v>Labels</v>
      </c>
      <c r="L83" t="str">
        <f>[1]raw_orders!L83</f>
        <v>Eco Labels 662</v>
      </c>
      <c r="M83" t="str">
        <f>IF(TRIM([1]raw_orders!M83)="","Unknown",PROPER(TRIM([1]raw_orders!M83)))</f>
        <v>Same Day</v>
      </c>
      <c r="N83" s="5">
        <f>[1]raw_orders!N83</f>
        <v>3</v>
      </c>
      <c r="O83" s="5">
        <f>[1]raw_orders!O83</f>
        <v>1841.91</v>
      </c>
      <c r="P83" s="5">
        <f>[1]raw_orders!P83</f>
        <v>0</v>
      </c>
      <c r="Q83" t="str">
        <f>PROPER(TRIM([1]raw_orders!T83))</f>
        <v>Paid</v>
      </c>
      <c r="R83" t="str">
        <f>PROPER(TRIM([1]raw_orders!U83))</f>
        <v>Completed</v>
      </c>
      <c r="S83" s="5">
        <f>[1]raw_orders!S83</f>
        <v>2432.31</v>
      </c>
      <c r="T83" s="5">
        <f t="shared" si="8"/>
        <v>24.3231</v>
      </c>
      <c r="U83" s="5">
        <f t="shared" si="9"/>
        <v>-128877.153363</v>
      </c>
      <c r="V83" s="5">
        <f t="shared" si="10"/>
        <v>-128877.153363</v>
      </c>
      <c r="W83" s="5">
        <f t="shared" si="11"/>
        <v>1</v>
      </c>
      <c r="X83" s="5">
        <f t="shared" si="12"/>
        <v>1</v>
      </c>
      <c r="Y83" s="5">
        <f t="shared" si="13"/>
        <v>3</v>
      </c>
      <c r="Z83" s="5">
        <f t="shared" si="14"/>
        <v>2025</v>
      </c>
      <c r="AA83" t="str">
        <f t="shared" si="15"/>
        <v>Clean</v>
      </c>
    </row>
    <row r="84" spans="1:27" x14ac:dyDescent="0.3">
      <c r="A84" t="str">
        <f>[1]raw_orders!A84</f>
        <v>ORD-2024-10083</v>
      </c>
      <c r="B84" s="4">
        <f>IFERROR(DATEVALUE([1]raw_orders!B84), "Invalid Date")</f>
        <v>45507</v>
      </c>
      <c r="C84" s="4">
        <f>IFERROR(DATEVALUE([1]raw_orders!C84), "Invalid Date")</f>
        <v>45508</v>
      </c>
      <c r="D84" t="str">
        <f>[1]raw_orders!D84</f>
        <v>CUST-6516</v>
      </c>
      <c r="E84" t="str">
        <f>PROPER(TRIM([1]raw_orders!E84))</f>
        <v>Arjun Bose</v>
      </c>
      <c r="F84" t="str">
        <f>PROPER(TRIM([1]raw_orders!F84))</f>
        <v>Consumer</v>
      </c>
      <c r="G84" t="str">
        <f>IF(TRIM([1]raw_orders!G84)="","Unknown",PROPER(TRIM([1]raw_orders!G84)))</f>
        <v>North</v>
      </c>
      <c r="H84" t="str">
        <f>PROPER(TRIM([1]raw_orders!H84))</f>
        <v>Uttar Pradesh</v>
      </c>
      <c r="I84" t="str">
        <f>PROPER(TRIM([1]raw_orders!I84))</f>
        <v>Noida</v>
      </c>
      <c r="J84" t="str">
        <f>PROPER(TRIM([1]raw_orders!J84))</f>
        <v>Technology</v>
      </c>
      <c r="K84" t="str">
        <f>PROPER(TRIM([1]raw_orders!K84))</f>
        <v>Copiers</v>
      </c>
      <c r="L84" t="str">
        <f>[1]raw_orders!L84</f>
        <v>Smart Copiers 702</v>
      </c>
      <c r="M84" t="str">
        <f>IF(TRIM([1]raw_orders!M84)="","Unknown",PROPER(TRIM([1]raw_orders!M84)))</f>
        <v>Second Class</v>
      </c>
      <c r="N84" s="5">
        <f>[1]raw_orders!N84</f>
        <v>6</v>
      </c>
      <c r="O84" s="5">
        <f>[1]raw_orders!O84</f>
        <v>1001.73</v>
      </c>
      <c r="P84" s="5">
        <f>[1]raw_orders!P84</f>
        <v>0</v>
      </c>
      <c r="Q84" t="str">
        <f>PROPER(TRIM([1]raw_orders!T84))</f>
        <v>Failed</v>
      </c>
      <c r="R84" t="str">
        <f>PROPER(TRIM([1]raw_orders!U84))</f>
        <v>Returned</v>
      </c>
      <c r="S84" s="5">
        <f>[1]raw_orders!S84</f>
        <v>2247.5300000000002</v>
      </c>
      <c r="T84" s="5">
        <f t="shared" si="8"/>
        <v>22.475300000000001</v>
      </c>
      <c r="U84" s="5">
        <f t="shared" si="9"/>
        <v>-129074.71361400001</v>
      </c>
      <c r="V84" s="5">
        <f t="shared" si="10"/>
        <v>-129074.71361400001</v>
      </c>
      <c r="W84" s="5">
        <f t="shared" si="11"/>
        <v>1</v>
      </c>
      <c r="X84" s="5">
        <f t="shared" si="12"/>
        <v>1</v>
      </c>
      <c r="Y84" s="5">
        <f t="shared" si="13"/>
        <v>8</v>
      </c>
      <c r="Z84" s="5">
        <f t="shared" si="14"/>
        <v>2024</v>
      </c>
      <c r="AA84" t="str">
        <f t="shared" si="15"/>
        <v>Clean</v>
      </c>
    </row>
    <row r="85" spans="1:27" x14ac:dyDescent="0.3">
      <c r="A85" t="str">
        <f>[1]raw_orders!A85</f>
        <v>ORD-2024-10084</v>
      </c>
      <c r="B85" s="4">
        <f>IFERROR(DATEVALUE([1]raw_orders!B85), "Invalid Date")</f>
        <v>45591</v>
      </c>
      <c r="C85" s="4">
        <f>IFERROR(DATEVALUE([1]raw_orders!C85), "Invalid Date")</f>
        <v>45594</v>
      </c>
      <c r="D85" t="str">
        <f>[1]raw_orders!D85</f>
        <v>CUST-4989</v>
      </c>
      <c r="E85" t="str">
        <f>PROPER(TRIM([1]raw_orders!E85))</f>
        <v>Aditi Sen</v>
      </c>
      <c r="F85" t="str">
        <f>PROPER(TRIM([1]raw_orders!F85))</f>
        <v>Home Office</v>
      </c>
      <c r="G85" t="str">
        <f>IF(TRIM([1]raw_orders!G85)="","Unknown",PROPER(TRIM([1]raw_orders!G85)))</f>
        <v>West</v>
      </c>
      <c r="H85" t="str">
        <f>PROPER(TRIM([1]raw_orders!H85))</f>
        <v>Maharashtra</v>
      </c>
      <c r="I85" t="str">
        <f>PROPER(TRIM([1]raw_orders!I85))</f>
        <v>Mumbai</v>
      </c>
      <c r="J85" t="str">
        <f>PROPER(TRIM([1]raw_orders!J85))</f>
        <v>Furniture</v>
      </c>
      <c r="K85" t="str">
        <f>PROPER(TRIM([1]raw_orders!K85))</f>
        <v>Tables</v>
      </c>
      <c r="L85" t="str">
        <f>[1]raw_orders!L85</f>
        <v>Elite Tables 362</v>
      </c>
      <c r="M85" t="str">
        <f>IF(TRIM([1]raw_orders!M85)="","Unknown",PROPER(TRIM([1]raw_orders!M85)))</f>
        <v>Second Class</v>
      </c>
      <c r="N85" s="5">
        <f>[1]raw_orders!N85</f>
        <v>9</v>
      </c>
      <c r="O85" s="5">
        <f>[1]raw_orders!O85</f>
        <v>131.74</v>
      </c>
      <c r="P85" s="5">
        <f>[1]raw_orders!P85</f>
        <v>0.2</v>
      </c>
      <c r="Q85" t="str">
        <f>PROPER(TRIM([1]raw_orders!T85))</f>
        <v>Paid</v>
      </c>
      <c r="R85" t="str">
        <f>PROPER(TRIM([1]raw_orders!U85))</f>
        <v>Completed</v>
      </c>
      <c r="S85" s="5">
        <f>[1]raw_orders!S85</f>
        <v>273.91000000000003</v>
      </c>
      <c r="T85" s="5">
        <f t="shared" si="8"/>
        <v>2.7391000000000001</v>
      </c>
      <c r="U85" s="5">
        <f t="shared" si="9"/>
        <v>-2061.9813060000001</v>
      </c>
      <c r="V85" s="5">
        <f t="shared" si="10"/>
        <v>-2062.1813059999999</v>
      </c>
      <c r="W85" s="5">
        <f t="shared" si="11"/>
        <v>1.0000969940898192</v>
      </c>
      <c r="X85" s="5">
        <f t="shared" si="12"/>
        <v>3</v>
      </c>
      <c r="Y85" s="5">
        <f t="shared" si="13"/>
        <v>10</v>
      </c>
      <c r="Z85" s="5">
        <f t="shared" si="14"/>
        <v>2024</v>
      </c>
      <c r="AA85" t="str">
        <f t="shared" si="15"/>
        <v>Clean</v>
      </c>
    </row>
    <row r="86" spans="1:27" x14ac:dyDescent="0.3">
      <c r="A86" t="str">
        <f>[1]raw_orders!A86</f>
        <v>ORD-2024-10085</v>
      </c>
      <c r="B86" s="4">
        <f>IFERROR(DATEVALUE([1]raw_orders!B86), "Invalid Date")</f>
        <v>45566</v>
      </c>
      <c r="C86" s="4">
        <f>IFERROR(DATEVALUE([1]raw_orders!C86), "Invalid Date")</f>
        <v>45568</v>
      </c>
      <c r="D86" t="str">
        <f>[1]raw_orders!D86</f>
        <v>CUST-3758</v>
      </c>
      <c r="E86" t="str">
        <f>PROPER(TRIM([1]raw_orders!E86))</f>
        <v>Rohan Mehta</v>
      </c>
      <c r="F86" t="str">
        <f>PROPER(TRIM([1]raw_orders!F86))</f>
        <v>Corporate</v>
      </c>
      <c r="G86" t="str">
        <f>IF(TRIM([1]raw_orders!G86)="","Unknown",PROPER(TRIM([1]raw_orders!G86)))</f>
        <v>South</v>
      </c>
      <c r="H86" t="str">
        <f>PROPER(TRIM([1]raw_orders!H86))</f>
        <v>Tamil Nadu</v>
      </c>
      <c r="I86" t="str">
        <f>PROPER(TRIM([1]raw_orders!I86))</f>
        <v>Chennai</v>
      </c>
      <c r="J86" t="str">
        <f>PROPER(TRIM([1]raw_orders!J86))</f>
        <v>Technology</v>
      </c>
      <c r="K86" t="str">
        <f>PROPER(TRIM([1]raw_orders!K86))</f>
        <v>Phones</v>
      </c>
      <c r="L86" t="str">
        <f>[1]raw_orders!L86</f>
        <v>Elite Phones 781</v>
      </c>
      <c r="M86" t="str">
        <f>IF(TRIM([1]raw_orders!M86)="","Unknown",PROPER(TRIM([1]raw_orders!M86)))</f>
        <v>Second Class</v>
      </c>
      <c r="N86" s="5">
        <f>[1]raw_orders!N86</f>
        <v>6</v>
      </c>
      <c r="O86" s="5">
        <f>[1]raw_orders!O86</f>
        <v>570.28</v>
      </c>
      <c r="P86" s="5">
        <f>[1]raw_orders!P86</f>
        <v>0.2</v>
      </c>
      <c r="Q86" t="str">
        <f>PROPER(TRIM([1]raw_orders!T86))</f>
        <v>Paid</v>
      </c>
      <c r="R86" t="str">
        <f>PROPER(TRIM([1]raw_orders!U86))</f>
        <v>Completed</v>
      </c>
      <c r="S86" s="5">
        <f>[1]raw_orders!S86</f>
        <v>651.9</v>
      </c>
      <c r="T86" s="5">
        <f t="shared" si="8"/>
        <v>6.5190000000000001</v>
      </c>
      <c r="U86" s="5">
        <f t="shared" si="9"/>
        <v>-18884.251919999999</v>
      </c>
      <c r="V86" s="5">
        <f t="shared" si="10"/>
        <v>-18884.45192</v>
      </c>
      <c r="W86" s="5">
        <f t="shared" si="11"/>
        <v>1.0000105908352022</v>
      </c>
      <c r="X86" s="5">
        <f t="shared" si="12"/>
        <v>2</v>
      </c>
      <c r="Y86" s="5">
        <f t="shared" si="13"/>
        <v>10</v>
      </c>
      <c r="Z86" s="5">
        <f t="shared" si="14"/>
        <v>2024</v>
      </c>
      <c r="AA86" t="str">
        <f t="shared" si="15"/>
        <v>Clean</v>
      </c>
    </row>
    <row r="87" spans="1:27" x14ac:dyDescent="0.3">
      <c r="A87" t="str">
        <f>[1]raw_orders!A87</f>
        <v>ORD-2024-10086</v>
      </c>
      <c r="B87" s="4">
        <f>IFERROR(DATEVALUE([1]raw_orders!B87), "Invalid Date")</f>
        <v>45503</v>
      </c>
      <c r="C87" s="4">
        <f>IFERROR(DATEVALUE([1]raw_orders!C87), "Invalid Date")</f>
        <v>45420</v>
      </c>
      <c r="D87" t="str">
        <f>[1]raw_orders!D87</f>
        <v>CUST-6702</v>
      </c>
      <c r="E87" t="str">
        <f>PROPER(TRIM([1]raw_orders!E87))</f>
        <v>Kabir Singh</v>
      </c>
      <c r="F87" t="str">
        <f>PROPER(TRIM([1]raw_orders!F87))</f>
        <v>Corporate</v>
      </c>
      <c r="G87" t="str">
        <f>IF(TRIM([1]raw_orders!G87)="","Unknown",PROPER(TRIM([1]raw_orders!G87)))</f>
        <v>North</v>
      </c>
      <c r="H87" t="str">
        <f>PROPER(TRIM([1]raw_orders!H87))</f>
        <v>Delhi</v>
      </c>
      <c r="I87" t="str">
        <f>PROPER(TRIM([1]raw_orders!I87))</f>
        <v>New Delhi</v>
      </c>
      <c r="J87" t="str">
        <f>PROPER(TRIM([1]raw_orders!J87))</f>
        <v>Office Supplies</v>
      </c>
      <c r="K87" t="str">
        <f>PROPER(TRIM([1]raw_orders!K87))</f>
        <v>Binders</v>
      </c>
      <c r="L87" t="str">
        <f>[1]raw_orders!L87</f>
        <v>Eco Binders 456</v>
      </c>
      <c r="M87" t="str">
        <f>IF(TRIM([1]raw_orders!M87)="","Unknown",PROPER(TRIM([1]raw_orders!M87)))</f>
        <v>Standard Class</v>
      </c>
      <c r="N87" s="5">
        <f>[1]raw_orders!N87</f>
        <v>1</v>
      </c>
      <c r="O87" s="5">
        <f>[1]raw_orders!O87</f>
        <v>608.64</v>
      </c>
      <c r="P87" s="5">
        <f>[1]raw_orders!P87</f>
        <v>0</v>
      </c>
      <c r="Q87" t="str">
        <f>PROPER(TRIM([1]raw_orders!T87))</f>
        <v>Paid</v>
      </c>
      <c r="R87" t="str">
        <f>PROPER(TRIM([1]raw_orders!U87))</f>
        <v>Cancelled</v>
      </c>
      <c r="S87" s="5">
        <f>[1]raw_orders!S87</f>
        <v>264.64999999999998</v>
      </c>
      <c r="T87" s="5">
        <f t="shared" si="8"/>
        <v>2.6464999999999996</v>
      </c>
      <c r="U87" s="5">
        <f t="shared" si="9"/>
        <v>-1002.1257599999998</v>
      </c>
      <c r="V87" s="5">
        <f t="shared" si="10"/>
        <v>-1002.1257599999998</v>
      </c>
      <c r="W87" s="5">
        <f t="shared" si="11"/>
        <v>1</v>
      </c>
      <c r="X87" s="5">
        <f t="shared" si="12"/>
        <v>-83</v>
      </c>
      <c r="Y87" s="5">
        <f t="shared" si="13"/>
        <v>7</v>
      </c>
      <c r="Z87" s="5">
        <f t="shared" si="14"/>
        <v>2024</v>
      </c>
      <c r="AA87" t="str">
        <f t="shared" si="15"/>
        <v>Invalid</v>
      </c>
    </row>
    <row r="88" spans="1:27" x14ac:dyDescent="0.3">
      <c r="A88" t="str">
        <f>[1]raw_orders!A88</f>
        <v>ORD-2024-10087</v>
      </c>
      <c r="B88" s="4">
        <f>IFERROR(DATEVALUE([1]raw_orders!B88), "Invalid Date")</f>
        <v>45474</v>
      </c>
      <c r="C88" s="4">
        <f>IFERROR(DATEVALUE([1]raw_orders!C88), "Invalid Date")</f>
        <v>45474</v>
      </c>
      <c r="D88" t="str">
        <f>[1]raw_orders!D88</f>
        <v>CUST-9148</v>
      </c>
      <c r="E88" t="str">
        <f>PROPER(TRIM([1]raw_orders!E88))</f>
        <v>Ananya Rao</v>
      </c>
      <c r="F88" t="str">
        <f>PROPER(TRIM([1]raw_orders!F88))</f>
        <v>Small Business</v>
      </c>
      <c r="G88" t="str">
        <f>IF(TRIM([1]raw_orders!G88)="","Unknown",PROPER(TRIM([1]raw_orders!G88)))</f>
        <v>North</v>
      </c>
      <c r="H88" t="str">
        <f>PROPER(TRIM([1]raw_orders!H88))</f>
        <v>Delhi</v>
      </c>
      <c r="I88" t="str">
        <f>PROPER(TRIM([1]raw_orders!I88))</f>
        <v>New Delhi</v>
      </c>
      <c r="J88" t="str">
        <f>PROPER(TRIM([1]raw_orders!J88))</f>
        <v>Technology</v>
      </c>
      <c r="K88" t="str">
        <f>PROPER(TRIM([1]raw_orders!K88))</f>
        <v>Copiers</v>
      </c>
      <c r="L88" t="str">
        <f>[1]raw_orders!L88</f>
        <v>Basic Copiers 525</v>
      </c>
      <c r="M88" t="str">
        <f>IF(TRIM([1]raw_orders!M88)="","Unknown",PROPER(TRIM([1]raw_orders!M88)))</f>
        <v>Second Class</v>
      </c>
      <c r="N88" s="5">
        <f>[1]raw_orders!N88</f>
        <v>3</v>
      </c>
      <c r="O88" s="5">
        <f>[1]raw_orders!O88</f>
        <v>885.28</v>
      </c>
      <c r="P88" s="5">
        <f>[1]raw_orders!P88</f>
        <v>0.1</v>
      </c>
      <c r="Q88" t="str">
        <f>PROPER(TRIM([1]raw_orders!T88))</f>
        <v>Refunded</v>
      </c>
      <c r="R88" t="str">
        <f>PROPER(TRIM([1]raw_orders!U88))</f>
        <v>Cancelled</v>
      </c>
      <c r="S88" s="5">
        <f>[1]raw_orders!S88</f>
        <v>894.32</v>
      </c>
      <c r="T88" s="5">
        <f t="shared" si="8"/>
        <v>8.9432000000000009</v>
      </c>
      <c r="U88" s="5">
        <f t="shared" si="9"/>
        <v>-21095.868288000005</v>
      </c>
      <c r="V88" s="5">
        <f t="shared" si="10"/>
        <v>-21095.968288000004</v>
      </c>
      <c r="W88" s="5">
        <f t="shared" si="11"/>
        <v>1.0000047402647112</v>
      </c>
      <c r="X88" s="5">
        <f t="shared" si="12"/>
        <v>0</v>
      </c>
      <c r="Y88" s="5">
        <f t="shared" si="13"/>
        <v>7</v>
      </c>
      <c r="Z88" s="5">
        <f t="shared" si="14"/>
        <v>2024</v>
      </c>
      <c r="AA88" t="str">
        <f t="shared" si="15"/>
        <v>Clean</v>
      </c>
    </row>
    <row r="89" spans="1:27" x14ac:dyDescent="0.3">
      <c r="A89" t="str">
        <f>[1]raw_orders!A89</f>
        <v>ORD-2024-10088</v>
      </c>
      <c r="B89" s="4">
        <f>IFERROR(DATEVALUE([1]raw_orders!B89), "Invalid Date")</f>
        <v>45506</v>
      </c>
      <c r="C89" s="4">
        <f>IFERROR(DATEVALUE([1]raw_orders!C89), "Invalid Date")</f>
        <v>45507</v>
      </c>
      <c r="D89" t="str">
        <f>[1]raw_orders!D89</f>
        <v>CUST-5829</v>
      </c>
      <c r="E89" t="str">
        <f>PROPER(TRIM([1]raw_orders!E89))</f>
        <v>Vikram Iyer</v>
      </c>
      <c r="F89" t="str">
        <f>PROPER(TRIM([1]raw_orders!F89))</f>
        <v>Consumer</v>
      </c>
      <c r="G89" t="str">
        <f>IF(TRIM([1]raw_orders!G89)="","Unknown",PROPER(TRIM([1]raw_orders!G89)))</f>
        <v>East</v>
      </c>
      <c r="H89" t="str">
        <f>PROPER(TRIM([1]raw_orders!H89))</f>
        <v>Assam</v>
      </c>
      <c r="I89" t="str">
        <f>PROPER(TRIM([1]raw_orders!I89))</f>
        <v>Guwahati</v>
      </c>
      <c r="J89" t="str">
        <f>PROPER(TRIM([1]raw_orders!J89))</f>
        <v>Office Supplies</v>
      </c>
      <c r="K89" t="str">
        <f>PROPER(TRIM([1]raw_orders!K89))</f>
        <v>Binders</v>
      </c>
      <c r="L89" t="str">
        <f>[1]raw_orders!L89</f>
        <v>Eco Binders 258</v>
      </c>
      <c r="M89" t="str">
        <f>IF(TRIM([1]raw_orders!M89)="","Unknown",PROPER(TRIM([1]raw_orders!M89)))</f>
        <v>Standard Class</v>
      </c>
      <c r="N89" s="5">
        <f>[1]raw_orders!N89</f>
        <v>7</v>
      </c>
      <c r="O89" s="5">
        <f>[1]raw_orders!O89</f>
        <v>3345.22</v>
      </c>
      <c r="P89" s="5">
        <f>[1]raw_orders!P89</f>
        <v>0</v>
      </c>
      <c r="Q89" t="str">
        <f>PROPER(TRIM([1]raw_orders!T89))</f>
        <v>Paid</v>
      </c>
      <c r="R89" t="str">
        <f>PROPER(TRIM([1]raw_orders!U89))</f>
        <v>Completed</v>
      </c>
      <c r="S89" s="5">
        <f>[1]raw_orders!S89</f>
        <v>7925.65</v>
      </c>
      <c r="T89" s="5">
        <f t="shared" si="8"/>
        <v>79.256500000000003</v>
      </c>
      <c r="U89" s="5">
        <f t="shared" si="9"/>
        <v>-1832496.4625099998</v>
      </c>
      <c r="V89" s="5">
        <f t="shared" si="10"/>
        <v>-1832496.4625099998</v>
      </c>
      <c r="W89" s="5">
        <f t="shared" si="11"/>
        <v>1</v>
      </c>
      <c r="X89" s="5">
        <f t="shared" si="12"/>
        <v>1</v>
      </c>
      <c r="Y89" s="5">
        <f t="shared" si="13"/>
        <v>8</v>
      </c>
      <c r="Z89" s="5">
        <f t="shared" si="14"/>
        <v>2024</v>
      </c>
      <c r="AA89" t="str">
        <f t="shared" si="15"/>
        <v>Clean</v>
      </c>
    </row>
    <row r="90" spans="1:27" x14ac:dyDescent="0.3">
      <c r="A90" t="str">
        <f>[1]raw_orders!A90</f>
        <v>ORD-2024-10089</v>
      </c>
      <c r="B90" s="4" t="str">
        <f>IFERROR(DATEVALUE([1]raw_orders!B90), "Invalid Date")</f>
        <v>Invalid Date</v>
      </c>
      <c r="C90" s="4">
        <f>IFERROR(DATEVALUE([1]raw_orders!C90), "Invalid Date")</f>
        <v>45378</v>
      </c>
      <c r="D90" t="str">
        <f>[1]raw_orders!D90</f>
        <v>CUST-6059</v>
      </c>
      <c r="E90" t="str">
        <f>PROPER(TRIM([1]raw_orders!E90))</f>
        <v>Rohan Mehta</v>
      </c>
      <c r="F90" t="str">
        <f>PROPER(TRIM([1]raw_orders!F90))</f>
        <v>Small Business</v>
      </c>
      <c r="G90" t="str">
        <f>IF(TRIM([1]raw_orders!G90)="","Unknown",PROPER(TRIM([1]raw_orders!G90)))</f>
        <v>West</v>
      </c>
      <c r="H90" t="str">
        <f>PROPER(TRIM([1]raw_orders!H90))</f>
        <v>Maharashtra</v>
      </c>
      <c r="I90" t="str">
        <f>PROPER(TRIM([1]raw_orders!I90))</f>
        <v>Mumbai</v>
      </c>
      <c r="J90" t="str">
        <f>PROPER(TRIM([1]raw_orders!J90))</f>
        <v>Furniture</v>
      </c>
      <c r="K90" t="str">
        <f>PROPER(TRIM([1]raw_orders!K90))</f>
        <v>Bookcases</v>
      </c>
      <c r="L90" t="str">
        <f>[1]raw_orders!L90</f>
        <v>Max Bookcases 398</v>
      </c>
      <c r="M90" t="str">
        <f>IF(TRIM([1]raw_orders!M90)="","Unknown",PROPER(TRIM([1]raw_orders!M90)))</f>
        <v>Standard Class</v>
      </c>
      <c r="N90" s="5">
        <f>[1]raw_orders!N90</f>
        <v>2</v>
      </c>
      <c r="O90" s="5">
        <f>[1]raw_orders!O90</f>
        <v>3284.75</v>
      </c>
      <c r="P90" s="5">
        <f>[1]raw_orders!P90</f>
        <v>0.05</v>
      </c>
      <c r="Q90" t="str">
        <f>PROPER(TRIM([1]raw_orders!T90))</f>
        <v>Paid</v>
      </c>
      <c r="R90" t="str">
        <f>PROPER(TRIM([1]raw_orders!U90))</f>
        <v>Completed</v>
      </c>
      <c r="S90" s="5">
        <f>[1]raw_orders!S90</f>
        <v>895.14</v>
      </c>
      <c r="T90" s="5">
        <f t="shared" si="8"/>
        <v>8.9513999999999996</v>
      </c>
      <c r="U90" s="5">
        <f t="shared" si="9"/>
        <v>-52236.722299999994</v>
      </c>
      <c r="V90" s="5">
        <f t="shared" si="10"/>
        <v>-52236.772299999997</v>
      </c>
      <c r="W90" s="5">
        <f t="shared" si="11"/>
        <v>1.0000009571810367</v>
      </c>
      <c r="X90" s="5" t="str">
        <f t="shared" si="12"/>
        <v>Invalid Date</v>
      </c>
      <c r="Y90" s="5" t="e">
        <f t="shared" si="13"/>
        <v>#VALUE!</v>
      </c>
      <c r="Z90" s="5" t="e">
        <f t="shared" si="14"/>
        <v>#VALUE!</v>
      </c>
      <c r="AA90" t="str">
        <f t="shared" si="15"/>
        <v>Clean</v>
      </c>
    </row>
    <row r="91" spans="1:27" x14ac:dyDescent="0.3">
      <c r="A91" t="str">
        <f>[1]raw_orders!A91</f>
        <v>ORD-2024-10090</v>
      </c>
      <c r="B91" s="4">
        <f>IFERROR(DATEVALUE([1]raw_orders!B91), "Invalid Date")</f>
        <v>45540</v>
      </c>
      <c r="C91" s="4">
        <f>IFERROR(DATEVALUE([1]raw_orders!C91), "Invalid Date")</f>
        <v>45540</v>
      </c>
      <c r="D91" t="str">
        <f>[1]raw_orders!D91</f>
        <v>CUST-7744</v>
      </c>
      <c r="E91" t="str">
        <f>PROPER(TRIM([1]raw_orders!E91))</f>
        <v>Kabir Singh</v>
      </c>
      <c r="F91" t="str">
        <f>PROPER(TRIM([1]raw_orders!F91))</f>
        <v>Consumer</v>
      </c>
      <c r="G91" t="str">
        <f>IF(TRIM([1]raw_orders!G91)="","Unknown",PROPER(TRIM([1]raw_orders!G91)))</f>
        <v>South</v>
      </c>
      <c r="H91" t="str">
        <f>PROPER(TRIM([1]raw_orders!H91))</f>
        <v>Andhra Pradesh</v>
      </c>
      <c r="I91" t="str">
        <f>PROPER(TRIM([1]raw_orders!I91))</f>
        <v>Vijayawada</v>
      </c>
      <c r="J91" t="str">
        <f>PROPER(TRIM([1]raw_orders!J91))</f>
        <v>Furniture</v>
      </c>
      <c r="K91" t="str">
        <f>PROPER(TRIM([1]raw_orders!K91))</f>
        <v>Bookcases</v>
      </c>
      <c r="L91" t="str">
        <f>[1]raw_orders!L91</f>
        <v>Smart Bookcases 857</v>
      </c>
      <c r="M91" t="str">
        <f>IF(TRIM([1]raw_orders!M91)="","Unknown",PROPER(TRIM([1]raw_orders!M91)))</f>
        <v>Standard Class</v>
      </c>
      <c r="N91" s="5">
        <f>[1]raw_orders!N91</f>
        <v>7</v>
      </c>
      <c r="O91" s="5">
        <f>[1]raw_orders!O91</f>
        <v>3761.09</v>
      </c>
      <c r="P91" s="5">
        <f>[1]raw_orders!P91</f>
        <v>0.2</v>
      </c>
      <c r="Q91" t="str">
        <f>PROPER(TRIM([1]raw_orders!T91))</f>
        <v>Pending</v>
      </c>
      <c r="R91" t="str">
        <f>PROPER(TRIM([1]raw_orders!U91))</f>
        <v>Cancelled</v>
      </c>
      <c r="S91" s="5">
        <f>[1]raw_orders!S91</f>
        <v>9004.9699999999993</v>
      </c>
      <c r="T91" s="5">
        <f t="shared" si="8"/>
        <v>90.049699999999987</v>
      </c>
      <c r="U91" s="5">
        <f t="shared" si="9"/>
        <v>-2344467.5532109998</v>
      </c>
      <c r="V91" s="5">
        <f t="shared" si="10"/>
        <v>-2344467.753211</v>
      </c>
      <c r="W91" s="5">
        <f t="shared" si="11"/>
        <v>1.0000000853072162</v>
      </c>
      <c r="X91" s="5">
        <f t="shared" si="12"/>
        <v>0</v>
      </c>
      <c r="Y91" s="5">
        <f t="shared" si="13"/>
        <v>9</v>
      </c>
      <c r="Z91" s="5">
        <f t="shared" si="14"/>
        <v>2024</v>
      </c>
      <c r="AA91" t="str">
        <f t="shared" si="15"/>
        <v>Clean</v>
      </c>
    </row>
    <row r="92" spans="1:27" x14ac:dyDescent="0.3">
      <c r="A92" t="str">
        <f>[1]raw_orders!A92</f>
        <v>ORD-2025-10091</v>
      </c>
      <c r="B92" s="4" t="str">
        <f>IFERROR(DATEVALUE([1]raw_orders!B92), "Invalid Date")</f>
        <v>Invalid Date</v>
      </c>
      <c r="C92" s="4">
        <f>IFERROR(DATEVALUE([1]raw_orders!C92), "Invalid Date")</f>
        <v>45898</v>
      </c>
      <c r="D92" t="str">
        <f>[1]raw_orders!D92</f>
        <v>CUST-5909</v>
      </c>
      <c r="E92" t="str">
        <f>PROPER(TRIM([1]raw_orders!E92))</f>
        <v>Aarav Sharma</v>
      </c>
      <c r="F92" t="str">
        <f>PROPER(TRIM([1]raw_orders!F92))</f>
        <v>Small Business</v>
      </c>
      <c r="G92" t="str">
        <f>IF(TRIM([1]raw_orders!G92)="","Unknown",PROPER(TRIM([1]raw_orders!G92)))</f>
        <v>East</v>
      </c>
      <c r="H92" t="str">
        <f>PROPER(TRIM([1]raw_orders!H92))</f>
        <v>Bihar</v>
      </c>
      <c r="I92" t="str">
        <f>PROPER(TRIM([1]raw_orders!I92))</f>
        <v>Patna</v>
      </c>
      <c r="J92" t="str">
        <f>PROPER(TRIM([1]raw_orders!J92))</f>
        <v>Technology</v>
      </c>
      <c r="K92" t="str">
        <f>PROPER(TRIM([1]raw_orders!K92))</f>
        <v>Copiers</v>
      </c>
      <c r="L92" t="str">
        <f>[1]raw_orders!L92</f>
        <v>Smart Copiers 556</v>
      </c>
      <c r="M92" t="str">
        <f>IF(TRIM([1]raw_orders!M92)="","Unknown",PROPER(TRIM([1]raw_orders!M92)))</f>
        <v>First Class</v>
      </c>
      <c r="N92" s="5">
        <f>[1]raw_orders!N92</f>
        <v>3</v>
      </c>
      <c r="O92" s="5">
        <f>[1]raw_orders!O92</f>
        <v>3703.96</v>
      </c>
      <c r="P92" s="5">
        <f>[1]raw_orders!P92</f>
        <v>0.15</v>
      </c>
      <c r="Q92" t="str">
        <f>PROPER(TRIM([1]raw_orders!T92))</f>
        <v>Paid</v>
      </c>
      <c r="R92" t="str">
        <f>PROPER(TRIM([1]raw_orders!U92))</f>
        <v>Completed</v>
      </c>
      <c r="S92" s="5">
        <f>[1]raw_orders!S92</f>
        <v>3858.82</v>
      </c>
      <c r="T92" s="5">
        <f t="shared" si="8"/>
        <v>38.588200000000001</v>
      </c>
      <c r="U92" s="5">
        <f t="shared" si="9"/>
        <v>-417675.56781600002</v>
      </c>
      <c r="V92" s="5">
        <f t="shared" si="10"/>
        <v>-417675.71781600005</v>
      </c>
      <c r="W92" s="5">
        <f t="shared" si="11"/>
        <v>1.000000359130415</v>
      </c>
      <c r="X92" s="5" t="str">
        <f t="shared" si="12"/>
        <v>Invalid Date</v>
      </c>
      <c r="Y92" s="5" t="e">
        <f t="shared" si="13"/>
        <v>#VALUE!</v>
      </c>
      <c r="Z92" s="5" t="e">
        <f t="shared" si="14"/>
        <v>#VALUE!</v>
      </c>
      <c r="AA92" t="str">
        <f t="shared" si="15"/>
        <v>Clean</v>
      </c>
    </row>
    <row r="93" spans="1:27" x14ac:dyDescent="0.3">
      <c r="A93" t="str">
        <f>[1]raw_orders!A93</f>
        <v>ORD-2025-10092</v>
      </c>
      <c r="B93" s="4">
        <f>IFERROR(DATEVALUE([1]raw_orders!B93), "Invalid Date")</f>
        <v>45718</v>
      </c>
      <c r="C93" s="4">
        <f>IFERROR(DATEVALUE([1]raw_orders!C93), "Invalid Date")</f>
        <v>45872</v>
      </c>
      <c r="D93" t="str">
        <f>[1]raw_orders!D93</f>
        <v>CUST-6409</v>
      </c>
      <c r="E93" t="str">
        <f>PROPER(TRIM([1]raw_orders!E93))</f>
        <v>Sneha Kapoor</v>
      </c>
      <c r="F93" t="str">
        <f>PROPER(TRIM([1]raw_orders!F93))</f>
        <v>Corporate</v>
      </c>
      <c r="G93" t="str">
        <f>IF(TRIM([1]raw_orders!G93)="","Unknown",PROPER(TRIM([1]raw_orders!G93)))</f>
        <v>West</v>
      </c>
      <c r="H93" t="str">
        <f>PROPER(TRIM([1]raw_orders!H93))</f>
        <v>Madhya Pradesh</v>
      </c>
      <c r="I93" t="str">
        <f>PROPER(TRIM([1]raw_orders!I93))</f>
        <v>Indore</v>
      </c>
      <c r="J93" t="str">
        <f>PROPER(TRIM([1]raw_orders!J93))</f>
        <v>Technology</v>
      </c>
      <c r="K93" t="str">
        <f>PROPER(TRIM([1]raw_orders!K93))</f>
        <v>Copiers</v>
      </c>
      <c r="L93" t="str">
        <f>[1]raw_orders!L93</f>
        <v>Prime Copiers 575</v>
      </c>
      <c r="M93" t="str">
        <f>IF(TRIM([1]raw_orders!M93)="","Unknown",PROPER(TRIM([1]raw_orders!M93)))</f>
        <v>Second Class</v>
      </c>
      <c r="N93" s="5">
        <f>[1]raw_orders!N93</f>
        <v>9</v>
      </c>
      <c r="O93" s="5">
        <f>[1]raw_orders!O93</f>
        <v>269.68</v>
      </c>
      <c r="P93" s="5">
        <f>[1]raw_orders!P93</f>
        <v>0</v>
      </c>
      <c r="Q93" t="str">
        <f>PROPER(TRIM([1]raw_orders!T93))</f>
        <v>Paid</v>
      </c>
      <c r="R93" t="str">
        <f>PROPER(TRIM([1]raw_orders!U93))</f>
        <v>Completed</v>
      </c>
      <c r="S93" s="5">
        <f>[1]raw_orders!S93</f>
        <v>804.53</v>
      </c>
      <c r="T93" s="5">
        <f t="shared" si="8"/>
        <v>8.0452999999999992</v>
      </c>
      <c r="U93" s="5">
        <f t="shared" si="9"/>
        <v>-17099.788535999996</v>
      </c>
      <c r="V93" s="5">
        <f t="shared" si="10"/>
        <v>-17099.788535999996</v>
      </c>
      <c r="W93" s="5">
        <f t="shared" si="11"/>
        <v>1</v>
      </c>
      <c r="X93" s="5">
        <f t="shared" si="12"/>
        <v>154</v>
      </c>
      <c r="Y93" s="5">
        <f t="shared" si="13"/>
        <v>3</v>
      </c>
      <c r="Z93" s="5">
        <f t="shared" si="14"/>
        <v>2025</v>
      </c>
      <c r="AA93" t="str">
        <f t="shared" si="15"/>
        <v>Clean</v>
      </c>
    </row>
    <row r="94" spans="1:27" x14ac:dyDescent="0.3">
      <c r="A94" t="str">
        <f>[1]raw_orders!A94</f>
        <v>ORD-2025-10093</v>
      </c>
      <c r="B94" s="4">
        <f>IFERROR(DATEVALUE([1]raw_orders!B94), "Invalid Date")</f>
        <v>45680</v>
      </c>
      <c r="C94" s="4" t="str">
        <f>IFERROR(DATEVALUE([1]raw_orders!C94), "Invalid Date")</f>
        <v>Invalid Date</v>
      </c>
      <c r="D94" t="str">
        <f>[1]raw_orders!D94</f>
        <v>CUST-3014</v>
      </c>
      <c r="E94" t="str">
        <f>PROPER(TRIM([1]raw_orders!E94))</f>
        <v>Aarav Sharma</v>
      </c>
      <c r="F94" t="str">
        <f>PROPER(TRIM([1]raw_orders!F94))</f>
        <v>Consumer</v>
      </c>
      <c r="G94" t="str">
        <f>IF(TRIM([1]raw_orders!G94)="","Unknown",PROPER(TRIM([1]raw_orders!G94)))</f>
        <v>West</v>
      </c>
      <c r="H94" t="str">
        <f>PROPER(TRIM([1]raw_orders!H94))</f>
        <v>Madhya Pradesh</v>
      </c>
      <c r="I94" t="str">
        <f>PROPER(TRIM([1]raw_orders!I94))</f>
        <v>Indore</v>
      </c>
      <c r="J94" t="str">
        <f>PROPER(TRIM([1]raw_orders!J94))</f>
        <v>Office Supplies</v>
      </c>
      <c r="K94" t="str">
        <f>PROPER(TRIM([1]raw_orders!K94))</f>
        <v>Paper</v>
      </c>
      <c r="L94" t="str">
        <f>[1]raw_orders!L94</f>
        <v>Elite Paper 669</v>
      </c>
      <c r="M94" t="str">
        <f>IF(TRIM([1]raw_orders!M94)="","Unknown",PROPER(TRIM([1]raw_orders!M94)))</f>
        <v>Standard Class</v>
      </c>
      <c r="N94" s="5">
        <f>[1]raw_orders!N94</f>
        <v>9</v>
      </c>
      <c r="O94" s="5">
        <f>[1]raw_orders!O94</f>
        <v>4458.26</v>
      </c>
      <c r="P94" s="5">
        <f>[1]raw_orders!P94</f>
        <v>0.1</v>
      </c>
      <c r="Q94" t="str">
        <f>PROPER(TRIM([1]raw_orders!T94))</f>
        <v>Paid</v>
      </c>
      <c r="R94" t="str">
        <f>PROPER(TRIM([1]raw_orders!U94))</f>
        <v>Completed</v>
      </c>
      <c r="S94" s="5">
        <f>[1]raw_orders!S94</f>
        <v>6917.41</v>
      </c>
      <c r="T94" s="5">
        <f t="shared" si="8"/>
        <v>69.174099999999996</v>
      </c>
      <c r="U94" s="5">
        <f t="shared" si="9"/>
        <v>-2735440.7675939999</v>
      </c>
      <c r="V94" s="5">
        <f t="shared" si="10"/>
        <v>-2735440.867594</v>
      </c>
      <c r="W94" s="5">
        <f t="shared" si="11"/>
        <v>1.0000000365571799</v>
      </c>
      <c r="X94" s="5" t="str">
        <f t="shared" si="12"/>
        <v>Invalid Date</v>
      </c>
      <c r="Y94" s="5">
        <f t="shared" si="13"/>
        <v>1</v>
      </c>
      <c r="Z94" s="5">
        <f t="shared" si="14"/>
        <v>2025</v>
      </c>
      <c r="AA94" t="str">
        <f t="shared" si="15"/>
        <v>Clean</v>
      </c>
    </row>
    <row r="95" spans="1:27" x14ac:dyDescent="0.3">
      <c r="A95" t="str">
        <f>[1]raw_orders!A95</f>
        <v>ORD-2024-10094</v>
      </c>
      <c r="B95" s="4">
        <f>IFERROR(DATEVALUE([1]raw_orders!B95), "Invalid Date")</f>
        <v>45474</v>
      </c>
      <c r="C95" s="4">
        <f>IFERROR(DATEVALUE([1]raw_orders!C95), "Invalid Date")</f>
        <v>45304</v>
      </c>
      <c r="D95" t="str">
        <f>[1]raw_orders!D95</f>
        <v>CUST-6106</v>
      </c>
      <c r="E95" t="str">
        <f>PROPER(TRIM([1]raw_orders!E95))</f>
        <v>Rohan Mehta</v>
      </c>
      <c r="F95" t="str">
        <f>PROPER(TRIM([1]raw_orders!F95))</f>
        <v>Corporate</v>
      </c>
      <c r="G95" t="str">
        <f>IF(TRIM([1]raw_orders!G95)="","Unknown",PROPER(TRIM([1]raw_orders!G95)))</f>
        <v>North</v>
      </c>
      <c r="H95" t="str">
        <f>PROPER(TRIM([1]raw_orders!H95))</f>
        <v>Uttar Pradesh</v>
      </c>
      <c r="I95" t="str">
        <f>PROPER(TRIM([1]raw_orders!I95))</f>
        <v>Noida</v>
      </c>
      <c r="J95" t="str">
        <f>PROPER(TRIM([1]raw_orders!J95))</f>
        <v>Office Supplies</v>
      </c>
      <c r="K95" t="str">
        <f>PROPER(TRIM([1]raw_orders!K95))</f>
        <v>Binders</v>
      </c>
      <c r="L95" t="str">
        <f>[1]raw_orders!L95</f>
        <v>Eco Binders 780</v>
      </c>
      <c r="M95" t="str">
        <f>IF(TRIM([1]raw_orders!M95)="","Unknown",PROPER(TRIM([1]raw_orders!M95)))</f>
        <v>Standard Class</v>
      </c>
      <c r="N95" s="5">
        <f>[1]raw_orders!N95</f>
        <v>7</v>
      </c>
      <c r="O95" s="5">
        <f>[1]raw_orders!O95</f>
        <v>2788.97</v>
      </c>
      <c r="P95" s="5">
        <f>[1]raw_orders!P95</f>
        <v>-0.09</v>
      </c>
      <c r="Q95" t="str">
        <f>PROPER(TRIM([1]raw_orders!T95))</f>
        <v>Paid</v>
      </c>
      <c r="R95" t="str">
        <f>PROPER(TRIM([1]raw_orders!U95))</f>
        <v>Completed</v>
      </c>
      <c r="S95" s="5">
        <f>[1]raw_orders!S95</f>
        <v>7067.01</v>
      </c>
      <c r="T95" s="5">
        <f t="shared" si="8"/>
        <v>70.670100000000005</v>
      </c>
      <c r="U95" s="5">
        <f t="shared" si="9"/>
        <v>-1360154.7315789999</v>
      </c>
      <c r="V95" s="5">
        <f t="shared" si="10"/>
        <v>-1360154.6415789998</v>
      </c>
      <c r="W95" s="5">
        <f t="shared" si="11"/>
        <v>0.99999993383105756</v>
      </c>
      <c r="X95" s="5">
        <f t="shared" si="12"/>
        <v>-170</v>
      </c>
      <c r="Y95" s="5">
        <f t="shared" si="13"/>
        <v>7</v>
      </c>
      <c r="Z95" s="5">
        <f t="shared" si="14"/>
        <v>2024</v>
      </c>
      <c r="AA95" t="str">
        <f t="shared" si="15"/>
        <v>Invalid</v>
      </c>
    </row>
    <row r="96" spans="1:27" x14ac:dyDescent="0.3">
      <c r="A96" t="str">
        <f>[1]raw_orders!A96</f>
        <v>ORD-2024-10095</v>
      </c>
      <c r="B96" s="4">
        <f>IFERROR(DATEVALUE([1]raw_orders!B96), "Invalid Date")</f>
        <v>45452</v>
      </c>
      <c r="C96" s="4">
        <f>IFERROR(DATEVALUE([1]raw_orders!C96), "Invalid Date")</f>
        <v>45544</v>
      </c>
      <c r="D96" t="str">
        <f>[1]raw_orders!D96</f>
        <v>CUST-1926</v>
      </c>
      <c r="E96" t="str">
        <f>PROPER(TRIM([1]raw_orders!E96))</f>
        <v>Diya Patel</v>
      </c>
      <c r="F96" t="str">
        <f>PROPER(TRIM([1]raw_orders!F96))</f>
        <v>Consumer</v>
      </c>
      <c r="G96" t="str">
        <f>IF(TRIM([1]raw_orders!G96)="","Unknown",PROPER(TRIM([1]raw_orders!G96)))</f>
        <v>North</v>
      </c>
      <c r="H96" t="str">
        <f>PROPER(TRIM([1]raw_orders!H96))</f>
        <v>Haryana</v>
      </c>
      <c r="I96" t="str">
        <f>PROPER(TRIM([1]raw_orders!I96))</f>
        <v>Gurugram</v>
      </c>
      <c r="J96" t="str">
        <f>PROPER(TRIM([1]raw_orders!J96))</f>
        <v>Technology</v>
      </c>
      <c r="K96" t="str">
        <f>PROPER(TRIM([1]raw_orders!K96))</f>
        <v>Phones</v>
      </c>
      <c r="L96" t="str">
        <f>[1]raw_orders!L96</f>
        <v>Elite Phones 723</v>
      </c>
      <c r="M96" t="str">
        <f>IF(TRIM([1]raw_orders!M96)="","Unknown",PROPER(TRIM([1]raw_orders!M96)))</f>
        <v>Second Class</v>
      </c>
      <c r="N96" s="5">
        <f>[1]raw_orders!N96</f>
        <v>7</v>
      </c>
      <c r="O96" s="5">
        <f>[1]raw_orders!O96</f>
        <v>3781.53</v>
      </c>
      <c r="P96" s="5">
        <f>[1]raw_orders!P96</f>
        <v>0</v>
      </c>
      <c r="Q96" t="str">
        <f>PROPER(TRIM([1]raw_orders!T96))</f>
        <v>Pending</v>
      </c>
      <c r="R96" t="str">
        <f>PROPER(TRIM([1]raw_orders!U96))</f>
        <v>Cancelled</v>
      </c>
      <c r="S96" s="5">
        <f>[1]raw_orders!S96</f>
        <v>5103.1099999999997</v>
      </c>
      <c r="T96" s="5">
        <f t="shared" si="8"/>
        <v>51.031099999999995</v>
      </c>
      <c r="U96" s="5">
        <f t="shared" si="9"/>
        <v>-1324358.739081</v>
      </c>
      <c r="V96" s="5">
        <f t="shared" si="10"/>
        <v>-1324358.739081</v>
      </c>
      <c r="W96" s="5">
        <f t="shared" si="11"/>
        <v>1</v>
      </c>
      <c r="X96" s="5">
        <f t="shared" si="12"/>
        <v>92</v>
      </c>
      <c r="Y96" s="5">
        <f t="shared" si="13"/>
        <v>6</v>
      </c>
      <c r="Z96" s="5">
        <f t="shared" si="14"/>
        <v>2024</v>
      </c>
      <c r="AA96" t="str">
        <f t="shared" si="15"/>
        <v>Clean</v>
      </c>
    </row>
    <row r="97" spans="1:27" x14ac:dyDescent="0.3">
      <c r="A97" t="str">
        <f>[1]raw_orders!A97</f>
        <v>ORD-2025-10096</v>
      </c>
      <c r="B97" s="4">
        <f>IFERROR(DATEVALUE([1]raw_orders!B97), "Invalid Date")</f>
        <v>45905</v>
      </c>
      <c r="C97" s="4">
        <f>IFERROR(DATEVALUE([1]raw_orders!C97), "Invalid Date")</f>
        <v>45939</v>
      </c>
      <c r="D97" t="str">
        <f>[1]raw_orders!D97</f>
        <v>CUST-2687</v>
      </c>
      <c r="E97" t="str">
        <f>PROPER(TRIM([1]raw_orders!E97))</f>
        <v>Sneha Kapoor</v>
      </c>
      <c r="F97" t="str">
        <f>PROPER(TRIM([1]raw_orders!F97))</f>
        <v>Corporate</v>
      </c>
      <c r="G97" t="str">
        <f>IF(TRIM([1]raw_orders!G97)="","Unknown",PROPER(TRIM([1]raw_orders!G97)))</f>
        <v>West</v>
      </c>
      <c r="H97" t="str">
        <f>PROPER(TRIM([1]raw_orders!H97))</f>
        <v>Goa</v>
      </c>
      <c r="I97" t="str">
        <f>PROPER(TRIM([1]raw_orders!I97))</f>
        <v>Panaji</v>
      </c>
      <c r="J97" t="str">
        <f>PROPER(TRIM([1]raw_orders!J97))</f>
        <v>Furniture</v>
      </c>
      <c r="K97" t="str">
        <f>PROPER(TRIM([1]raw_orders!K97))</f>
        <v>Bookcases</v>
      </c>
      <c r="L97" t="str">
        <f>[1]raw_orders!L97</f>
        <v>Classic Bookcases 988</v>
      </c>
      <c r="M97" t="str">
        <f>IF(TRIM([1]raw_orders!M97)="","Unknown",PROPER(TRIM([1]raw_orders!M97)))</f>
        <v>Same Day</v>
      </c>
      <c r="N97" s="5">
        <f>[1]raw_orders!N97</f>
        <v>6</v>
      </c>
      <c r="O97" s="5">
        <f>[1]raw_orders!O97</f>
        <v>1754.13</v>
      </c>
      <c r="P97" s="5">
        <f>[1]raw_orders!P97</f>
        <v>0</v>
      </c>
      <c r="Q97" t="str">
        <f>PROPER(TRIM([1]raw_orders!T97))</f>
        <v>Paid</v>
      </c>
      <c r="R97" t="str">
        <f>PROPER(TRIM([1]raw_orders!U97))</f>
        <v>Completed</v>
      </c>
      <c r="S97" s="5">
        <f>[1]raw_orders!S97</f>
        <v>1683.73</v>
      </c>
      <c r="T97" s="5">
        <f t="shared" si="8"/>
        <v>16.837299999999999</v>
      </c>
      <c r="U97" s="5">
        <f t="shared" si="9"/>
        <v>-166684.098294</v>
      </c>
      <c r="V97" s="5">
        <f t="shared" si="10"/>
        <v>-166684.098294</v>
      </c>
      <c r="W97" s="5">
        <f t="shared" si="11"/>
        <v>1</v>
      </c>
      <c r="X97" s="5">
        <f t="shared" si="12"/>
        <v>34</v>
      </c>
      <c r="Y97" s="5">
        <f t="shared" si="13"/>
        <v>9</v>
      </c>
      <c r="Z97" s="5">
        <f t="shared" si="14"/>
        <v>2025</v>
      </c>
      <c r="AA97" t="str">
        <f t="shared" si="15"/>
        <v>Clean</v>
      </c>
    </row>
    <row r="98" spans="1:27" x14ac:dyDescent="0.3">
      <c r="A98" t="str">
        <f>[1]raw_orders!A98</f>
        <v>ORD-2024-10097</v>
      </c>
      <c r="B98" s="4">
        <f>IFERROR(DATEVALUE([1]raw_orders!B98), "Invalid Date")</f>
        <v>45448</v>
      </c>
      <c r="C98" s="4">
        <f>IFERROR(DATEVALUE([1]raw_orders!C98), "Invalid Date")</f>
        <v>45450</v>
      </c>
      <c r="D98" t="str">
        <f>[1]raw_orders!D98</f>
        <v>CUST-7283</v>
      </c>
      <c r="E98" t="str">
        <f>PROPER(TRIM([1]raw_orders!E98))</f>
        <v>Rahul Verma</v>
      </c>
      <c r="F98" t="str">
        <f>PROPER(TRIM([1]raw_orders!F98))</f>
        <v>Home Office</v>
      </c>
      <c r="G98" t="str">
        <f>IF(TRIM([1]raw_orders!G98)="","Unknown",PROPER(TRIM([1]raw_orders!G98)))</f>
        <v>East</v>
      </c>
      <c r="H98" t="str">
        <f>PROPER(TRIM([1]raw_orders!H98))</f>
        <v>Odisha</v>
      </c>
      <c r="I98" t="str">
        <f>PROPER(TRIM([1]raw_orders!I98))</f>
        <v>Bhubaneswar</v>
      </c>
      <c r="J98" t="str">
        <f>PROPER(TRIM([1]raw_orders!J98))</f>
        <v>Technology</v>
      </c>
      <c r="K98" t="str">
        <f>PROPER(TRIM([1]raw_orders!K98))</f>
        <v>Copiers</v>
      </c>
      <c r="L98" t="str">
        <f>[1]raw_orders!L98</f>
        <v>Smart Copiers 547</v>
      </c>
      <c r="M98" t="str">
        <f>IF(TRIM([1]raw_orders!M98)="","Unknown",PROPER(TRIM([1]raw_orders!M98)))</f>
        <v>Second Class</v>
      </c>
      <c r="N98" s="5">
        <f>[1]raw_orders!N98</f>
        <v>2</v>
      </c>
      <c r="O98" s="5">
        <f>[1]raw_orders!O98</f>
        <v>2259.2399999999998</v>
      </c>
      <c r="P98" s="5">
        <f>[1]raw_orders!P98</f>
        <v>0.15</v>
      </c>
      <c r="Q98" t="str">
        <f>PROPER(TRIM([1]raw_orders!T98))</f>
        <v>Paid</v>
      </c>
      <c r="R98" t="str">
        <f>PROPER(TRIM([1]raw_orders!U98))</f>
        <v>Completed</v>
      </c>
      <c r="S98" s="5">
        <f>[1]raw_orders!S98</f>
        <v>1324.42</v>
      </c>
      <c r="T98" s="5">
        <f t="shared" si="8"/>
        <v>13.244200000000001</v>
      </c>
      <c r="U98" s="5">
        <f t="shared" si="9"/>
        <v>-55325.172815999998</v>
      </c>
      <c r="V98" s="5">
        <f t="shared" si="10"/>
        <v>-55325.322816</v>
      </c>
      <c r="W98" s="5">
        <f t="shared" si="11"/>
        <v>1.0000027112432255</v>
      </c>
      <c r="X98" s="5">
        <f t="shared" si="12"/>
        <v>2</v>
      </c>
      <c r="Y98" s="5">
        <f t="shared" si="13"/>
        <v>6</v>
      </c>
      <c r="Z98" s="5">
        <f t="shared" si="14"/>
        <v>2024</v>
      </c>
      <c r="AA98" t="str">
        <f t="shared" si="15"/>
        <v>Clean</v>
      </c>
    </row>
    <row r="99" spans="1:27" x14ac:dyDescent="0.3">
      <c r="A99" t="str">
        <f>[1]raw_orders!A99</f>
        <v>ORD-2025-10098</v>
      </c>
      <c r="B99" s="4">
        <f>IFERROR(DATEVALUE([1]raw_orders!B99), "Invalid Date")</f>
        <v>45877</v>
      </c>
      <c r="C99" s="4">
        <f>IFERROR(DATEVALUE([1]raw_orders!C99), "Invalid Date")</f>
        <v>45880</v>
      </c>
      <c r="D99" t="str">
        <f>[1]raw_orders!D99</f>
        <v>CUST-8111</v>
      </c>
      <c r="E99" t="str">
        <f>PROPER(TRIM([1]raw_orders!E99))</f>
        <v>Diya Patel</v>
      </c>
      <c r="F99" t="str">
        <f>PROPER(TRIM([1]raw_orders!F99))</f>
        <v>Small Business</v>
      </c>
      <c r="G99" t="str">
        <f>IF(TRIM([1]raw_orders!G99)="","Unknown",PROPER(TRIM([1]raw_orders!G99)))</f>
        <v>West</v>
      </c>
      <c r="H99" t="str">
        <f>PROPER(TRIM([1]raw_orders!H99))</f>
        <v>Gujarat</v>
      </c>
      <c r="I99" t="str">
        <f>PROPER(TRIM([1]raw_orders!I99))</f>
        <v>Ahmedabad</v>
      </c>
      <c r="J99" t="str">
        <f>PROPER(TRIM([1]raw_orders!J99))</f>
        <v>Office Supplies</v>
      </c>
      <c r="K99" t="str">
        <f>PROPER(TRIM([1]raw_orders!K99))</f>
        <v>Storage</v>
      </c>
      <c r="L99" t="str">
        <f>[1]raw_orders!L99</f>
        <v>Basic Storage 656</v>
      </c>
      <c r="M99" t="str">
        <f>IF(TRIM([1]raw_orders!M99)="","Unknown",PROPER(TRIM([1]raw_orders!M99)))</f>
        <v>Same Day</v>
      </c>
      <c r="N99" s="5">
        <f>[1]raw_orders!N99</f>
        <v>5</v>
      </c>
      <c r="O99" s="5">
        <f>[1]raw_orders!O99</f>
        <v>3602.36</v>
      </c>
      <c r="P99" s="5">
        <f>[1]raw_orders!P99</f>
        <v>0.2</v>
      </c>
      <c r="Q99" t="str">
        <f>PROPER(TRIM([1]raw_orders!T99))</f>
        <v>Pending</v>
      </c>
      <c r="R99" t="str">
        <f>PROPER(TRIM([1]raw_orders!U99))</f>
        <v>Returned</v>
      </c>
      <c r="S99" s="5">
        <f>[1]raw_orders!S99</f>
        <v>5599.47</v>
      </c>
      <c r="T99" s="5">
        <f t="shared" si="8"/>
        <v>55.994700000000002</v>
      </c>
      <c r="U99" s="5">
        <f t="shared" si="9"/>
        <v>-990553.53746000002</v>
      </c>
      <c r="V99" s="5">
        <f t="shared" si="10"/>
        <v>-990553.73745999997</v>
      </c>
      <c r="W99" s="5">
        <f t="shared" si="11"/>
        <v>1.0000002019073098</v>
      </c>
      <c r="X99" s="5">
        <f t="shared" si="12"/>
        <v>3</v>
      </c>
      <c r="Y99" s="5">
        <f t="shared" si="13"/>
        <v>8</v>
      </c>
      <c r="Z99" s="5">
        <f t="shared" si="14"/>
        <v>2025</v>
      </c>
      <c r="AA99" t="str">
        <f t="shared" si="15"/>
        <v>Clean</v>
      </c>
    </row>
    <row r="100" spans="1:27" x14ac:dyDescent="0.3">
      <c r="A100" t="str">
        <f>[1]raw_orders!A100</f>
        <v>ORD-2024-10099</v>
      </c>
      <c r="B100" s="4">
        <f>IFERROR(DATEVALUE([1]raw_orders!B100), "Invalid Date")</f>
        <v>45317</v>
      </c>
      <c r="C100" s="4">
        <f>IFERROR(DATEVALUE([1]raw_orders!C100), "Invalid Date")</f>
        <v>45293</v>
      </c>
      <c r="D100" t="str">
        <f>[1]raw_orders!D100</f>
        <v>CUST-5434</v>
      </c>
      <c r="E100" t="str">
        <f>PROPER(TRIM([1]raw_orders!E100))</f>
        <v>Rohan Mehta</v>
      </c>
      <c r="F100" t="str">
        <f>PROPER(TRIM([1]raw_orders!F100))</f>
        <v>Home Office</v>
      </c>
      <c r="G100" t="str">
        <f>IF(TRIM([1]raw_orders!G100)="","Unknown",PROPER(TRIM([1]raw_orders!G100)))</f>
        <v>South</v>
      </c>
      <c r="H100" t="str">
        <f>PROPER(TRIM([1]raw_orders!H100))</f>
        <v>Kerala</v>
      </c>
      <c r="I100" t="str">
        <f>PROPER(TRIM([1]raw_orders!I100))</f>
        <v>Kochi</v>
      </c>
      <c r="J100" t="str">
        <f>PROPER(TRIM([1]raw_orders!J100))</f>
        <v>Technology</v>
      </c>
      <c r="K100" t="str">
        <f>PROPER(TRIM([1]raw_orders!K100))</f>
        <v>Copiers</v>
      </c>
      <c r="L100" t="str">
        <f>[1]raw_orders!L100</f>
        <v>Elite Copiers 785</v>
      </c>
      <c r="M100" t="str">
        <f>IF(TRIM([1]raw_orders!M100)="","Unknown",PROPER(TRIM([1]raw_orders!M100)))</f>
        <v>Unknown</v>
      </c>
      <c r="N100" s="5">
        <f>[1]raw_orders!N100</f>
        <v>8</v>
      </c>
      <c r="O100" s="5">
        <f>[1]raw_orders!O100</f>
        <v>2108.9299999999998</v>
      </c>
      <c r="P100" s="5">
        <f>[1]raw_orders!P100</f>
        <v>0.1</v>
      </c>
      <c r="Q100" t="str">
        <f>PROPER(TRIM([1]raw_orders!T100))</f>
        <v>Paid</v>
      </c>
      <c r="R100" t="str">
        <f>PROPER(TRIM([1]raw_orders!U100))</f>
        <v>Completed</v>
      </c>
      <c r="S100" s="5">
        <f>[1]raw_orders!S100</f>
        <v>3913.56</v>
      </c>
      <c r="T100" s="5">
        <f t="shared" si="8"/>
        <v>39.135599999999997</v>
      </c>
      <c r="U100" s="5">
        <f t="shared" si="9"/>
        <v>-643402.48726399988</v>
      </c>
      <c r="V100" s="5">
        <f t="shared" si="10"/>
        <v>-643402.58726399986</v>
      </c>
      <c r="W100" s="5">
        <f t="shared" si="11"/>
        <v>1.0000001554237075</v>
      </c>
      <c r="X100" s="5">
        <f t="shared" si="12"/>
        <v>-24</v>
      </c>
      <c r="Y100" s="5">
        <f t="shared" si="13"/>
        <v>1</v>
      </c>
      <c r="Z100" s="5">
        <f t="shared" si="14"/>
        <v>2024</v>
      </c>
      <c r="AA100" t="str">
        <f t="shared" si="15"/>
        <v>Invalid</v>
      </c>
    </row>
    <row r="101" spans="1:27" x14ac:dyDescent="0.3">
      <c r="A101" t="str">
        <f>[1]raw_orders!A101</f>
        <v>ORD-2025-10100</v>
      </c>
      <c r="B101" s="4">
        <f>IFERROR(DATEVALUE([1]raw_orders!B101), "Invalid Date")</f>
        <v>45668</v>
      </c>
      <c r="C101" s="4">
        <f>IFERROR(DATEVALUE([1]raw_orders!C101), "Invalid Date")</f>
        <v>45668</v>
      </c>
      <c r="D101" t="str">
        <f>[1]raw_orders!D101</f>
        <v>CUST-3865</v>
      </c>
      <c r="E101" t="str">
        <f>PROPER(TRIM([1]raw_orders!E101))</f>
        <v>Aditi Sen</v>
      </c>
      <c r="F101" t="str">
        <f>PROPER(TRIM([1]raw_orders!F101))</f>
        <v>Small Business</v>
      </c>
      <c r="G101" t="str">
        <f>IF(TRIM([1]raw_orders!G101)="","Unknown",PROPER(TRIM([1]raw_orders!G101)))</f>
        <v>West</v>
      </c>
      <c r="H101" t="str">
        <f>PROPER(TRIM([1]raw_orders!H101))</f>
        <v>Rajasthan</v>
      </c>
      <c r="I101" t="str">
        <f>PROPER(TRIM([1]raw_orders!I101))</f>
        <v>Udaipur</v>
      </c>
      <c r="J101" t="str">
        <f>PROPER(TRIM([1]raw_orders!J101))</f>
        <v>Technology</v>
      </c>
      <c r="K101" t="str">
        <f>PROPER(TRIM([1]raw_orders!K101))</f>
        <v>Accessories</v>
      </c>
      <c r="L101" t="str">
        <f>[1]raw_orders!L101</f>
        <v>Smart Accessories 542</v>
      </c>
      <c r="M101" t="str">
        <f>IF(TRIM([1]raw_orders!M101)="","Unknown",PROPER(TRIM([1]raw_orders!M101)))</f>
        <v>Same Day</v>
      </c>
      <c r="N101" s="5">
        <f>[1]raw_orders!N101</f>
        <v>3</v>
      </c>
      <c r="O101" s="5">
        <f>[1]raw_orders!O101</f>
        <v>2165.29</v>
      </c>
      <c r="P101" s="5">
        <f>[1]raw_orders!P101</f>
        <v>0</v>
      </c>
      <c r="Q101" t="str">
        <f>PROPER(TRIM([1]raw_orders!T101))</f>
        <v>Paid</v>
      </c>
      <c r="R101" t="str">
        <f>PROPER(TRIM([1]raw_orders!U101))</f>
        <v>Completed</v>
      </c>
      <c r="S101" s="5">
        <f>[1]raw_orders!S101</f>
        <v>1794.98</v>
      </c>
      <c r="T101" s="5">
        <f t="shared" si="8"/>
        <v>17.9498</v>
      </c>
      <c r="U101" s="5">
        <f t="shared" si="9"/>
        <v>-110103.69732599999</v>
      </c>
      <c r="V101" s="5">
        <f t="shared" si="10"/>
        <v>-110103.69732599999</v>
      </c>
      <c r="W101" s="5">
        <f t="shared" si="11"/>
        <v>1</v>
      </c>
      <c r="X101" s="5">
        <f t="shared" si="12"/>
        <v>0</v>
      </c>
      <c r="Y101" s="5">
        <f t="shared" si="13"/>
        <v>1</v>
      </c>
      <c r="Z101" s="5">
        <f t="shared" si="14"/>
        <v>2025</v>
      </c>
      <c r="AA101" t="str">
        <f t="shared" si="15"/>
        <v>Clean</v>
      </c>
    </row>
    <row r="102" spans="1:27" x14ac:dyDescent="0.3">
      <c r="A102" t="str">
        <f>[1]raw_orders!A102</f>
        <v>ORD-2025-10101</v>
      </c>
      <c r="B102" s="4">
        <f>IFERROR(DATEVALUE([1]raw_orders!B102), "Invalid Date")</f>
        <v>45912</v>
      </c>
      <c r="C102" s="4">
        <f>IFERROR(DATEVALUE([1]raw_orders!C102), "Invalid Date")</f>
        <v>45918</v>
      </c>
      <c r="D102" t="str">
        <f>[1]raw_orders!D102</f>
        <v>CUST-6015</v>
      </c>
      <c r="E102" t="str">
        <f>PROPER(TRIM([1]raw_orders!E102))</f>
        <v>Aarav Sharma</v>
      </c>
      <c r="F102" t="str">
        <f>PROPER(TRIM([1]raw_orders!F102))</f>
        <v>Home Office</v>
      </c>
      <c r="G102" t="str">
        <f>IF(TRIM([1]raw_orders!G102)="","Unknown",PROPER(TRIM([1]raw_orders!G102)))</f>
        <v>South</v>
      </c>
      <c r="H102" t="str">
        <f>PROPER(TRIM([1]raw_orders!H102))</f>
        <v>Kerala</v>
      </c>
      <c r="I102" t="str">
        <f>PROPER(TRIM([1]raw_orders!I102))</f>
        <v>Kochi</v>
      </c>
      <c r="J102" t="str">
        <f>PROPER(TRIM([1]raw_orders!J102))</f>
        <v>Office Supplies</v>
      </c>
      <c r="K102" t="str">
        <f>PROPER(TRIM([1]raw_orders!K102))</f>
        <v>Storage</v>
      </c>
      <c r="L102" t="str">
        <f>[1]raw_orders!L102</f>
        <v>Eco Storage 936</v>
      </c>
      <c r="M102" t="str">
        <f>IF(TRIM([1]raw_orders!M102)="","Unknown",PROPER(TRIM([1]raw_orders!M102)))</f>
        <v>Standard Class</v>
      </c>
      <c r="N102" s="5">
        <f>[1]raw_orders!N102</f>
        <v>6</v>
      </c>
      <c r="O102" s="5">
        <f>[1]raw_orders!O102</f>
        <v>1673.8</v>
      </c>
      <c r="P102" s="5">
        <f>[1]raw_orders!P102</f>
        <v>0.05</v>
      </c>
      <c r="Q102" t="str">
        <f>PROPER(TRIM([1]raw_orders!T102))</f>
        <v>Paid</v>
      </c>
      <c r="R102" t="str">
        <f>PROPER(TRIM([1]raw_orders!U102))</f>
        <v>Completed</v>
      </c>
      <c r="S102" s="5">
        <f>[1]raw_orders!S102</f>
        <v>3979.17</v>
      </c>
      <c r="T102" s="5">
        <f t="shared" si="8"/>
        <v>39.791699999999999</v>
      </c>
      <c r="U102" s="5">
        <f t="shared" si="9"/>
        <v>-389577.28475999995</v>
      </c>
      <c r="V102" s="5">
        <f t="shared" si="10"/>
        <v>-389577.33475999994</v>
      </c>
      <c r="W102" s="5">
        <f t="shared" si="11"/>
        <v>1.0000001283442386</v>
      </c>
      <c r="X102" s="5">
        <f t="shared" si="12"/>
        <v>6</v>
      </c>
      <c r="Y102" s="5">
        <f t="shared" si="13"/>
        <v>9</v>
      </c>
      <c r="Z102" s="5">
        <f t="shared" si="14"/>
        <v>2025</v>
      </c>
      <c r="AA102" t="str">
        <f t="shared" si="15"/>
        <v>Clean</v>
      </c>
    </row>
    <row r="103" spans="1:27" x14ac:dyDescent="0.3">
      <c r="A103" t="str">
        <f>[1]raw_orders!A103</f>
        <v>ORD-2024-10102</v>
      </c>
      <c r="B103" s="4" t="str">
        <f>IFERROR(DATEVALUE([1]raw_orders!B103), "Invalid Date")</f>
        <v>Invalid Date</v>
      </c>
      <c r="C103" s="4">
        <f>IFERROR(DATEVALUE([1]raw_orders!C103), "Invalid Date")</f>
        <v>45469</v>
      </c>
      <c r="D103" t="str">
        <f>[1]raw_orders!D103</f>
        <v>CUST-7909</v>
      </c>
      <c r="E103" t="str">
        <f>PROPER(TRIM([1]raw_orders!E103))</f>
        <v>Rohan Mehta</v>
      </c>
      <c r="F103" t="str">
        <f>PROPER(TRIM([1]raw_orders!F103))</f>
        <v>Home Office</v>
      </c>
      <c r="G103" t="str">
        <f>IF(TRIM([1]raw_orders!G103)="","Unknown",PROPER(TRIM([1]raw_orders!G103)))</f>
        <v>East</v>
      </c>
      <c r="H103" t="str">
        <f>PROPER(TRIM([1]raw_orders!H103))</f>
        <v>Bihar</v>
      </c>
      <c r="I103" t="str">
        <f>PROPER(TRIM([1]raw_orders!I103))</f>
        <v>Patna</v>
      </c>
      <c r="J103" t="str">
        <f>PROPER(TRIM([1]raw_orders!J103))</f>
        <v>Furniture</v>
      </c>
      <c r="K103" t="str">
        <f>PROPER(TRIM([1]raw_orders!K103))</f>
        <v>Furnishings</v>
      </c>
      <c r="L103" t="str">
        <f>[1]raw_orders!L103</f>
        <v>Classic Furnishings 682</v>
      </c>
      <c r="M103" t="str">
        <f>IF(TRIM([1]raw_orders!M103)="","Unknown",PROPER(TRIM([1]raw_orders!M103)))</f>
        <v>First Class</v>
      </c>
      <c r="N103" s="5">
        <f>[1]raw_orders!N103</f>
        <v>5</v>
      </c>
      <c r="O103" s="5">
        <f>[1]raw_orders!O103</f>
        <v>4396.5200000000004</v>
      </c>
      <c r="P103" s="5">
        <f>[1]raw_orders!P103</f>
        <v>0.25</v>
      </c>
      <c r="Q103" t="str">
        <f>PROPER(TRIM([1]raw_orders!T103))</f>
        <v>Paid</v>
      </c>
      <c r="R103" t="str">
        <f>PROPER(TRIM([1]raw_orders!U103))</f>
        <v>Completed</v>
      </c>
      <c r="S103" s="5">
        <f>[1]raw_orders!S103</f>
        <v>4432.8100000000004</v>
      </c>
      <c r="T103" s="5">
        <f t="shared" si="8"/>
        <v>44.328100000000006</v>
      </c>
      <c r="U103" s="5">
        <f t="shared" si="9"/>
        <v>-952464.29106000019</v>
      </c>
      <c r="V103" s="5">
        <f t="shared" si="10"/>
        <v>-952464.54106000019</v>
      </c>
      <c r="W103" s="5">
        <f t="shared" si="11"/>
        <v>1.0000002624770319</v>
      </c>
      <c r="X103" s="5" t="str">
        <f t="shared" si="12"/>
        <v>Invalid Date</v>
      </c>
      <c r="Y103" s="5" t="e">
        <f t="shared" si="13"/>
        <v>#VALUE!</v>
      </c>
      <c r="Z103" s="5" t="e">
        <f t="shared" si="14"/>
        <v>#VALUE!</v>
      </c>
      <c r="AA103" t="str">
        <f t="shared" si="15"/>
        <v>Clean</v>
      </c>
    </row>
    <row r="104" spans="1:27" x14ac:dyDescent="0.3">
      <c r="A104" t="str">
        <f>[1]raw_orders!A104</f>
        <v>ORD-2025-10103</v>
      </c>
      <c r="B104" s="4">
        <f>IFERROR(DATEVALUE([1]raw_orders!B104), "Invalid Date")</f>
        <v>45850</v>
      </c>
      <c r="C104" s="4">
        <f>IFERROR(DATEVALUE([1]raw_orders!C104), "Invalid Date")</f>
        <v>45854</v>
      </c>
      <c r="D104" t="str">
        <f>[1]raw_orders!D104</f>
        <v>CUST-9603</v>
      </c>
      <c r="E104" t="str">
        <f>PROPER(TRIM([1]raw_orders!E104))</f>
        <v>Vikram Iyer</v>
      </c>
      <c r="F104" t="str">
        <f>PROPER(TRIM([1]raw_orders!F104))</f>
        <v>Consumer</v>
      </c>
      <c r="G104" t="str">
        <f>IF(TRIM([1]raw_orders!G104)="","Unknown",PROPER(TRIM([1]raw_orders!G104)))</f>
        <v>South</v>
      </c>
      <c r="H104" t="str">
        <f>PROPER(TRIM([1]raw_orders!H104))</f>
        <v>Karnataka</v>
      </c>
      <c r="I104" t="str">
        <f>PROPER(TRIM([1]raw_orders!I104))</f>
        <v>Bengaluru</v>
      </c>
      <c r="J104" t="str">
        <f>PROPER(TRIM([1]raw_orders!J104))</f>
        <v>Furniture</v>
      </c>
      <c r="K104" t="str">
        <f>PROPER(TRIM([1]raw_orders!K104))</f>
        <v>Chairs</v>
      </c>
      <c r="L104" t="str">
        <f>[1]raw_orders!L104</f>
        <v>Classic Chairs 604</v>
      </c>
      <c r="M104" t="str">
        <f>IF(TRIM([1]raw_orders!M104)="","Unknown",PROPER(TRIM([1]raw_orders!M104)))</f>
        <v>First Class</v>
      </c>
      <c r="N104" s="5">
        <f>[1]raw_orders!N104</f>
        <v>4</v>
      </c>
      <c r="O104" s="5">
        <f>[1]raw_orders!O104</f>
        <v>2865.71</v>
      </c>
      <c r="P104" s="5">
        <f>[1]raw_orders!P104</f>
        <v>0</v>
      </c>
      <c r="Q104" t="str">
        <f>PROPER(TRIM([1]raw_orders!T104))</f>
        <v>Refunded</v>
      </c>
      <c r="R104" t="str">
        <f>PROPER(TRIM([1]raw_orders!U104))</f>
        <v>Cancelled</v>
      </c>
      <c r="S104" s="5">
        <f>[1]raw_orders!S104</f>
        <v>2483.06</v>
      </c>
      <c r="T104" s="5">
        <f t="shared" si="8"/>
        <v>24.8306</v>
      </c>
      <c r="U104" s="5">
        <f t="shared" si="9"/>
        <v>-273166.35490400001</v>
      </c>
      <c r="V104" s="5">
        <f t="shared" si="10"/>
        <v>-273166.35490400001</v>
      </c>
      <c r="W104" s="5">
        <f t="shared" si="11"/>
        <v>1</v>
      </c>
      <c r="X104" s="5">
        <f t="shared" si="12"/>
        <v>4</v>
      </c>
      <c r="Y104" s="5">
        <f t="shared" si="13"/>
        <v>7</v>
      </c>
      <c r="Z104" s="5">
        <f t="shared" si="14"/>
        <v>2025</v>
      </c>
      <c r="AA104" t="str">
        <f t="shared" si="15"/>
        <v>Clean</v>
      </c>
    </row>
    <row r="105" spans="1:27" x14ac:dyDescent="0.3">
      <c r="A105" t="str">
        <f>[1]raw_orders!A105</f>
        <v>ORD-2025-10104</v>
      </c>
      <c r="B105" s="4">
        <f>IFERROR(DATEVALUE([1]raw_orders!B105), "Invalid Date")</f>
        <v>45693</v>
      </c>
      <c r="C105" s="4">
        <f>IFERROR(DATEVALUE([1]raw_orders!C105), "Invalid Date")</f>
        <v>45935</v>
      </c>
      <c r="D105" t="str">
        <f>[1]raw_orders!D105</f>
        <v>CUST-6263</v>
      </c>
      <c r="E105" t="str">
        <f>PROPER(TRIM([1]raw_orders!E105))</f>
        <v>Kabir Singh</v>
      </c>
      <c r="F105" t="str">
        <f>PROPER(TRIM([1]raw_orders!F105))</f>
        <v>Corporate</v>
      </c>
      <c r="G105" t="str">
        <f>IF(TRIM([1]raw_orders!G105)="","Unknown",PROPER(TRIM([1]raw_orders!G105)))</f>
        <v>West</v>
      </c>
      <c r="H105" t="str">
        <f>PROPER(TRIM([1]raw_orders!H105))</f>
        <v>Maharashtra</v>
      </c>
      <c r="I105" t="str">
        <f>PROPER(TRIM([1]raw_orders!I105))</f>
        <v>Mumbai</v>
      </c>
      <c r="J105" t="str">
        <f>PROPER(TRIM([1]raw_orders!J105))</f>
        <v>Furniture</v>
      </c>
      <c r="K105" t="str">
        <f>PROPER(TRIM([1]raw_orders!K105))</f>
        <v>Tables</v>
      </c>
      <c r="L105" t="str">
        <f>[1]raw_orders!L105</f>
        <v>Prime Tables 377</v>
      </c>
      <c r="M105" t="str">
        <f>IF(TRIM([1]raw_orders!M105)="","Unknown",PROPER(TRIM([1]raw_orders!M105)))</f>
        <v>First Class</v>
      </c>
      <c r="N105" s="5">
        <f>[1]raw_orders!N105</f>
        <v>4</v>
      </c>
      <c r="O105" s="5">
        <f>[1]raw_orders!O105</f>
        <v>2440.34</v>
      </c>
      <c r="P105" s="5">
        <f>[1]raw_orders!P105</f>
        <v>0.2</v>
      </c>
      <c r="Q105" t="str">
        <f>PROPER(TRIM([1]raw_orders!T105))</f>
        <v>Paid</v>
      </c>
      <c r="R105" t="str">
        <f>PROPER(TRIM([1]raw_orders!U105))</f>
        <v>Completed</v>
      </c>
      <c r="S105" s="5">
        <f>[1]raw_orders!S105</f>
        <v>1151.3399999999999</v>
      </c>
      <c r="T105" s="5">
        <f t="shared" si="8"/>
        <v>11.513399999999999</v>
      </c>
      <c r="U105" s="5">
        <f t="shared" si="9"/>
        <v>-102625.082224</v>
      </c>
      <c r="V105" s="5">
        <f t="shared" si="10"/>
        <v>-102625.282224</v>
      </c>
      <c r="W105" s="5">
        <f t="shared" si="11"/>
        <v>1.000001948841313</v>
      </c>
      <c r="X105" s="5">
        <f t="shared" si="12"/>
        <v>242</v>
      </c>
      <c r="Y105" s="5">
        <f t="shared" si="13"/>
        <v>2</v>
      </c>
      <c r="Z105" s="5">
        <f t="shared" si="14"/>
        <v>2025</v>
      </c>
      <c r="AA105" t="str">
        <f t="shared" si="15"/>
        <v>Clean</v>
      </c>
    </row>
    <row r="106" spans="1:27" x14ac:dyDescent="0.3">
      <c r="A106" t="str">
        <f>[1]raw_orders!A106</f>
        <v>ORD-2025-10105</v>
      </c>
      <c r="B106" s="4">
        <f>IFERROR(DATEVALUE([1]raw_orders!B106), "Invalid Date")</f>
        <v>45689</v>
      </c>
      <c r="C106" s="4">
        <f>IFERROR(DATEVALUE([1]raw_orders!C106), "Invalid Date")</f>
        <v>45871</v>
      </c>
      <c r="D106" t="str">
        <f>[1]raw_orders!D106</f>
        <v>CUST-1576</v>
      </c>
      <c r="E106" t="str">
        <f>PROPER(TRIM([1]raw_orders!E106))</f>
        <v>Ananya Rao</v>
      </c>
      <c r="F106" t="str">
        <f>PROPER(TRIM([1]raw_orders!F106))</f>
        <v>Consumer</v>
      </c>
      <c r="G106" t="str">
        <f>IF(TRIM([1]raw_orders!G106)="","Unknown",PROPER(TRIM([1]raw_orders!G106)))</f>
        <v>South</v>
      </c>
      <c r="H106" t="str">
        <f>PROPER(TRIM([1]raw_orders!H106))</f>
        <v>Karnataka</v>
      </c>
      <c r="I106" t="str">
        <f>PROPER(TRIM([1]raw_orders!I106))</f>
        <v>Bengaluru</v>
      </c>
      <c r="J106" t="str">
        <f>PROPER(TRIM([1]raw_orders!J106))</f>
        <v>Office Supplies</v>
      </c>
      <c r="K106" t="str">
        <f>PROPER(TRIM([1]raw_orders!K106))</f>
        <v>Labels</v>
      </c>
      <c r="L106" t="str">
        <f>[1]raw_orders!L106</f>
        <v>Prime Labels 807</v>
      </c>
      <c r="M106" t="str">
        <f>IF(TRIM([1]raw_orders!M106)="","Unknown",PROPER(TRIM([1]raw_orders!M106)))</f>
        <v>Same Day</v>
      </c>
      <c r="N106" s="5">
        <f>[1]raw_orders!N106</f>
        <v>5</v>
      </c>
      <c r="O106" s="5">
        <f>[1]raw_orders!O106</f>
        <v>2112.54</v>
      </c>
      <c r="P106" s="5">
        <f>[1]raw_orders!P106</f>
        <v>0.25</v>
      </c>
      <c r="Q106" t="str">
        <f>PROPER(TRIM([1]raw_orders!T106))</f>
        <v>Paid</v>
      </c>
      <c r="R106" t="str">
        <f>PROPER(TRIM([1]raw_orders!U106))</f>
        <v>Cancelled</v>
      </c>
      <c r="S106" s="5">
        <f>[1]raw_orders!S106</f>
        <v>2302.08</v>
      </c>
      <c r="T106" s="5">
        <f t="shared" si="8"/>
        <v>23.020799999999998</v>
      </c>
      <c r="U106" s="5">
        <f t="shared" si="9"/>
        <v>-232599.10415999999</v>
      </c>
      <c r="V106" s="5">
        <f t="shared" si="10"/>
        <v>-232599.35415999999</v>
      </c>
      <c r="W106" s="5">
        <f t="shared" si="11"/>
        <v>1.0000010748106745</v>
      </c>
      <c r="X106" s="5">
        <f t="shared" si="12"/>
        <v>182</v>
      </c>
      <c r="Y106" s="5">
        <f t="shared" si="13"/>
        <v>2</v>
      </c>
      <c r="Z106" s="5">
        <f t="shared" si="14"/>
        <v>2025</v>
      </c>
      <c r="AA106" t="str">
        <f t="shared" si="15"/>
        <v>Clean</v>
      </c>
    </row>
    <row r="107" spans="1:27" x14ac:dyDescent="0.3">
      <c r="A107" t="str">
        <f>[1]raw_orders!A107</f>
        <v>ORD-2024-10106</v>
      </c>
      <c r="B107" s="4" t="str">
        <f>IFERROR(DATEVALUE([1]raw_orders!B107), "Invalid Date")</f>
        <v>Invalid Date</v>
      </c>
      <c r="C107" s="4">
        <f>IFERROR(DATEVALUE([1]raw_orders!C107), "Invalid Date")</f>
        <v>45472</v>
      </c>
      <c r="D107" t="str">
        <f>[1]raw_orders!D107</f>
        <v>CUST-6540</v>
      </c>
      <c r="E107" t="str">
        <f>PROPER(TRIM([1]raw_orders!E107))</f>
        <v>Mira Das</v>
      </c>
      <c r="F107" t="str">
        <f>PROPER(TRIM([1]raw_orders!F107))</f>
        <v>Home Office</v>
      </c>
      <c r="G107" t="str">
        <f>IF(TRIM([1]raw_orders!G107)="","Unknown",PROPER(TRIM([1]raw_orders!G107)))</f>
        <v>East</v>
      </c>
      <c r="H107" t="str">
        <f>PROPER(TRIM([1]raw_orders!H107))</f>
        <v>West Bengal</v>
      </c>
      <c r="I107" t="str">
        <f>PROPER(TRIM([1]raw_orders!I107))</f>
        <v>Kolkata</v>
      </c>
      <c r="J107" t="str">
        <f>PROPER(TRIM([1]raw_orders!J107))</f>
        <v>Furniture</v>
      </c>
      <c r="K107" t="str">
        <f>PROPER(TRIM([1]raw_orders!K107))</f>
        <v>Tables</v>
      </c>
      <c r="L107" t="str">
        <f>[1]raw_orders!L107</f>
        <v>Eco Tables 575</v>
      </c>
      <c r="M107" t="str">
        <f>IF(TRIM([1]raw_orders!M107)="","Unknown",PROPER(TRIM([1]raw_orders!M107)))</f>
        <v>Second Class</v>
      </c>
      <c r="N107" s="5">
        <f>[1]raw_orders!N107</f>
        <v>2</v>
      </c>
      <c r="O107" s="5">
        <f>[1]raw_orders!O107</f>
        <v>685</v>
      </c>
      <c r="P107" s="5">
        <f>[1]raw_orders!P107</f>
        <v>0.1</v>
      </c>
      <c r="Q107" t="str">
        <f>PROPER(TRIM([1]raw_orders!T107))</f>
        <v>Paid</v>
      </c>
      <c r="R107" t="str">
        <f>PROPER(TRIM([1]raw_orders!U107))</f>
        <v>Completed</v>
      </c>
      <c r="S107" s="5">
        <f>[1]raw_orders!S107</f>
        <v>226.1</v>
      </c>
      <c r="T107" s="5">
        <f t="shared" si="8"/>
        <v>2.2610000000000001</v>
      </c>
      <c r="U107" s="5">
        <f t="shared" si="9"/>
        <v>-1727.5700000000002</v>
      </c>
      <c r="V107" s="5">
        <f t="shared" si="10"/>
        <v>-1727.67</v>
      </c>
      <c r="W107" s="5">
        <f t="shared" si="11"/>
        <v>1.0000578847745676</v>
      </c>
      <c r="X107" s="5" t="str">
        <f t="shared" si="12"/>
        <v>Invalid Date</v>
      </c>
      <c r="Y107" s="5" t="e">
        <f t="shared" si="13"/>
        <v>#VALUE!</v>
      </c>
      <c r="Z107" s="5" t="e">
        <f t="shared" si="14"/>
        <v>#VALUE!</v>
      </c>
      <c r="AA107" t="str">
        <f t="shared" si="15"/>
        <v>Clean</v>
      </c>
    </row>
    <row r="108" spans="1:27" x14ac:dyDescent="0.3">
      <c r="A108" t="str">
        <f>[1]raw_orders!A108</f>
        <v>ORD-2024-10107</v>
      </c>
      <c r="B108" s="4">
        <f>IFERROR(DATEVALUE([1]raw_orders!B108), "Invalid Date")</f>
        <v>45342</v>
      </c>
      <c r="C108" s="4">
        <f>IFERROR(DATEVALUE([1]raw_orders!C108), "Invalid Date")</f>
        <v>45350</v>
      </c>
      <c r="D108" t="str">
        <f>[1]raw_orders!D108</f>
        <v>CUST-4008</v>
      </c>
      <c r="E108" t="str">
        <f>PROPER(TRIM([1]raw_orders!E108))</f>
        <v>Arjun Bose</v>
      </c>
      <c r="F108" t="str">
        <f>PROPER(TRIM([1]raw_orders!F108))</f>
        <v>Home Office</v>
      </c>
      <c r="G108" t="str">
        <f>IF(TRIM([1]raw_orders!G108)="","Unknown",PROPER(TRIM([1]raw_orders!G108)))</f>
        <v>East</v>
      </c>
      <c r="H108" t="str">
        <f>PROPER(TRIM([1]raw_orders!H108))</f>
        <v>West Bengal</v>
      </c>
      <c r="I108" t="str">
        <f>PROPER(TRIM([1]raw_orders!I108))</f>
        <v>Kolkata</v>
      </c>
      <c r="J108" t="str">
        <f>PROPER(TRIM([1]raw_orders!J108))</f>
        <v>Office Supplies</v>
      </c>
      <c r="K108" t="str">
        <f>PROPER(TRIM([1]raw_orders!K108))</f>
        <v>Paper</v>
      </c>
      <c r="L108" t="str">
        <f>[1]raw_orders!L108</f>
        <v>Eco Paper 918</v>
      </c>
      <c r="M108" t="str">
        <f>IF(TRIM([1]raw_orders!M108)="","Unknown",PROPER(TRIM([1]raw_orders!M108)))</f>
        <v>Standard Class</v>
      </c>
      <c r="N108" s="5">
        <f>[1]raw_orders!N108</f>
        <v>2</v>
      </c>
      <c r="O108" s="5">
        <f>[1]raw_orders!O108</f>
        <v>4004.04</v>
      </c>
      <c r="P108" s="5">
        <f>[1]raw_orders!P108</f>
        <v>0</v>
      </c>
      <c r="Q108" t="str">
        <f>PROPER(TRIM([1]raw_orders!T108))</f>
        <v>Paid</v>
      </c>
      <c r="R108" t="str">
        <f>PROPER(TRIM([1]raw_orders!U108))</f>
        <v>Cancelled</v>
      </c>
      <c r="S108" s="5">
        <f>[1]raw_orders!S108</f>
        <v>1497.88</v>
      </c>
      <c r="T108" s="5">
        <f t="shared" si="8"/>
        <v>14.978800000000001</v>
      </c>
      <c r="U108" s="5">
        <f t="shared" si="9"/>
        <v>-111943.348704</v>
      </c>
      <c r="V108" s="5">
        <f t="shared" si="10"/>
        <v>-111943.348704</v>
      </c>
      <c r="W108" s="5">
        <f t="shared" si="11"/>
        <v>1</v>
      </c>
      <c r="X108" s="5">
        <f t="shared" si="12"/>
        <v>8</v>
      </c>
      <c r="Y108" s="5">
        <f t="shared" si="13"/>
        <v>2</v>
      </c>
      <c r="Z108" s="5">
        <f t="shared" si="14"/>
        <v>2024</v>
      </c>
      <c r="AA108" t="str">
        <f t="shared" si="15"/>
        <v>Clean</v>
      </c>
    </row>
    <row r="109" spans="1:27" x14ac:dyDescent="0.3">
      <c r="A109" t="str">
        <f>[1]raw_orders!A109</f>
        <v>ORD-2024-10108</v>
      </c>
      <c r="B109" s="4">
        <f>IFERROR(DATEVALUE([1]raw_orders!B109), "Invalid Date")</f>
        <v>45594</v>
      </c>
      <c r="C109" s="4">
        <f>IFERROR(DATEVALUE([1]raw_orders!C109), "Invalid Date")</f>
        <v>45600</v>
      </c>
      <c r="D109" t="str">
        <f>[1]raw_orders!D109</f>
        <v>CUST-6604</v>
      </c>
      <c r="E109" t="str">
        <f>PROPER(TRIM([1]raw_orders!E109))</f>
        <v>Rohan Mehta</v>
      </c>
      <c r="F109" t="str">
        <f>PROPER(TRIM([1]raw_orders!F109))</f>
        <v>Home Office</v>
      </c>
      <c r="G109" t="str">
        <f>IF(TRIM([1]raw_orders!G109)="","Unknown",PROPER(TRIM([1]raw_orders!G109)))</f>
        <v>East</v>
      </c>
      <c r="H109" t="str">
        <f>PROPER(TRIM([1]raw_orders!H109))</f>
        <v>West Bengal</v>
      </c>
      <c r="I109" t="str">
        <f>PROPER(TRIM([1]raw_orders!I109))</f>
        <v>Kolkata</v>
      </c>
      <c r="J109" t="str">
        <f>PROPER(TRIM([1]raw_orders!J109))</f>
        <v>Furniture</v>
      </c>
      <c r="K109" t="str">
        <f>PROPER(TRIM([1]raw_orders!K109))</f>
        <v>Furnishings</v>
      </c>
      <c r="L109" t="str">
        <f>[1]raw_orders!L109</f>
        <v>Prime Furnishings 952</v>
      </c>
      <c r="M109" t="str">
        <f>IF(TRIM([1]raw_orders!M109)="","Unknown",PROPER(TRIM([1]raw_orders!M109)))</f>
        <v>First Class</v>
      </c>
      <c r="N109" s="5">
        <f>[1]raw_orders!N109</f>
        <v>3</v>
      </c>
      <c r="O109" s="5">
        <f>[1]raw_orders!O109</f>
        <v>4302.8900000000003</v>
      </c>
      <c r="P109" s="5">
        <f>[1]raw_orders!P109</f>
        <v>0.05</v>
      </c>
      <c r="Q109" t="str">
        <f>PROPER(TRIM([1]raw_orders!T109))</f>
        <v>Paid</v>
      </c>
      <c r="R109" t="str">
        <f>PROPER(TRIM([1]raw_orders!U109))</f>
        <v>Completed</v>
      </c>
      <c r="S109" s="5">
        <f>[1]raw_orders!S109</f>
        <v>3337.67</v>
      </c>
      <c r="T109" s="5">
        <f t="shared" si="8"/>
        <v>33.3767</v>
      </c>
      <c r="U109" s="5">
        <f t="shared" si="9"/>
        <v>-417940.13598900003</v>
      </c>
      <c r="V109" s="5">
        <f t="shared" si="10"/>
        <v>-417940.18598900002</v>
      </c>
      <c r="W109" s="5">
        <f t="shared" si="11"/>
        <v>1.0000001196343584</v>
      </c>
      <c r="X109" s="5">
        <f t="shared" si="12"/>
        <v>6</v>
      </c>
      <c r="Y109" s="5">
        <f t="shared" si="13"/>
        <v>10</v>
      </c>
      <c r="Z109" s="5">
        <f t="shared" si="14"/>
        <v>2024</v>
      </c>
      <c r="AA109" t="str">
        <f t="shared" si="15"/>
        <v>Clean</v>
      </c>
    </row>
    <row r="110" spans="1:27" x14ac:dyDescent="0.3">
      <c r="A110" t="str">
        <f>[1]raw_orders!A110</f>
        <v>ORD-2024-10109</v>
      </c>
      <c r="B110" s="4">
        <f>IFERROR(DATEVALUE([1]raw_orders!B110), "Invalid Date")</f>
        <v>45519</v>
      </c>
      <c r="C110" s="4" t="str">
        <f>IFERROR(DATEVALUE([1]raw_orders!C110), "Invalid Date")</f>
        <v>Invalid Date</v>
      </c>
      <c r="D110" t="str">
        <f>[1]raw_orders!D110</f>
        <v>CUST-4337</v>
      </c>
      <c r="E110" t="str">
        <f>PROPER(TRIM([1]raw_orders!E110))</f>
        <v>Aditi Sen</v>
      </c>
      <c r="F110" t="str">
        <f>PROPER(TRIM([1]raw_orders!F110))</f>
        <v>Small Business</v>
      </c>
      <c r="G110" t="str">
        <f>IF(TRIM([1]raw_orders!G110)="","Unknown",PROPER(TRIM([1]raw_orders!G110)))</f>
        <v>East</v>
      </c>
      <c r="H110" t="str">
        <f>PROPER(TRIM([1]raw_orders!H110))</f>
        <v>Odisha</v>
      </c>
      <c r="I110" t="str">
        <f>PROPER(TRIM([1]raw_orders!I110))</f>
        <v>Bhubaneswar</v>
      </c>
      <c r="J110" t="str">
        <f>PROPER(TRIM([1]raw_orders!J110))</f>
        <v>Furniture</v>
      </c>
      <c r="K110" t="str">
        <f>PROPER(TRIM([1]raw_orders!K110))</f>
        <v>Bookcases</v>
      </c>
      <c r="L110" t="str">
        <f>[1]raw_orders!L110</f>
        <v>Prime Bookcases 631</v>
      </c>
      <c r="M110" t="str">
        <f>IF(TRIM([1]raw_orders!M110)="","Unknown",PROPER(TRIM([1]raw_orders!M110)))</f>
        <v>Same Day</v>
      </c>
      <c r="N110" s="5">
        <f>[1]raw_orders!N110</f>
        <v>2</v>
      </c>
      <c r="O110" s="5">
        <f>[1]raw_orders!O110</f>
        <v>537.54</v>
      </c>
      <c r="P110" s="5">
        <f>[1]raw_orders!P110</f>
        <v>0.25</v>
      </c>
      <c r="Q110" t="str">
        <f>PROPER(TRIM([1]raw_orders!T110))</f>
        <v>Paid</v>
      </c>
      <c r="R110" t="str">
        <f>PROPER(TRIM([1]raw_orders!U110))</f>
        <v>Completed</v>
      </c>
      <c r="S110" s="5">
        <f>[1]raw_orders!S110</f>
        <v>307.81</v>
      </c>
      <c r="T110" s="5">
        <f t="shared" si="8"/>
        <v>3.0781000000000001</v>
      </c>
      <c r="U110" s="5">
        <f t="shared" si="9"/>
        <v>-2234.123748</v>
      </c>
      <c r="V110" s="5">
        <f t="shared" si="10"/>
        <v>-2234.373748</v>
      </c>
      <c r="W110" s="5">
        <f t="shared" si="11"/>
        <v>1.0001119006949475</v>
      </c>
      <c r="X110" s="5" t="str">
        <f t="shared" si="12"/>
        <v>Invalid Date</v>
      </c>
      <c r="Y110" s="5">
        <f t="shared" si="13"/>
        <v>8</v>
      </c>
      <c r="Z110" s="5">
        <f t="shared" si="14"/>
        <v>2024</v>
      </c>
      <c r="AA110" t="str">
        <f t="shared" si="15"/>
        <v>Clean</v>
      </c>
    </row>
    <row r="111" spans="1:27" x14ac:dyDescent="0.3">
      <c r="A111" t="str">
        <f>[1]raw_orders!A111</f>
        <v>ORD-2025-10110</v>
      </c>
      <c r="B111" s="4">
        <f>IFERROR(DATEVALUE([1]raw_orders!B111), "Invalid Date")</f>
        <v>45892</v>
      </c>
      <c r="C111" s="4" t="str">
        <f>IFERROR(DATEVALUE([1]raw_orders!C111), "Invalid Date")</f>
        <v>Invalid Date</v>
      </c>
      <c r="D111" t="str">
        <f>[1]raw_orders!D111</f>
        <v>CUST-3740</v>
      </c>
      <c r="E111" t="str">
        <f>PROPER(TRIM([1]raw_orders!E111))</f>
        <v>Sneha Kapoor</v>
      </c>
      <c r="F111" t="str">
        <f>PROPER(TRIM([1]raw_orders!F111))</f>
        <v>Consumer</v>
      </c>
      <c r="G111" t="str">
        <f>IF(TRIM([1]raw_orders!G111)="","Unknown",PROPER(TRIM([1]raw_orders!G111)))</f>
        <v>North</v>
      </c>
      <c r="H111" t="str">
        <f>PROPER(TRIM([1]raw_orders!H111))</f>
        <v>Delhi</v>
      </c>
      <c r="I111" t="str">
        <f>PROPER(TRIM([1]raw_orders!I111))</f>
        <v>New Delhi</v>
      </c>
      <c r="J111" t="str">
        <f>PROPER(TRIM([1]raw_orders!J111))</f>
        <v>Office Supplies</v>
      </c>
      <c r="K111" t="str">
        <f>PROPER(TRIM([1]raw_orders!K111))</f>
        <v>Binders</v>
      </c>
      <c r="L111" t="str">
        <f>[1]raw_orders!L111</f>
        <v>Classic Binders 660</v>
      </c>
      <c r="M111" t="str">
        <f>IF(TRIM([1]raw_orders!M111)="","Unknown",PROPER(TRIM([1]raw_orders!M111)))</f>
        <v>Second Class</v>
      </c>
      <c r="N111" s="5">
        <f>[1]raw_orders!N111</f>
        <v>1</v>
      </c>
      <c r="O111" s="5">
        <f>[1]raw_orders!O111</f>
        <v>2788.62</v>
      </c>
      <c r="P111" s="5">
        <f>[1]raw_orders!P111</f>
        <v>0.25</v>
      </c>
      <c r="Q111" t="str">
        <f>PROPER(TRIM([1]raw_orders!T111))</f>
        <v>Paid</v>
      </c>
      <c r="R111" t="str">
        <f>PROPER(TRIM([1]raw_orders!U111))</f>
        <v>Completed</v>
      </c>
      <c r="S111" s="5">
        <f>[1]raw_orders!S111</f>
        <v>774.25</v>
      </c>
      <c r="T111" s="5">
        <f t="shared" si="8"/>
        <v>7.7424999999999997</v>
      </c>
      <c r="U111" s="5">
        <f t="shared" si="9"/>
        <v>-18802.270349999999</v>
      </c>
      <c r="V111" s="5">
        <f t="shared" si="10"/>
        <v>-18802.520349999999</v>
      </c>
      <c r="W111" s="5">
        <f t="shared" si="11"/>
        <v>1.0000132962666395</v>
      </c>
      <c r="X111" s="5" t="str">
        <f t="shared" si="12"/>
        <v>Invalid Date</v>
      </c>
      <c r="Y111" s="5">
        <f t="shared" si="13"/>
        <v>8</v>
      </c>
      <c r="Z111" s="5">
        <f t="shared" si="14"/>
        <v>2025</v>
      </c>
      <c r="AA111" t="str">
        <f t="shared" si="15"/>
        <v>Clean</v>
      </c>
    </row>
    <row r="112" spans="1:27" x14ac:dyDescent="0.3">
      <c r="A112" t="str">
        <f>[1]raw_orders!A112</f>
        <v>ORD-2024-10111</v>
      </c>
      <c r="B112" s="4" t="str">
        <f>IFERROR(DATEVALUE([1]raw_orders!B112), "Invalid Date")</f>
        <v>Invalid Date</v>
      </c>
      <c r="C112" s="4">
        <f>IFERROR(DATEVALUE([1]raw_orders!C112), "Invalid Date")</f>
        <v>45589</v>
      </c>
      <c r="D112" t="str">
        <f>[1]raw_orders!D112</f>
        <v>CUST-7128</v>
      </c>
      <c r="E112" t="str">
        <f>PROPER(TRIM([1]raw_orders!E112))</f>
        <v>Vikram Iyer</v>
      </c>
      <c r="F112" t="str">
        <f>PROPER(TRIM([1]raw_orders!F112))</f>
        <v>Corporate</v>
      </c>
      <c r="G112" t="str">
        <f>IF(TRIM([1]raw_orders!G112)="","Unknown",PROPER(TRIM([1]raw_orders!G112)))</f>
        <v>South</v>
      </c>
      <c r="H112" t="str">
        <f>PROPER(TRIM([1]raw_orders!H112))</f>
        <v>Kerala</v>
      </c>
      <c r="I112" t="str">
        <f>PROPER(TRIM([1]raw_orders!I112))</f>
        <v>Kochi</v>
      </c>
      <c r="J112" t="str">
        <f>PROPER(TRIM([1]raw_orders!J112))</f>
        <v>Office Supplies</v>
      </c>
      <c r="K112" t="str">
        <f>PROPER(TRIM([1]raw_orders!K112))</f>
        <v>Labels</v>
      </c>
      <c r="L112" t="str">
        <f>[1]raw_orders!L112</f>
        <v>Pro Labels 255</v>
      </c>
      <c r="M112" t="str">
        <f>IF(TRIM([1]raw_orders!M112)="","Unknown",PROPER(TRIM([1]raw_orders!M112)))</f>
        <v>First Class</v>
      </c>
      <c r="N112" s="5">
        <f>[1]raw_orders!N112</f>
        <v>2</v>
      </c>
      <c r="O112" s="5">
        <f>[1]raw_orders!O112</f>
        <v>2250.4699999999998</v>
      </c>
      <c r="P112" s="5">
        <f>[1]raw_orders!P112</f>
        <v>0</v>
      </c>
      <c r="Q112" t="str">
        <f>PROPER(TRIM([1]raw_orders!T112))</f>
        <v>Refunded</v>
      </c>
      <c r="R112" t="str">
        <f>PROPER(TRIM([1]raw_orders!U112))</f>
        <v>Cancelled</v>
      </c>
      <c r="S112" s="5">
        <f>[1]raw_orders!S112</f>
        <v>1893.21</v>
      </c>
      <c r="T112" s="5">
        <f t="shared" si="8"/>
        <v>18.932100000000002</v>
      </c>
      <c r="U112" s="5">
        <f t="shared" si="9"/>
        <v>-80711.306173999998</v>
      </c>
      <c r="V112" s="5">
        <f t="shared" si="10"/>
        <v>-80711.306173999998</v>
      </c>
      <c r="W112" s="5">
        <f t="shared" si="11"/>
        <v>1</v>
      </c>
      <c r="X112" s="5" t="str">
        <f t="shared" si="12"/>
        <v>Invalid Date</v>
      </c>
      <c r="Y112" s="5" t="e">
        <f t="shared" si="13"/>
        <v>#VALUE!</v>
      </c>
      <c r="Z112" s="5" t="e">
        <f t="shared" si="14"/>
        <v>#VALUE!</v>
      </c>
      <c r="AA112" t="str">
        <f t="shared" si="15"/>
        <v>Clean</v>
      </c>
    </row>
    <row r="113" spans="1:27" x14ac:dyDescent="0.3">
      <c r="A113" t="str">
        <f>[1]raw_orders!A113</f>
        <v>ORD-2025-10112</v>
      </c>
      <c r="B113" s="4" t="str">
        <f>IFERROR(DATEVALUE([1]raw_orders!B113), "Invalid Date")</f>
        <v>Invalid Date</v>
      </c>
      <c r="C113" s="4">
        <f>IFERROR(DATEVALUE([1]raw_orders!C113), "Invalid Date")</f>
        <v>45838</v>
      </c>
      <c r="D113" t="str">
        <f>[1]raw_orders!D113</f>
        <v>CUST-4743</v>
      </c>
      <c r="E113" t="str">
        <f>PROPER(TRIM([1]raw_orders!E113))</f>
        <v>Neha Gupta</v>
      </c>
      <c r="F113" t="str">
        <f>PROPER(TRIM([1]raw_orders!F113))</f>
        <v>Corporate</v>
      </c>
      <c r="G113" t="str">
        <f>IF(TRIM([1]raw_orders!G113)="","Unknown",PROPER(TRIM([1]raw_orders!G113)))</f>
        <v>East</v>
      </c>
      <c r="H113" t="str">
        <f>PROPER(TRIM([1]raw_orders!H113))</f>
        <v>Bihar</v>
      </c>
      <c r="I113" t="str">
        <f>PROPER(TRIM([1]raw_orders!I113))</f>
        <v>Patna</v>
      </c>
      <c r="J113" t="str">
        <f>PROPER(TRIM([1]raw_orders!J113))</f>
        <v>Technology</v>
      </c>
      <c r="K113" t="str">
        <f>PROPER(TRIM([1]raw_orders!K113))</f>
        <v>Accessories</v>
      </c>
      <c r="L113" t="str">
        <f>[1]raw_orders!L113</f>
        <v>Basic Accessories 187</v>
      </c>
      <c r="M113" t="str">
        <f>IF(TRIM([1]raw_orders!M113)="","Unknown",PROPER(TRIM([1]raw_orders!M113)))</f>
        <v>First Class</v>
      </c>
      <c r="N113" s="5">
        <f>[1]raw_orders!N113</f>
        <v>1</v>
      </c>
      <c r="O113" s="5">
        <f>[1]raw_orders!O113</f>
        <v>1708.44</v>
      </c>
      <c r="P113" s="5">
        <f>[1]raw_orders!P113</f>
        <v>0.05</v>
      </c>
      <c r="Q113" t="str">
        <f>PROPER(TRIM([1]raw_orders!T113))</f>
        <v>Pending</v>
      </c>
      <c r="R113" t="str">
        <f>PROPER(TRIM([1]raw_orders!U113))</f>
        <v>Cancelled</v>
      </c>
      <c r="S113" s="5">
        <f>[1]raw_orders!S113</f>
        <v>545.55999999999995</v>
      </c>
      <c r="T113" s="5">
        <f t="shared" si="8"/>
        <v>5.4555999999999996</v>
      </c>
      <c r="U113" s="5">
        <f t="shared" si="9"/>
        <v>-7612.1252639999993</v>
      </c>
      <c r="V113" s="5">
        <f t="shared" si="10"/>
        <v>-7612.1752639999995</v>
      </c>
      <c r="W113" s="5">
        <f t="shared" si="11"/>
        <v>1.0000065684678412</v>
      </c>
      <c r="X113" s="5" t="str">
        <f t="shared" si="12"/>
        <v>Invalid Date</v>
      </c>
      <c r="Y113" s="5" t="e">
        <f t="shared" si="13"/>
        <v>#VALUE!</v>
      </c>
      <c r="Z113" s="5" t="e">
        <f t="shared" si="14"/>
        <v>#VALUE!</v>
      </c>
      <c r="AA113" t="str">
        <f t="shared" si="15"/>
        <v>Clean</v>
      </c>
    </row>
    <row r="114" spans="1:27" x14ac:dyDescent="0.3">
      <c r="A114" t="str">
        <f>[1]raw_orders!A114</f>
        <v>ORD-2024-10113</v>
      </c>
      <c r="B114" s="4">
        <f>IFERROR(DATEVALUE([1]raw_orders!B114), "Invalid Date")</f>
        <v>45301</v>
      </c>
      <c r="C114" s="4">
        <f>IFERROR(DATEVALUE([1]raw_orders!C114), "Invalid Date")</f>
        <v>45305</v>
      </c>
      <c r="D114" t="str">
        <f>[1]raw_orders!D114</f>
        <v>CUST-5213</v>
      </c>
      <c r="E114" t="str">
        <f>PROPER(TRIM([1]raw_orders!E114))</f>
        <v>Sneha Kapoor</v>
      </c>
      <c r="F114" t="str">
        <f>PROPER(TRIM([1]raw_orders!F114))</f>
        <v>Consumer</v>
      </c>
      <c r="G114" t="str">
        <f>IF(TRIM([1]raw_orders!G114)="","Unknown",PROPER(TRIM([1]raw_orders!G114)))</f>
        <v>Unknown</v>
      </c>
      <c r="H114" t="str">
        <f>PROPER(TRIM([1]raw_orders!H114))</f>
        <v>Gujarat</v>
      </c>
      <c r="I114" t="str">
        <f>PROPER(TRIM([1]raw_orders!I114))</f>
        <v>Ahmedabad</v>
      </c>
      <c r="J114" t="str">
        <f>PROPER(TRIM([1]raw_orders!J114))</f>
        <v>Technology</v>
      </c>
      <c r="K114" t="str">
        <f>PROPER(TRIM([1]raw_orders!K114))</f>
        <v>Accessories</v>
      </c>
      <c r="L114" t="str">
        <f>[1]raw_orders!L114</f>
        <v>Max Accessories 451</v>
      </c>
      <c r="M114" t="str">
        <f>IF(TRIM([1]raw_orders!M114)="","Unknown",PROPER(TRIM([1]raw_orders!M114)))</f>
        <v>Standard Class</v>
      </c>
      <c r="N114" s="5">
        <f>[1]raw_orders!N114</f>
        <v>3</v>
      </c>
      <c r="O114" s="5">
        <f>[1]raw_orders!O114</f>
        <v>3829.48</v>
      </c>
      <c r="P114" s="5">
        <f>[1]raw_orders!P114</f>
        <v>0.05</v>
      </c>
      <c r="Q114" t="str">
        <f>PROPER(TRIM([1]raw_orders!T114))</f>
        <v>Paid</v>
      </c>
      <c r="R114" t="str">
        <f>PROPER(TRIM([1]raw_orders!U114))</f>
        <v>Completed</v>
      </c>
      <c r="S114" s="5">
        <f>[1]raw_orders!S114</f>
        <v>4365.28</v>
      </c>
      <c r="T114" s="5">
        <f t="shared" si="8"/>
        <v>43.652799999999999</v>
      </c>
      <c r="U114" s="5">
        <f t="shared" si="9"/>
        <v>-490014.13363200001</v>
      </c>
      <c r="V114" s="5">
        <f t="shared" si="10"/>
        <v>-490014.183632</v>
      </c>
      <c r="W114" s="5">
        <f t="shared" si="11"/>
        <v>1.000000102037873</v>
      </c>
      <c r="X114" s="5">
        <f t="shared" si="12"/>
        <v>4</v>
      </c>
      <c r="Y114" s="5">
        <f t="shared" si="13"/>
        <v>1</v>
      </c>
      <c r="Z114" s="5">
        <f t="shared" si="14"/>
        <v>2024</v>
      </c>
      <c r="AA114" t="str">
        <f t="shared" si="15"/>
        <v>Warning</v>
      </c>
    </row>
    <row r="115" spans="1:27" x14ac:dyDescent="0.3">
      <c r="A115" t="str">
        <f>[1]raw_orders!A115</f>
        <v>ORD-2024-10114</v>
      </c>
      <c r="B115" s="4">
        <f>IFERROR(DATEVALUE([1]raw_orders!B115), "Invalid Date")</f>
        <v>45334</v>
      </c>
      <c r="C115" s="4">
        <f>IFERROR(DATEVALUE([1]raw_orders!C115), "Invalid Date")</f>
        <v>45334</v>
      </c>
      <c r="D115" t="str">
        <f>[1]raw_orders!D115</f>
        <v>CUST-4989</v>
      </c>
      <c r="E115" t="str">
        <f>PROPER(TRIM([1]raw_orders!E115))</f>
        <v>Isha Nair</v>
      </c>
      <c r="F115" t="str">
        <f>PROPER(TRIM([1]raw_orders!F115))</f>
        <v>Home Office</v>
      </c>
      <c r="G115" t="str">
        <f>IF(TRIM([1]raw_orders!G115)="","Unknown",PROPER(TRIM([1]raw_orders!G115)))</f>
        <v>South</v>
      </c>
      <c r="H115" t="str">
        <f>PROPER(TRIM([1]raw_orders!H115))</f>
        <v>Tamil Nadu</v>
      </c>
      <c r="I115" t="str">
        <f>PROPER(TRIM([1]raw_orders!I115))</f>
        <v>Chennai</v>
      </c>
      <c r="J115" t="str">
        <f>PROPER(TRIM([1]raw_orders!J115))</f>
        <v>Furniture</v>
      </c>
      <c r="K115" t="str">
        <f>PROPER(TRIM([1]raw_orders!K115))</f>
        <v>Tables</v>
      </c>
      <c r="L115" t="str">
        <f>[1]raw_orders!L115</f>
        <v>Classic Tables 752</v>
      </c>
      <c r="M115" t="str">
        <f>IF(TRIM([1]raw_orders!M115)="","Unknown",PROPER(TRIM([1]raw_orders!M115)))</f>
        <v>Standard Class</v>
      </c>
      <c r="N115" s="5">
        <f>[1]raw_orders!N115</f>
        <v>3</v>
      </c>
      <c r="O115" s="5">
        <f>[1]raw_orders!O115</f>
        <v>1089.1500000000001</v>
      </c>
      <c r="P115" s="5">
        <f>[1]raw_orders!P115</f>
        <v>0.25</v>
      </c>
      <c r="Q115" t="str">
        <f>PROPER(TRIM([1]raw_orders!T115))</f>
        <v>Paid</v>
      </c>
      <c r="R115" t="str">
        <f>PROPER(TRIM([1]raw_orders!U115))</f>
        <v>Completed</v>
      </c>
      <c r="S115" s="5">
        <f>[1]raw_orders!S115</f>
        <v>810.7</v>
      </c>
      <c r="T115" s="5">
        <f t="shared" si="8"/>
        <v>8.1070000000000011</v>
      </c>
      <c r="U115" s="5">
        <f t="shared" si="9"/>
        <v>-23221.767150000007</v>
      </c>
      <c r="V115" s="5">
        <f t="shared" si="10"/>
        <v>-23222.017150000007</v>
      </c>
      <c r="W115" s="5">
        <f t="shared" si="11"/>
        <v>1.0000107657612096</v>
      </c>
      <c r="X115" s="5">
        <f t="shared" si="12"/>
        <v>0</v>
      </c>
      <c r="Y115" s="5">
        <f t="shared" si="13"/>
        <v>2</v>
      </c>
      <c r="Z115" s="5">
        <f t="shared" si="14"/>
        <v>2024</v>
      </c>
      <c r="AA115" t="str">
        <f t="shared" si="15"/>
        <v>Clean</v>
      </c>
    </row>
    <row r="116" spans="1:27" x14ac:dyDescent="0.3">
      <c r="A116" t="str">
        <f>[1]raw_orders!A116</f>
        <v>ORD-2024-10115</v>
      </c>
      <c r="B116" s="4">
        <f>IFERROR(DATEVALUE([1]raw_orders!B116), "Invalid Date")</f>
        <v>45560</v>
      </c>
      <c r="C116" s="4">
        <f>IFERROR(DATEVALUE([1]raw_orders!C116), "Invalid Date")</f>
        <v>45565</v>
      </c>
      <c r="D116" t="str">
        <f>[1]raw_orders!D116</f>
        <v>CUST-2927</v>
      </c>
      <c r="E116" t="str">
        <f>PROPER(TRIM([1]raw_orders!E116))</f>
        <v>Neha Gupta</v>
      </c>
      <c r="F116" t="str">
        <f>PROPER(TRIM([1]raw_orders!F116))</f>
        <v>Small Business</v>
      </c>
      <c r="G116" t="str">
        <f>IF(TRIM([1]raw_orders!G116)="","Unknown",PROPER(TRIM([1]raw_orders!G116)))</f>
        <v>North</v>
      </c>
      <c r="H116" t="str">
        <f>PROPER(TRIM([1]raw_orders!H116))</f>
        <v>Rajasthan</v>
      </c>
      <c r="I116" t="str">
        <f>PROPER(TRIM([1]raw_orders!I116))</f>
        <v>Jaipur</v>
      </c>
      <c r="J116" t="str">
        <f>PROPER(TRIM([1]raw_orders!J116))</f>
        <v>Technology</v>
      </c>
      <c r="K116" t="str">
        <f>PROPER(TRIM([1]raw_orders!K116))</f>
        <v>Accessories</v>
      </c>
      <c r="L116" t="str">
        <f>[1]raw_orders!L116</f>
        <v>Eco Accessories 452</v>
      </c>
      <c r="M116" t="str">
        <f>IF(TRIM([1]raw_orders!M116)="","Unknown",PROPER(TRIM([1]raw_orders!M116)))</f>
        <v>Second Class</v>
      </c>
      <c r="N116" s="5">
        <f>[1]raw_orders!N116</f>
        <v>1</v>
      </c>
      <c r="O116" s="5">
        <f>[1]raw_orders!O116</f>
        <v>4388.3999999999996</v>
      </c>
      <c r="P116" s="5">
        <f>[1]raw_orders!P116</f>
        <v>0.1</v>
      </c>
      <c r="Q116" t="str">
        <f>PROPER(TRIM([1]raw_orders!T116))</f>
        <v>Pending</v>
      </c>
      <c r="R116" t="str">
        <f>PROPER(TRIM([1]raw_orders!U116))</f>
        <v>Cancelled</v>
      </c>
      <c r="S116" s="5">
        <f>[1]raw_orders!S116</f>
        <v>762.83</v>
      </c>
      <c r="T116" s="5">
        <f t="shared" si="8"/>
        <v>7.6283000000000003</v>
      </c>
      <c r="U116" s="5">
        <f t="shared" si="9"/>
        <v>-29087.631719999998</v>
      </c>
      <c r="V116" s="5">
        <f t="shared" si="10"/>
        <v>-29087.731719999996</v>
      </c>
      <c r="W116" s="5">
        <f t="shared" si="11"/>
        <v>1.0000034378873111</v>
      </c>
      <c r="X116" s="5">
        <f t="shared" si="12"/>
        <v>5</v>
      </c>
      <c r="Y116" s="5">
        <f t="shared" si="13"/>
        <v>9</v>
      </c>
      <c r="Z116" s="5">
        <f t="shared" si="14"/>
        <v>2024</v>
      </c>
      <c r="AA116" t="str">
        <f t="shared" si="15"/>
        <v>Clean</v>
      </c>
    </row>
    <row r="117" spans="1:27" x14ac:dyDescent="0.3">
      <c r="A117" t="str">
        <f>[1]raw_orders!A117</f>
        <v>ORD-2024-10116</v>
      </c>
      <c r="B117" s="4">
        <f>IFERROR(DATEVALUE([1]raw_orders!B117), "Invalid Date")</f>
        <v>45653</v>
      </c>
      <c r="C117" s="4">
        <f>IFERROR(DATEVALUE([1]raw_orders!C117), "Invalid Date")</f>
        <v>45658</v>
      </c>
      <c r="D117" t="str">
        <f>[1]raw_orders!D117</f>
        <v>CUST-7764</v>
      </c>
      <c r="E117" t="str">
        <f>PROPER(TRIM([1]raw_orders!E117))</f>
        <v>Kabir Singh</v>
      </c>
      <c r="F117" t="str">
        <f>PROPER(TRIM([1]raw_orders!F117))</f>
        <v>Corporate</v>
      </c>
      <c r="G117" t="str">
        <f>IF(TRIM([1]raw_orders!G117)="","Unknown",PROPER(TRIM([1]raw_orders!G117)))</f>
        <v>South</v>
      </c>
      <c r="H117" t="str">
        <f>PROPER(TRIM([1]raw_orders!H117))</f>
        <v>Tamil Nadu</v>
      </c>
      <c r="I117" t="str">
        <f>PROPER(TRIM([1]raw_orders!I117))</f>
        <v>Chennai</v>
      </c>
      <c r="J117" t="str">
        <f>PROPER(TRIM([1]raw_orders!J117))</f>
        <v>Office Supplies</v>
      </c>
      <c r="K117" t="str">
        <f>PROPER(TRIM([1]raw_orders!K117))</f>
        <v>Binders</v>
      </c>
      <c r="L117" t="str">
        <f>[1]raw_orders!L117</f>
        <v>Classic Binders 203</v>
      </c>
      <c r="M117" t="str">
        <f>IF(TRIM([1]raw_orders!M117)="","Unknown",PROPER(TRIM([1]raw_orders!M117)))</f>
        <v>Same Day</v>
      </c>
      <c r="N117" s="5">
        <f>[1]raw_orders!N117</f>
        <v>2</v>
      </c>
      <c r="O117" s="5">
        <f>[1]raw_orders!O117</f>
        <v>446.34</v>
      </c>
      <c r="P117" s="5">
        <f>[1]raw_orders!P117</f>
        <v>0.15</v>
      </c>
      <c r="Q117" t="str">
        <f>PROPER(TRIM([1]raw_orders!T117))</f>
        <v>Paid</v>
      </c>
      <c r="R117" t="str">
        <f>PROPER(TRIM([1]raw_orders!U117))</f>
        <v>Cancelled</v>
      </c>
      <c r="S117" s="5">
        <f>[1]raw_orders!S117</f>
        <v>268.04000000000002</v>
      </c>
      <c r="T117" s="5">
        <f t="shared" si="8"/>
        <v>2.6804000000000001</v>
      </c>
      <c r="U117" s="5">
        <f t="shared" si="9"/>
        <v>-1500.0594719999999</v>
      </c>
      <c r="V117" s="5">
        <f t="shared" si="10"/>
        <v>-1500.209472</v>
      </c>
      <c r="W117" s="5">
        <f t="shared" si="11"/>
        <v>1.0000999960353572</v>
      </c>
      <c r="X117" s="5">
        <f t="shared" si="12"/>
        <v>5</v>
      </c>
      <c r="Y117" s="5">
        <f t="shared" si="13"/>
        <v>12</v>
      </c>
      <c r="Z117" s="5">
        <f t="shared" si="14"/>
        <v>2024</v>
      </c>
      <c r="AA117" t="str">
        <f t="shared" si="15"/>
        <v>Clean</v>
      </c>
    </row>
    <row r="118" spans="1:27" x14ac:dyDescent="0.3">
      <c r="A118" t="str">
        <f>[1]raw_orders!A118</f>
        <v>ORD-2025-10117</v>
      </c>
      <c r="B118" s="4">
        <f>IFERROR(DATEVALUE([1]raw_orders!B118), "Invalid Date")</f>
        <v>45703</v>
      </c>
      <c r="C118" s="4">
        <f>IFERROR(DATEVALUE([1]raw_orders!C118), "Invalid Date")</f>
        <v>45707</v>
      </c>
      <c r="D118" t="str">
        <f>[1]raw_orders!D118</f>
        <v>CUST-3632</v>
      </c>
      <c r="E118" t="str">
        <f>PROPER(TRIM([1]raw_orders!E118))</f>
        <v>Ananya Rao</v>
      </c>
      <c r="F118" t="str">
        <f>PROPER(TRIM([1]raw_orders!F118))</f>
        <v>Small Business</v>
      </c>
      <c r="G118" t="str">
        <f>IF(TRIM([1]raw_orders!G118)="","Unknown",PROPER(TRIM([1]raw_orders!G118)))</f>
        <v>Unknown</v>
      </c>
      <c r="H118" t="str">
        <f>PROPER(TRIM([1]raw_orders!H118))</f>
        <v>Madhya Pradesh</v>
      </c>
      <c r="I118" t="str">
        <f>PROPER(TRIM([1]raw_orders!I118))</f>
        <v>Indore</v>
      </c>
      <c r="J118" t="str">
        <f>PROPER(TRIM([1]raw_orders!J118))</f>
        <v>Office Supplies</v>
      </c>
      <c r="K118" t="str">
        <f>PROPER(TRIM([1]raw_orders!K118))</f>
        <v>Binders</v>
      </c>
      <c r="L118" t="str">
        <f>[1]raw_orders!L118</f>
        <v>Basic Binders 859</v>
      </c>
      <c r="M118" t="str">
        <f>IF(TRIM([1]raw_orders!M118)="","Unknown",PROPER(TRIM([1]raw_orders!M118)))</f>
        <v>First Class</v>
      </c>
      <c r="N118" s="5">
        <f>[1]raw_orders!N118</f>
        <v>9</v>
      </c>
      <c r="O118" s="5">
        <f>[1]raw_orders!O118</f>
        <v>531.99</v>
      </c>
      <c r="P118" s="5">
        <f>[1]raw_orders!P118</f>
        <v>0.25</v>
      </c>
      <c r="Q118" t="str">
        <f>PROPER(TRIM([1]raw_orders!T118))</f>
        <v>Failed</v>
      </c>
      <c r="R118" t="str">
        <f>PROPER(TRIM([1]raw_orders!U118))</f>
        <v>Cancelled</v>
      </c>
      <c r="S118" s="5">
        <f>[1]raw_orders!S118</f>
        <v>529.54</v>
      </c>
      <c r="T118" s="5">
        <f t="shared" si="8"/>
        <v>5.2953999999999999</v>
      </c>
      <c r="U118" s="5">
        <f t="shared" si="9"/>
        <v>-20565.988613999998</v>
      </c>
      <c r="V118" s="5">
        <f t="shared" si="10"/>
        <v>-20566.238613999998</v>
      </c>
      <c r="W118" s="5">
        <f t="shared" si="11"/>
        <v>1.0000121559923372</v>
      </c>
      <c r="X118" s="5">
        <f t="shared" si="12"/>
        <v>4</v>
      </c>
      <c r="Y118" s="5">
        <f t="shared" si="13"/>
        <v>2</v>
      </c>
      <c r="Z118" s="5">
        <f t="shared" si="14"/>
        <v>2025</v>
      </c>
      <c r="AA118" t="str">
        <f t="shared" si="15"/>
        <v>Warning</v>
      </c>
    </row>
    <row r="119" spans="1:27" x14ac:dyDescent="0.3">
      <c r="A119" t="str">
        <f>[1]raw_orders!A119</f>
        <v>ORD-2024-10118</v>
      </c>
      <c r="B119" s="4">
        <f>IFERROR(DATEVALUE([1]raw_orders!B119), "Invalid Date")</f>
        <v>45337</v>
      </c>
      <c r="C119" s="4">
        <f>IFERROR(DATEVALUE([1]raw_orders!C119), "Invalid Date")</f>
        <v>45339</v>
      </c>
      <c r="D119" t="str">
        <f>[1]raw_orders!D119</f>
        <v>CUST-9608</v>
      </c>
      <c r="E119" t="str">
        <f>PROPER(TRIM([1]raw_orders!E119))</f>
        <v>Mira Das</v>
      </c>
      <c r="F119" t="str">
        <f>PROPER(TRIM([1]raw_orders!F119))</f>
        <v>Home Office</v>
      </c>
      <c r="G119" t="str">
        <f>IF(TRIM([1]raw_orders!G119)="","Unknown",PROPER(TRIM([1]raw_orders!G119)))</f>
        <v>South</v>
      </c>
      <c r="H119" t="str">
        <f>PROPER(TRIM([1]raw_orders!H119))</f>
        <v>Tamil Nadu</v>
      </c>
      <c r="I119" t="str">
        <f>PROPER(TRIM([1]raw_orders!I119))</f>
        <v>Chennai</v>
      </c>
      <c r="J119" t="str">
        <f>PROPER(TRIM([1]raw_orders!J119))</f>
        <v>Technology</v>
      </c>
      <c r="K119" t="str">
        <f>PROPER(TRIM([1]raw_orders!K119))</f>
        <v>Machines</v>
      </c>
      <c r="L119" t="str">
        <f>[1]raw_orders!L119</f>
        <v>Elite Machines 705</v>
      </c>
      <c r="M119" t="str">
        <f>IF(TRIM([1]raw_orders!M119)="","Unknown",PROPER(TRIM([1]raw_orders!M119)))</f>
        <v>Standard Class</v>
      </c>
      <c r="N119" s="5">
        <f>[1]raw_orders!N119</f>
        <v>9</v>
      </c>
      <c r="O119" s="5">
        <f>[1]raw_orders!O119</f>
        <v>3324.55</v>
      </c>
      <c r="P119" s="5" t="str">
        <f>[1]raw_orders!P119</f>
        <v>70%</v>
      </c>
      <c r="Q119" t="str">
        <f>PROPER(TRIM([1]raw_orders!T119))</f>
        <v>Paid</v>
      </c>
      <c r="R119" t="str">
        <f>PROPER(TRIM([1]raw_orders!U119))</f>
        <v>Completed</v>
      </c>
      <c r="S119" s="5">
        <f>[1]raw_orders!S119</f>
        <v>5062.6499999999996</v>
      </c>
      <c r="T119" s="5">
        <f t="shared" si="8"/>
        <v>50.626499999999993</v>
      </c>
      <c r="U119" s="5">
        <f t="shared" si="9"/>
        <v>-1484872.0251749998</v>
      </c>
      <c r="V119" s="5" t="str">
        <f t="shared" si="10"/>
        <v>Calculation Error</v>
      </c>
      <c r="W119" s="5" t="str">
        <f t="shared" si="11"/>
        <v>Calculation Error</v>
      </c>
      <c r="X119" s="5">
        <f t="shared" si="12"/>
        <v>2</v>
      </c>
      <c r="Y119" s="5">
        <f t="shared" si="13"/>
        <v>2</v>
      </c>
      <c r="Z119" s="5">
        <f t="shared" si="14"/>
        <v>2024</v>
      </c>
      <c r="AA119" t="str">
        <f t="shared" si="15"/>
        <v>Clean</v>
      </c>
    </row>
    <row r="120" spans="1:27" x14ac:dyDescent="0.3">
      <c r="A120" t="str">
        <f>[1]raw_orders!A120</f>
        <v>ORD-2024-10119</v>
      </c>
      <c r="B120" s="4">
        <f>IFERROR(DATEVALUE([1]raw_orders!B120), "Invalid Date")</f>
        <v>45571</v>
      </c>
      <c r="C120" s="4">
        <f>IFERROR(DATEVALUE([1]raw_orders!C120), "Invalid Date")</f>
        <v>45461</v>
      </c>
      <c r="D120" t="str">
        <f>[1]raw_orders!D120</f>
        <v>CUST-9135</v>
      </c>
      <c r="E120" t="str">
        <f>PROPER(TRIM([1]raw_orders!E120))</f>
        <v>Vikram Iyer</v>
      </c>
      <c r="F120" t="str">
        <f>PROPER(TRIM([1]raw_orders!F120))</f>
        <v>Home Office</v>
      </c>
      <c r="G120" t="str">
        <f>IF(TRIM([1]raw_orders!G120)="","Unknown",PROPER(TRIM([1]raw_orders!G120)))</f>
        <v>South</v>
      </c>
      <c r="H120" t="str">
        <f>PROPER(TRIM([1]raw_orders!H120))</f>
        <v>Andhra Pradesh</v>
      </c>
      <c r="I120" t="str">
        <f>PROPER(TRIM([1]raw_orders!I120))</f>
        <v>Vijayawada</v>
      </c>
      <c r="J120" t="str">
        <f>PROPER(TRIM([1]raw_orders!J120))</f>
        <v>Technology</v>
      </c>
      <c r="K120" t="str">
        <f>PROPER(TRIM([1]raw_orders!K120))</f>
        <v>Copiers</v>
      </c>
      <c r="L120" t="str">
        <f>[1]raw_orders!L120</f>
        <v>Pro Copiers 208</v>
      </c>
      <c r="M120" t="str">
        <f>IF(TRIM([1]raw_orders!M120)="","Unknown",PROPER(TRIM([1]raw_orders!M120)))</f>
        <v>Same Day</v>
      </c>
      <c r="N120" s="5">
        <f>[1]raw_orders!N120</f>
        <v>5</v>
      </c>
      <c r="O120" s="5">
        <f>[1]raw_orders!O120</f>
        <v>1580.27</v>
      </c>
      <c r="P120" s="5">
        <f>[1]raw_orders!P120</f>
        <v>0.2</v>
      </c>
      <c r="Q120" t="str">
        <f>PROPER(TRIM([1]raw_orders!T120))</f>
        <v>Paid</v>
      </c>
      <c r="R120" t="str">
        <f>PROPER(TRIM([1]raw_orders!U120))</f>
        <v>Completed</v>
      </c>
      <c r="S120" s="5">
        <f>[1]raw_orders!S120</f>
        <v>1913.86</v>
      </c>
      <c r="T120" s="5">
        <f t="shared" si="8"/>
        <v>19.1386</v>
      </c>
      <c r="U120" s="5">
        <f t="shared" si="9"/>
        <v>-143319.42711000002</v>
      </c>
      <c r="V120" s="5">
        <f t="shared" si="10"/>
        <v>-143319.62711000003</v>
      </c>
      <c r="W120" s="5">
        <f t="shared" si="11"/>
        <v>1.0000013954842275</v>
      </c>
      <c r="X120" s="5">
        <f t="shared" si="12"/>
        <v>-110</v>
      </c>
      <c r="Y120" s="5">
        <f t="shared" si="13"/>
        <v>10</v>
      </c>
      <c r="Z120" s="5">
        <f t="shared" si="14"/>
        <v>2024</v>
      </c>
      <c r="AA120" t="str">
        <f t="shared" si="15"/>
        <v>Invalid</v>
      </c>
    </row>
    <row r="121" spans="1:27" x14ac:dyDescent="0.3">
      <c r="A121" t="str">
        <f>[1]raw_orders!A121</f>
        <v>ORD-2024-10120</v>
      </c>
      <c r="B121" s="4">
        <f>IFERROR(DATEVALUE([1]raw_orders!B121), "Invalid Date")</f>
        <v>45455</v>
      </c>
      <c r="C121" s="4">
        <f>IFERROR(DATEVALUE([1]raw_orders!C121), "Invalid Date")</f>
        <v>45462</v>
      </c>
      <c r="D121" t="str">
        <f>[1]raw_orders!D121</f>
        <v>CUST-7861</v>
      </c>
      <c r="E121" t="str">
        <f>PROPER(TRIM([1]raw_orders!E121))</f>
        <v>Aditi Sen</v>
      </c>
      <c r="F121" t="str">
        <f>PROPER(TRIM([1]raw_orders!F121))</f>
        <v>Small Business</v>
      </c>
      <c r="G121" t="str">
        <f>IF(TRIM([1]raw_orders!G121)="","Unknown",PROPER(TRIM([1]raw_orders!G121)))</f>
        <v>South</v>
      </c>
      <c r="H121" t="str">
        <f>PROPER(TRIM([1]raw_orders!H121))</f>
        <v>Kerala</v>
      </c>
      <c r="I121" t="str">
        <f>PROPER(TRIM([1]raw_orders!I121))</f>
        <v>Kochi</v>
      </c>
      <c r="J121" t="str">
        <f>PROPER(TRIM([1]raw_orders!J121))</f>
        <v>Furniture</v>
      </c>
      <c r="K121" t="str">
        <f>PROPER(TRIM([1]raw_orders!K121))</f>
        <v>Chairs</v>
      </c>
      <c r="L121" t="str">
        <f>[1]raw_orders!L121</f>
        <v>Elite Chairs 921</v>
      </c>
      <c r="M121" t="str">
        <f>IF(TRIM([1]raw_orders!M121)="","Unknown",PROPER(TRIM([1]raw_orders!M121)))</f>
        <v>Standard Class</v>
      </c>
      <c r="N121" s="5">
        <f>[1]raw_orders!N121</f>
        <v>8</v>
      </c>
      <c r="O121" s="5">
        <f>[1]raw_orders!O121</f>
        <v>314.05</v>
      </c>
      <c r="P121" s="5">
        <f>[1]raw_orders!P121</f>
        <v>0.25</v>
      </c>
      <c r="Q121" t="str">
        <f>PROPER(TRIM([1]raw_orders!T121))</f>
        <v>Refunded</v>
      </c>
      <c r="R121" t="str">
        <f>PROPER(TRIM([1]raw_orders!U121))</f>
        <v>Returned</v>
      </c>
      <c r="S121" s="5">
        <f>[1]raw_orders!S121</f>
        <v>366.61</v>
      </c>
      <c r="T121" s="5">
        <f t="shared" si="8"/>
        <v>3.6661000000000001</v>
      </c>
      <c r="U121" s="5">
        <f t="shared" si="9"/>
        <v>-6698.3096400000004</v>
      </c>
      <c r="V121" s="5">
        <f t="shared" si="10"/>
        <v>-6698.5596400000004</v>
      </c>
      <c r="W121" s="5">
        <f t="shared" si="11"/>
        <v>1.0000373228491122</v>
      </c>
      <c r="X121" s="5">
        <f t="shared" si="12"/>
        <v>7</v>
      </c>
      <c r="Y121" s="5">
        <f t="shared" si="13"/>
        <v>6</v>
      </c>
      <c r="Z121" s="5">
        <f t="shared" si="14"/>
        <v>2024</v>
      </c>
      <c r="AA121" t="str">
        <f t="shared" si="15"/>
        <v>Clean</v>
      </c>
    </row>
    <row r="122" spans="1:27" x14ac:dyDescent="0.3">
      <c r="A122" t="str">
        <f>[1]raw_orders!A122</f>
        <v>ORD-2024-10121</v>
      </c>
      <c r="B122" s="4">
        <f>IFERROR(DATEVALUE([1]raw_orders!B122), "Invalid Date")</f>
        <v>45514</v>
      </c>
      <c r="C122" s="4">
        <f>IFERROR(DATEVALUE([1]raw_orders!C122), "Invalid Date")</f>
        <v>45522</v>
      </c>
      <c r="D122" t="str">
        <f>[1]raw_orders!D122</f>
        <v>CUST-6096</v>
      </c>
      <c r="E122" t="str">
        <f>PROPER(TRIM([1]raw_orders!E122))</f>
        <v>Sneha Kapoor</v>
      </c>
      <c r="F122" t="str">
        <f>PROPER(TRIM([1]raw_orders!F122))</f>
        <v>Small Business</v>
      </c>
      <c r="G122" t="str">
        <f>IF(TRIM([1]raw_orders!G122)="","Unknown",PROPER(TRIM([1]raw_orders!G122)))</f>
        <v>East</v>
      </c>
      <c r="H122" t="str">
        <f>PROPER(TRIM([1]raw_orders!H122))</f>
        <v>Bihar</v>
      </c>
      <c r="I122" t="str">
        <f>PROPER(TRIM([1]raw_orders!I122))</f>
        <v>Patna</v>
      </c>
      <c r="J122" t="str">
        <f>PROPER(TRIM([1]raw_orders!J122))</f>
        <v>Technology</v>
      </c>
      <c r="K122" t="str">
        <f>PROPER(TRIM([1]raw_orders!K122))</f>
        <v>Phones</v>
      </c>
      <c r="L122" t="str">
        <f>[1]raw_orders!L122</f>
        <v>Prime Phones 540</v>
      </c>
      <c r="M122" t="str">
        <f>IF(TRIM([1]raw_orders!M122)="","Unknown",PROPER(TRIM([1]raw_orders!M122)))</f>
        <v>Standard Class</v>
      </c>
      <c r="N122" s="5">
        <f>[1]raw_orders!N122</f>
        <v>1</v>
      </c>
      <c r="O122" s="5">
        <f>[1]raw_orders!O122</f>
        <v>1823.67</v>
      </c>
      <c r="P122" s="5">
        <f>[1]raw_orders!P122</f>
        <v>0.2</v>
      </c>
      <c r="Q122" t="str">
        <f>PROPER(TRIM([1]raw_orders!T122))</f>
        <v>Paid</v>
      </c>
      <c r="R122" t="str">
        <f>PROPER(TRIM([1]raw_orders!U122))</f>
        <v>Returned</v>
      </c>
      <c r="S122" s="5">
        <f>[1]raw_orders!S122</f>
        <v>565.74</v>
      </c>
      <c r="T122" s="5">
        <f t="shared" si="8"/>
        <v>5.6574</v>
      </c>
      <c r="U122" s="5">
        <f t="shared" si="9"/>
        <v>-8493.5606580000003</v>
      </c>
      <c r="V122" s="5">
        <f t="shared" si="10"/>
        <v>-8493.7606580000011</v>
      </c>
      <c r="W122" s="5">
        <f t="shared" si="11"/>
        <v>1.0000235472504471</v>
      </c>
      <c r="X122" s="5">
        <f t="shared" si="12"/>
        <v>8</v>
      </c>
      <c r="Y122" s="5">
        <f t="shared" si="13"/>
        <v>8</v>
      </c>
      <c r="Z122" s="5">
        <f t="shared" si="14"/>
        <v>2024</v>
      </c>
      <c r="AA122" t="str">
        <f t="shared" si="15"/>
        <v>Clean</v>
      </c>
    </row>
    <row r="123" spans="1:27" x14ac:dyDescent="0.3">
      <c r="A123" t="str">
        <f>[1]raw_orders!A123</f>
        <v>ORD-2025-10122</v>
      </c>
      <c r="B123" s="4" t="str">
        <f>IFERROR(DATEVALUE([1]raw_orders!B123), "Invalid Date")</f>
        <v>Invalid Date</v>
      </c>
      <c r="C123" s="4" t="str">
        <f>IFERROR(DATEVALUE([1]raw_orders!C123), "Invalid Date")</f>
        <v>Invalid Date</v>
      </c>
      <c r="D123" t="str">
        <f>[1]raw_orders!D123</f>
        <v>CUST-2044</v>
      </c>
      <c r="E123" t="str">
        <f>PROPER(TRIM([1]raw_orders!E123))</f>
        <v>Kabir Singh</v>
      </c>
      <c r="F123" t="str">
        <f>PROPER(TRIM([1]raw_orders!F123))</f>
        <v>Small Business</v>
      </c>
      <c r="G123" t="str">
        <f>IF(TRIM([1]raw_orders!G123)="","Unknown",PROPER(TRIM([1]raw_orders!G123)))</f>
        <v>South</v>
      </c>
      <c r="H123" t="str">
        <f>PROPER(TRIM([1]raw_orders!H123))</f>
        <v>Andhra Pradesh</v>
      </c>
      <c r="I123" t="str">
        <f>PROPER(TRIM([1]raw_orders!I123))</f>
        <v>Vijayawada</v>
      </c>
      <c r="J123" t="str">
        <f>PROPER(TRIM([1]raw_orders!J123))</f>
        <v>Technology</v>
      </c>
      <c r="K123" t="str">
        <f>PROPER(TRIM([1]raw_orders!K123))</f>
        <v>Machines</v>
      </c>
      <c r="L123" t="str">
        <f>[1]raw_orders!L123</f>
        <v>Max Machines 948</v>
      </c>
      <c r="M123" t="str">
        <f>IF(TRIM([1]raw_orders!M123)="","Unknown",PROPER(TRIM([1]raw_orders!M123)))</f>
        <v>Second Class</v>
      </c>
      <c r="N123" s="5">
        <f>[1]raw_orders!N123</f>
        <v>5</v>
      </c>
      <c r="O123" s="5">
        <f>[1]raw_orders!O123</f>
        <v>3482.92</v>
      </c>
      <c r="P123" s="5">
        <f>[1]raw_orders!P123</f>
        <v>0</v>
      </c>
      <c r="Q123" t="str">
        <f>PROPER(TRIM([1]raw_orders!T123))</f>
        <v>Refunded</v>
      </c>
      <c r="R123" t="str">
        <f>PROPER(TRIM([1]raw_orders!U123))</f>
        <v>Cancelled</v>
      </c>
      <c r="S123" s="5">
        <f>[1]raw_orders!S123</f>
        <v>5653.69</v>
      </c>
      <c r="T123" s="5">
        <f t="shared" si="8"/>
        <v>56.536899999999996</v>
      </c>
      <c r="U123" s="5">
        <f t="shared" si="9"/>
        <v>-967152.89873999986</v>
      </c>
      <c r="V123" s="5">
        <f t="shared" si="10"/>
        <v>-967152.89873999986</v>
      </c>
      <c r="W123" s="5">
        <f t="shared" si="11"/>
        <v>1</v>
      </c>
      <c r="X123" s="5" t="str">
        <f t="shared" si="12"/>
        <v>Invalid Date</v>
      </c>
      <c r="Y123" s="5" t="e">
        <f t="shared" si="13"/>
        <v>#VALUE!</v>
      </c>
      <c r="Z123" s="5" t="e">
        <f t="shared" si="14"/>
        <v>#VALUE!</v>
      </c>
      <c r="AA123" t="str">
        <f t="shared" si="15"/>
        <v>Clean</v>
      </c>
    </row>
    <row r="124" spans="1:27" x14ac:dyDescent="0.3">
      <c r="A124" t="str">
        <f>[1]raw_orders!A124</f>
        <v>ORD-2024-10123</v>
      </c>
      <c r="B124" s="4" t="str">
        <f>IFERROR(DATEVALUE([1]raw_orders!B124), "Invalid Date")</f>
        <v>Invalid Date</v>
      </c>
      <c r="C124" s="4">
        <f>IFERROR(DATEVALUE([1]raw_orders!C124), "Invalid Date")</f>
        <v>45630</v>
      </c>
      <c r="D124" t="str">
        <f>[1]raw_orders!D124</f>
        <v>CUST-1721</v>
      </c>
      <c r="E124" t="str">
        <f>PROPER(TRIM([1]raw_orders!E124))</f>
        <v>Ananya Rao</v>
      </c>
      <c r="F124" t="str">
        <f>PROPER(TRIM([1]raw_orders!F124))</f>
        <v>Small Business</v>
      </c>
      <c r="G124" t="str">
        <f>IF(TRIM([1]raw_orders!G124)="","Unknown",PROPER(TRIM([1]raw_orders!G124)))</f>
        <v>East</v>
      </c>
      <c r="H124" t="str">
        <f>PROPER(TRIM([1]raw_orders!H124))</f>
        <v>Assam</v>
      </c>
      <c r="I124" t="str">
        <f>PROPER(TRIM([1]raw_orders!I124))</f>
        <v>Guwahati</v>
      </c>
      <c r="J124" t="str">
        <f>PROPER(TRIM([1]raw_orders!J124))</f>
        <v>Furniture</v>
      </c>
      <c r="K124" t="str">
        <f>PROPER(TRIM([1]raw_orders!K124))</f>
        <v>Chairs</v>
      </c>
      <c r="L124" t="str">
        <f>[1]raw_orders!L124</f>
        <v>Max Chairs 786</v>
      </c>
      <c r="M124" t="str">
        <f>IF(TRIM([1]raw_orders!M124)="","Unknown",PROPER(TRIM([1]raw_orders!M124)))</f>
        <v>Second Class</v>
      </c>
      <c r="N124" s="5">
        <f>[1]raw_orders!N124</f>
        <v>3</v>
      </c>
      <c r="O124" s="5">
        <f>[1]raw_orders!O124</f>
        <v>170.35</v>
      </c>
      <c r="P124" s="5">
        <f>[1]raw_orders!P124</f>
        <v>0</v>
      </c>
      <c r="Q124" t="str">
        <f>PROPER(TRIM([1]raw_orders!T124))</f>
        <v>Paid</v>
      </c>
      <c r="R124" t="str">
        <f>PROPER(TRIM([1]raw_orders!U124))</f>
        <v>Completed</v>
      </c>
      <c r="S124" s="5">
        <f>[1]raw_orders!S124</f>
        <v>143.87</v>
      </c>
      <c r="T124" s="5">
        <f t="shared" si="8"/>
        <v>1.4387000000000001</v>
      </c>
      <c r="U124" s="5">
        <f t="shared" si="9"/>
        <v>-224.19763500000002</v>
      </c>
      <c r="V124" s="5">
        <f t="shared" si="10"/>
        <v>-224.19763500000002</v>
      </c>
      <c r="W124" s="5">
        <f t="shared" si="11"/>
        <v>1</v>
      </c>
      <c r="X124" s="5" t="str">
        <f t="shared" si="12"/>
        <v>Invalid Date</v>
      </c>
      <c r="Y124" s="5" t="e">
        <f t="shared" si="13"/>
        <v>#VALUE!</v>
      </c>
      <c r="Z124" s="5" t="e">
        <f t="shared" si="14"/>
        <v>#VALUE!</v>
      </c>
      <c r="AA124" t="str">
        <f t="shared" si="15"/>
        <v>Clean</v>
      </c>
    </row>
    <row r="125" spans="1:27" x14ac:dyDescent="0.3">
      <c r="A125" t="str">
        <f>[1]raw_orders!A125</f>
        <v>ORD-2024-10124</v>
      </c>
      <c r="B125" s="4" t="str">
        <f>IFERROR(DATEVALUE([1]raw_orders!B125), "Invalid Date")</f>
        <v>Invalid Date</v>
      </c>
      <c r="C125" s="4">
        <f>IFERROR(DATEVALUE([1]raw_orders!C125), "Invalid Date")</f>
        <v>45437</v>
      </c>
      <c r="D125" t="str">
        <f>[1]raw_orders!D125</f>
        <v>CUST-1007</v>
      </c>
      <c r="E125" t="str">
        <f>PROPER(TRIM([1]raw_orders!E125))</f>
        <v>Sneha Kapoor</v>
      </c>
      <c r="F125" t="str">
        <f>PROPER(TRIM([1]raw_orders!F125))</f>
        <v>Small Business</v>
      </c>
      <c r="G125" t="str">
        <f>IF(TRIM([1]raw_orders!G125)="","Unknown",PROPER(TRIM([1]raw_orders!G125)))</f>
        <v>North</v>
      </c>
      <c r="H125" t="str">
        <f>PROPER(TRIM([1]raw_orders!H125))</f>
        <v>Punjab</v>
      </c>
      <c r="I125" t="str">
        <f>PROPER(TRIM([1]raw_orders!I125))</f>
        <v>Ludhiana</v>
      </c>
      <c r="J125" t="str">
        <f>PROPER(TRIM([1]raw_orders!J125))</f>
        <v>Technology</v>
      </c>
      <c r="K125" t="str">
        <f>PROPER(TRIM([1]raw_orders!K125))</f>
        <v>Copiers</v>
      </c>
      <c r="L125" t="str">
        <f>[1]raw_orders!L125</f>
        <v>Max Copiers 970</v>
      </c>
      <c r="M125" t="str">
        <f>IF(TRIM([1]raw_orders!M125)="","Unknown",PROPER(TRIM([1]raw_orders!M125)))</f>
        <v>Same Day</v>
      </c>
      <c r="N125" s="5">
        <f>[1]raw_orders!N125</f>
        <v>1</v>
      </c>
      <c r="O125" s="5">
        <f>[1]raw_orders!O125</f>
        <v>634.13</v>
      </c>
      <c r="P125" s="5">
        <f>[1]raw_orders!P125</f>
        <v>0</v>
      </c>
      <c r="Q125" t="str">
        <f>PROPER(TRIM([1]raw_orders!T125))</f>
        <v>Refunded</v>
      </c>
      <c r="R125" t="str">
        <f>PROPER(TRIM([1]raw_orders!U125))</f>
        <v>Cancelled</v>
      </c>
      <c r="S125" s="5">
        <f>[1]raw_orders!S125</f>
        <v>180.78</v>
      </c>
      <c r="T125" s="5">
        <f t="shared" si="8"/>
        <v>1.8078000000000001</v>
      </c>
      <c r="U125" s="5">
        <f t="shared" si="9"/>
        <v>-512.25021400000003</v>
      </c>
      <c r="V125" s="5">
        <f t="shared" si="10"/>
        <v>-512.25021400000003</v>
      </c>
      <c r="W125" s="5">
        <f t="shared" si="11"/>
        <v>1</v>
      </c>
      <c r="X125" s="5" t="str">
        <f t="shared" si="12"/>
        <v>Invalid Date</v>
      </c>
      <c r="Y125" s="5" t="e">
        <f t="shared" si="13"/>
        <v>#VALUE!</v>
      </c>
      <c r="Z125" s="5" t="e">
        <f t="shared" si="14"/>
        <v>#VALUE!</v>
      </c>
      <c r="AA125" t="str">
        <f t="shared" si="15"/>
        <v>Clean</v>
      </c>
    </row>
    <row r="126" spans="1:27" x14ac:dyDescent="0.3">
      <c r="A126" t="str">
        <f>[1]raw_orders!A126</f>
        <v>ORD-2024-10125</v>
      </c>
      <c r="B126" s="4">
        <f>IFERROR(DATEVALUE([1]raw_orders!B126), "Invalid Date")</f>
        <v>45494</v>
      </c>
      <c r="C126" s="4" t="str">
        <f>IFERROR(DATEVALUE([1]raw_orders!C126), "Invalid Date")</f>
        <v>Invalid Date</v>
      </c>
      <c r="D126" t="str">
        <f>[1]raw_orders!D126</f>
        <v>CUST-4450</v>
      </c>
      <c r="E126" t="str">
        <f>PROPER(TRIM([1]raw_orders!E126))</f>
        <v>Isha Nair</v>
      </c>
      <c r="F126" t="str">
        <f>PROPER(TRIM([1]raw_orders!F126))</f>
        <v>Corporate</v>
      </c>
      <c r="G126" t="str">
        <f>IF(TRIM([1]raw_orders!G126)="","Unknown",PROPER(TRIM([1]raw_orders!G126)))</f>
        <v>South</v>
      </c>
      <c r="H126" t="str">
        <f>PROPER(TRIM([1]raw_orders!H126))</f>
        <v>Karnataka</v>
      </c>
      <c r="I126" t="str">
        <f>PROPER(TRIM([1]raw_orders!I126))</f>
        <v>Bengaluru</v>
      </c>
      <c r="J126" t="str">
        <f>PROPER(TRIM([1]raw_orders!J126))</f>
        <v>Technology</v>
      </c>
      <c r="K126" t="str">
        <f>PROPER(TRIM([1]raw_orders!K126))</f>
        <v>Copiers</v>
      </c>
      <c r="L126" t="str">
        <f>[1]raw_orders!L126</f>
        <v>Pro Copiers 769</v>
      </c>
      <c r="M126" t="str">
        <f>IF(TRIM([1]raw_orders!M126)="","Unknown",PROPER(TRIM([1]raw_orders!M126)))</f>
        <v>Standard Class</v>
      </c>
      <c r="N126" s="5">
        <f>[1]raw_orders!N126</f>
        <v>9</v>
      </c>
      <c r="O126" s="5">
        <f>[1]raw_orders!O126</f>
        <v>465.06</v>
      </c>
      <c r="P126" s="5">
        <f>[1]raw_orders!P126</f>
        <v>-0.15</v>
      </c>
      <c r="Q126" t="str">
        <f>PROPER(TRIM([1]raw_orders!T126))</f>
        <v>Paid</v>
      </c>
      <c r="R126" t="str">
        <f>PROPER(TRIM([1]raw_orders!U126))</f>
        <v>Completed</v>
      </c>
      <c r="S126" s="5">
        <f>[1]raw_orders!S126</f>
        <v>741.8</v>
      </c>
      <c r="T126" s="5">
        <f t="shared" si="8"/>
        <v>7.4179999999999993</v>
      </c>
      <c r="U126" s="5">
        <f t="shared" si="9"/>
        <v>-26862.795719999998</v>
      </c>
      <c r="V126" s="5">
        <f t="shared" si="10"/>
        <v>-26862.645719999997</v>
      </c>
      <c r="W126" s="5">
        <f t="shared" si="11"/>
        <v>0.99999441606891681</v>
      </c>
      <c r="X126" s="5" t="str">
        <f t="shared" si="12"/>
        <v>Invalid Date</v>
      </c>
      <c r="Y126" s="5">
        <f t="shared" si="13"/>
        <v>7</v>
      </c>
      <c r="Z126" s="5">
        <f t="shared" si="14"/>
        <v>2024</v>
      </c>
      <c r="AA126" t="str">
        <f t="shared" si="15"/>
        <v>Clean</v>
      </c>
    </row>
    <row r="127" spans="1:27" x14ac:dyDescent="0.3">
      <c r="A127" t="str">
        <f>[1]raw_orders!A127</f>
        <v>ORD-2025-10126</v>
      </c>
      <c r="B127" s="4">
        <f>IFERROR(DATEVALUE([1]raw_orders!B127), "Invalid Date")</f>
        <v>45855</v>
      </c>
      <c r="C127" s="4">
        <f>IFERROR(DATEVALUE([1]raw_orders!C127), "Invalid Date")</f>
        <v>45856</v>
      </c>
      <c r="D127" t="str">
        <f>[1]raw_orders!D127</f>
        <v>CUST-7924</v>
      </c>
      <c r="E127" t="str">
        <f>PROPER(TRIM([1]raw_orders!E127))</f>
        <v>Neha Gupta</v>
      </c>
      <c r="F127" t="str">
        <f>PROPER(TRIM([1]raw_orders!F127))</f>
        <v>Small Business</v>
      </c>
      <c r="G127" t="str">
        <f>IF(TRIM([1]raw_orders!G127)="","Unknown",PROPER(TRIM([1]raw_orders!G127)))</f>
        <v>West</v>
      </c>
      <c r="H127" t="str">
        <f>PROPER(TRIM([1]raw_orders!H127))</f>
        <v>Rajasthan</v>
      </c>
      <c r="I127" t="str">
        <f>PROPER(TRIM([1]raw_orders!I127))</f>
        <v>Udaipur</v>
      </c>
      <c r="J127" t="str">
        <f>PROPER(TRIM([1]raw_orders!J127))</f>
        <v>Furniture</v>
      </c>
      <c r="K127" t="str">
        <f>PROPER(TRIM([1]raw_orders!K127))</f>
        <v>Tables</v>
      </c>
      <c r="L127" t="str">
        <f>[1]raw_orders!L127</f>
        <v>Basic Tables 753</v>
      </c>
      <c r="M127" t="str">
        <f>IF(TRIM([1]raw_orders!M127)="","Unknown",PROPER(TRIM([1]raw_orders!M127)))</f>
        <v>Same Day</v>
      </c>
      <c r="N127" s="5">
        <f>[1]raw_orders!N127</f>
        <v>6</v>
      </c>
      <c r="O127" s="5">
        <f>[1]raw_orders!O127</f>
        <v>3235.27</v>
      </c>
      <c r="P127" s="5">
        <f>[1]raw_orders!P127</f>
        <v>0.25</v>
      </c>
      <c r="Q127" t="str">
        <f>PROPER(TRIM([1]raw_orders!T127))</f>
        <v>Refunded</v>
      </c>
      <c r="R127" t="str">
        <f>PROPER(TRIM([1]raw_orders!U127))</f>
        <v>Returned</v>
      </c>
      <c r="S127" s="5">
        <f>[1]raw_orders!S127</f>
        <v>4967.24</v>
      </c>
      <c r="T127" s="5">
        <f t="shared" si="8"/>
        <v>49.672399999999996</v>
      </c>
      <c r="U127" s="5">
        <f t="shared" si="9"/>
        <v>-944810.1332879999</v>
      </c>
      <c r="V127" s="5">
        <f t="shared" si="10"/>
        <v>-944810.3832879999</v>
      </c>
      <c r="W127" s="5">
        <f t="shared" si="11"/>
        <v>1.0000002646034278</v>
      </c>
      <c r="X127" s="5">
        <f t="shared" si="12"/>
        <v>1</v>
      </c>
      <c r="Y127" s="5">
        <f t="shared" si="13"/>
        <v>7</v>
      </c>
      <c r="Z127" s="5">
        <f t="shared" si="14"/>
        <v>2025</v>
      </c>
      <c r="AA127" t="str">
        <f t="shared" si="15"/>
        <v>Clean</v>
      </c>
    </row>
    <row r="128" spans="1:27" x14ac:dyDescent="0.3">
      <c r="A128" t="str">
        <f>[1]raw_orders!A128</f>
        <v>ORD-2025-10127</v>
      </c>
      <c r="B128" s="4">
        <f>IFERROR(DATEVALUE([1]raw_orders!B128), "Invalid Date")</f>
        <v>45924</v>
      </c>
      <c r="C128" s="4">
        <f>IFERROR(DATEVALUE([1]raw_orders!C128), "Invalid Date")</f>
        <v>45926</v>
      </c>
      <c r="D128" t="str">
        <f>[1]raw_orders!D128</f>
        <v>CUST-1715</v>
      </c>
      <c r="E128" t="str">
        <f>PROPER(TRIM([1]raw_orders!E128))</f>
        <v>Priya Menon</v>
      </c>
      <c r="F128" t="str">
        <f>PROPER(TRIM([1]raw_orders!F128))</f>
        <v>Corporate</v>
      </c>
      <c r="G128" t="str">
        <f>IF(TRIM([1]raw_orders!G128)="","Unknown",PROPER(TRIM([1]raw_orders!G128)))</f>
        <v>North</v>
      </c>
      <c r="H128" t="str">
        <f>PROPER(TRIM([1]raw_orders!H128))</f>
        <v>Delhi</v>
      </c>
      <c r="I128" t="str">
        <f>PROPER(TRIM([1]raw_orders!I128))</f>
        <v>New Delhi</v>
      </c>
      <c r="J128" t="str">
        <f>PROPER(TRIM([1]raw_orders!J128))</f>
        <v>Technology</v>
      </c>
      <c r="K128" t="str">
        <f>PROPER(TRIM([1]raw_orders!K128))</f>
        <v>Copiers</v>
      </c>
      <c r="L128" t="str">
        <f>[1]raw_orders!L128</f>
        <v>Prime Copiers 651</v>
      </c>
      <c r="M128" t="str">
        <f>IF(TRIM([1]raw_orders!M128)="","Unknown",PROPER(TRIM([1]raw_orders!M128)))</f>
        <v>Standard Class</v>
      </c>
      <c r="N128" s="5">
        <f>[1]raw_orders!N128</f>
        <v>3</v>
      </c>
      <c r="O128" s="5">
        <f>[1]raw_orders!O128</f>
        <v>1593.86</v>
      </c>
      <c r="P128" s="5">
        <f>[1]raw_orders!P128</f>
        <v>0.1</v>
      </c>
      <c r="Q128" t="str">
        <f>PROPER(TRIM([1]raw_orders!T128))</f>
        <v>Paid</v>
      </c>
      <c r="R128" t="str">
        <f>PROPER(TRIM([1]raw_orders!U128))</f>
        <v>Completed</v>
      </c>
      <c r="S128" s="5">
        <f>[1]raw_orders!S128</f>
        <v>1734.85</v>
      </c>
      <c r="T128" s="5">
        <f t="shared" si="8"/>
        <v>17.348499999999998</v>
      </c>
      <c r="U128" s="5">
        <f t="shared" si="9"/>
        <v>-78171.660629999984</v>
      </c>
      <c r="V128" s="5">
        <f t="shared" si="10"/>
        <v>-78171.76062999999</v>
      </c>
      <c r="W128" s="5">
        <f t="shared" si="11"/>
        <v>1.0000012792359687</v>
      </c>
      <c r="X128" s="5">
        <f t="shared" si="12"/>
        <v>2</v>
      </c>
      <c r="Y128" s="5">
        <f t="shared" si="13"/>
        <v>9</v>
      </c>
      <c r="Z128" s="5">
        <f t="shared" si="14"/>
        <v>2025</v>
      </c>
      <c r="AA128" t="str">
        <f t="shared" si="15"/>
        <v>Clean</v>
      </c>
    </row>
    <row r="129" spans="1:27" x14ac:dyDescent="0.3">
      <c r="A129" t="str">
        <f>[1]raw_orders!A129</f>
        <v>ORD-2025-10128</v>
      </c>
      <c r="B129" s="4" t="str">
        <f>IFERROR(DATEVALUE([1]raw_orders!B129), "Invalid Date")</f>
        <v>Invalid Date</v>
      </c>
      <c r="C129" s="4">
        <f>IFERROR(DATEVALUE([1]raw_orders!C129), "Invalid Date")</f>
        <v>45683</v>
      </c>
      <c r="D129" t="str">
        <f>[1]raw_orders!D129</f>
        <v>CUST-6802</v>
      </c>
      <c r="E129" t="str">
        <f>PROPER(TRIM([1]raw_orders!E129))</f>
        <v>Priya Menon</v>
      </c>
      <c r="F129" t="str">
        <f>PROPER(TRIM([1]raw_orders!F129))</f>
        <v>Corporate</v>
      </c>
      <c r="G129" t="str">
        <f>IF(TRIM([1]raw_orders!G129)="","Unknown",PROPER(TRIM([1]raw_orders!G129)))</f>
        <v>West</v>
      </c>
      <c r="H129" t="str">
        <f>PROPER(TRIM([1]raw_orders!H129))</f>
        <v>Madhya Pradesh</v>
      </c>
      <c r="I129" t="str">
        <f>PROPER(TRIM([1]raw_orders!I129))</f>
        <v>Indore</v>
      </c>
      <c r="J129" t="str">
        <f>PROPER(TRIM([1]raw_orders!J129))</f>
        <v>Office Supplies</v>
      </c>
      <c r="K129" t="str">
        <f>PROPER(TRIM([1]raw_orders!K129))</f>
        <v>Storage</v>
      </c>
      <c r="L129" t="str">
        <f>[1]raw_orders!L129</f>
        <v>Basic Storage 321</v>
      </c>
      <c r="M129" t="str">
        <f>IF(TRIM([1]raw_orders!M129)="","Unknown",PROPER(TRIM([1]raw_orders!M129)))</f>
        <v>Second Class</v>
      </c>
      <c r="N129" s="5">
        <f>[1]raw_orders!N129</f>
        <v>2</v>
      </c>
      <c r="O129" s="5">
        <f>[1]raw_orders!O129</f>
        <v>3039.3</v>
      </c>
      <c r="P129" s="5">
        <f>[1]raw_orders!P129</f>
        <v>0.05</v>
      </c>
      <c r="Q129" t="str">
        <f>PROPER(TRIM([1]raw_orders!T129))</f>
        <v>Paid</v>
      </c>
      <c r="R129" t="str">
        <f>PROPER(TRIM([1]raw_orders!U129))</f>
        <v>Completed</v>
      </c>
      <c r="S129" s="5">
        <f>[1]raw_orders!S129</f>
        <v>2256.31</v>
      </c>
      <c r="T129" s="5">
        <f t="shared" si="8"/>
        <v>22.563099999999999</v>
      </c>
      <c r="U129" s="5">
        <f t="shared" si="9"/>
        <v>-131073.45965999999</v>
      </c>
      <c r="V129" s="5">
        <f t="shared" si="10"/>
        <v>-131073.50965999998</v>
      </c>
      <c r="W129" s="5">
        <f t="shared" si="11"/>
        <v>1.0000003814654783</v>
      </c>
      <c r="X129" s="5" t="str">
        <f t="shared" si="12"/>
        <v>Invalid Date</v>
      </c>
      <c r="Y129" s="5" t="e">
        <f t="shared" si="13"/>
        <v>#VALUE!</v>
      </c>
      <c r="Z129" s="5" t="e">
        <f t="shared" si="14"/>
        <v>#VALUE!</v>
      </c>
      <c r="AA129" t="str">
        <f t="shared" si="15"/>
        <v>Clean</v>
      </c>
    </row>
    <row r="130" spans="1:27" x14ac:dyDescent="0.3">
      <c r="A130" t="str">
        <f>[1]raw_orders!A130</f>
        <v>ORD-2024-10129</v>
      </c>
      <c r="B130" s="4">
        <f>IFERROR(DATEVALUE([1]raw_orders!B130), "Invalid Date")</f>
        <v>45639</v>
      </c>
      <c r="C130" s="4">
        <f>IFERROR(DATEVALUE([1]raw_orders!C130), "Invalid Date")</f>
        <v>45642</v>
      </c>
      <c r="D130" t="str">
        <f>[1]raw_orders!D130</f>
        <v>CUST-9328</v>
      </c>
      <c r="E130" t="str">
        <f>PROPER(TRIM([1]raw_orders!E130))</f>
        <v>Neha Gupta</v>
      </c>
      <c r="F130" t="str">
        <f>PROPER(TRIM([1]raw_orders!F130))</f>
        <v>Small Business</v>
      </c>
      <c r="G130" t="str">
        <f>IF(TRIM([1]raw_orders!G130)="","Unknown",PROPER(TRIM([1]raw_orders!G130)))</f>
        <v>East</v>
      </c>
      <c r="H130" t="str">
        <f>PROPER(TRIM([1]raw_orders!H130))</f>
        <v>Odisha</v>
      </c>
      <c r="I130" t="str">
        <f>PROPER(TRIM([1]raw_orders!I130))</f>
        <v>Bhubaneswar</v>
      </c>
      <c r="J130" t="str">
        <f>PROPER(TRIM([1]raw_orders!J130))</f>
        <v>Furniture</v>
      </c>
      <c r="K130" t="str">
        <f>PROPER(TRIM([1]raw_orders!K130))</f>
        <v>Furnishings</v>
      </c>
      <c r="L130" t="str">
        <f>[1]raw_orders!L130</f>
        <v>Prime Furnishings 710</v>
      </c>
      <c r="M130" t="str">
        <f>IF(TRIM([1]raw_orders!M130)="","Unknown",PROPER(TRIM([1]raw_orders!M130)))</f>
        <v>Standard Class</v>
      </c>
      <c r="N130" s="5">
        <f>[1]raw_orders!N130</f>
        <v>5</v>
      </c>
      <c r="O130" s="5">
        <f>[1]raw_orders!O130</f>
        <v>923.45</v>
      </c>
      <c r="P130" s="5">
        <f>[1]raw_orders!P130</f>
        <v>0.05</v>
      </c>
      <c r="Q130" t="str">
        <f>PROPER(TRIM([1]raw_orders!T130))</f>
        <v>Paid</v>
      </c>
      <c r="R130" t="str">
        <f>PROPER(TRIM([1]raw_orders!U130))</f>
        <v>Returned</v>
      </c>
      <c r="S130" s="5">
        <f>[1]raw_orders!S130</f>
        <v>1019.51</v>
      </c>
      <c r="T130" s="5">
        <f t="shared" si="8"/>
        <v>10.1951</v>
      </c>
      <c r="U130" s="5">
        <f t="shared" si="9"/>
        <v>-42456.075474999998</v>
      </c>
      <c r="V130" s="5">
        <f t="shared" si="10"/>
        <v>-42456.125475000001</v>
      </c>
      <c r="W130" s="5">
        <f t="shared" si="11"/>
        <v>1.00000117768775</v>
      </c>
      <c r="X130" s="5">
        <f t="shared" si="12"/>
        <v>3</v>
      </c>
      <c r="Y130" s="5">
        <f t="shared" si="13"/>
        <v>12</v>
      </c>
      <c r="Z130" s="5">
        <f t="shared" si="14"/>
        <v>2024</v>
      </c>
      <c r="AA130" t="str">
        <f t="shared" si="15"/>
        <v>Clean</v>
      </c>
    </row>
    <row r="131" spans="1:27" x14ac:dyDescent="0.3">
      <c r="A131" t="str">
        <f>[1]raw_orders!A131</f>
        <v>ORD-2024-10130</v>
      </c>
      <c r="B131" s="4">
        <f>IFERROR(DATEVALUE([1]raw_orders!B131), "Invalid Date")</f>
        <v>45492</v>
      </c>
      <c r="C131" s="4">
        <f>IFERROR(DATEVALUE([1]raw_orders!C131), "Invalid Date")</f>
        <v>45498</v>
      </c>
      <c r="D131" t="str">
        <f>[1]raw_orders!D131</f>
        <v>CUST-2588</v>
      </c>
      <c r="E131" t="str">
        <f>PROPER(TRIM([1]raw_orders!E131))</f>
        <v>Isha Nair</v>
      </c>
      <c r="F131" t="str">
        <f>PROPER(TRIM([1]raw_orders!F131))</f>
        <v>Small Business</v>
      </c>
      <c r="G131" t="str">
        <f>IF(TRIM([1]raw_orders!G131)="","Unknown",PROPER(TRIM([1]raw_orders!G131)))</f>
        <v>West</v>
      </c>
      <c r="H131" t="str">
        <f>PROPER(TRIM([1]raw_orders!H131))</f>
        <v>Goa</v>
      </c>
      <c r="I131" t="str">
        <f>PROPER(TRIM([1]raw_orders!I131))</f>
        <v>Panaji</v>
      </c>
      <c r="J131" t="str">
        <f>PROPER(TRIM([1]raw_orders!J131))</f>
        <v>Office Supplies</v>
      </c>
      <c r="K131" t="str">
        <f>PROPER(TRIM([1]raw_orders!K131))</f>
        <v>Binders</v>
      </c>
      <c r="L131" t="str">
        <f>[1]raw_orders!L131</f>
        <v>Elite Binders 723</v>
      </c>
      <c r="M131" t="str">
        <f>IF(TRIM([1]raw_orders!M131)="","Unknown",PROPER(TRIM([1]raw_orders!M131)))</f>
        <v>Standard Class</v>
      </c>
      <c r="N131" s="5">
        <f>[1]raw_orders!N131</f>
        <v>7</v>
      </c>
      <c r="O131" s="5">
        <f>[1]raw_orders!O131</f>
        <v>2741.29</v>
      </c>
      <c r="P131" s="5">
        <f>[1]raw_orders!P131</f>
        <v>0.05</v>
      </c>
      <c r="Q131" t="str">
        <f>PROPER(TRIM([1]raw_orders!T131))</f>
        <v>Paid</v>
      </c>
      <c r="R131" t="str">
        <f>PROPER(TRIM([1]raw_orders!U131))</f>
        <v>Completed</v>
      </c>
      <c r="S131" s="5">
        <f>[1]raw_orders!S131</f>
        <v>3090.43</v>
      </c>
      <c r="T131" s="5">
        <f t="shared" ref="T131:T194" si="16">IF(AND(ISNUMBER(S131),S131&gt;=0,S131&lt;=1),S131,IF(S131="",0,IF(S131&lt;0,"INVALID - Negative",IF(S131&gt;1,S131/100,"INVALID"))))</f>
        <v>30.904299999999999</v>
      </c>
      <c r="U131" s="5">
        <f t="shared" ref="U131:U194" si="17">IF(AND(ISNUMBER(N131),ISNUMBER(O131),OR(ISNUMBER(T131),T131=0)),N131*O131*(1-IF(ISNUMBER(T131),T131,0)),"Calculation Error")</f>
        <v>-573834.50982899999</v>
      </c>
      <c r="V131" s="5">
        <f t="shared" ref="V131:V194" si="18">IF(AND(ISNUMBER(U131),ISNUMBER(P131)),U131-P131,"Calculation Error")</f>
        <v>-573834.55982900003</v>
      </c>
      <c r="W131" s="5">
        <f t="shared" ref="W131:W194" si="19">IF(AND(ISNUMBER(V131),ISNUMBER(U131),U131&lt;&gt;0),V131/U131,IF(U131=0,"N/A","Calculation Error"))</f>
        <v>1.0000000871331354</v>
      </c>
      <c r="X131" s="5">
        <f t="shared" ref="X131:X194" si="20">IF(AND(ISNUMBER(B131),ISNUMBER(C131)),C131-B131,"Invalid Date")</f>
        <v>6</v>
      </c>
      <c r="Y131" s="5">
        <f t="shared" ref="Y131:Y194" si="21">MONTH(B131)</f>
        <v>7</v>
      </c>
      <c r="Z131" s="5">
        <f t="shared" ref="Z131:Z194" si="22">YEAR(B131)</f>
        <v>2024</v>
      </c>
      <c r="AA131" t="str">
        <f t="shared" ref="AA131:AA194" si="23">IF(OR(G131="Unknown",M131="Unknown",T131="INVALID - Negative",T131="INVALID",X131&lt;0,R131="Duplicate ID - Review Required"),IF(OR(T131="INVALID - Negative",T131="INVALID",X131&lt;0,R131="Duplicate ID - Review Required"),"Invalid","Warning"),"Clean")</f>
        <v>Clean</v>
      </c>
    </row>
    <row r="132" spans="1:27" x14ac:dyDescent="0.3">
      <c r="A132" t="str">
        <f>[1]raw_orders!A132</f>
        <v>ORD-2024-10131</v>
      </c>
      <c r="B132" s="4">
        <f>IFERROR(DATEVALUE([1]raw_orders!B132), "Invalid Date")</f>
        <v>45318</v>
      </c>
      <c r="C132" s="4">
        <f>IFERROR(DATEVALUE([1]raw_orders!C132), "Invalid Date")</f>
        <v>45324</v>
      </c>
      <c r="D132" t="str">
        <f>[1]raw_orders!D132</f>
        <v>CUST-5435</v>
      </c>
      <c r="E132" t="str">
        <f>PROPER(TRIM([1]raw_orders!E132))</f>
        <v>Arjun Bose</v>
      </c>
      <c r="F132" t="str">
        <f>PROPER(TRIM([1]raw_orders!F132))</f>
        <v>Consumer</v>
      </c>
      <c r="G132" t="str">
        <f>IF(TRIM([1]raw_orders!G132)="","Unknown",PROPER(TRIM([1]raw_orders!G132)))</f>
        <v>West</v>
      </c>
      <c r="H132" t="str">
        <f>PROPER(TRIM([1]raw_orders!H132))</f>
        <v>Gujarat</v>
      </c>
      <c r="I132" t="str">
        <f>PROPER(TRIM([1]raw_orders!I132))</f>
        <v>Ahmedabad</v>
      </c>
      <c r="J132" t="str">
        <f>PROPER(TRIM([1]raw_orders!J132))</f>
        <v>Office Supplies</v>
      </c>
      <c r="K132" t="str">
        <f>PROPER(TRIM([1]raw_orders!K132))</f>
        <v>Labels</v>
      </c>
      <c r="L132" t="str">
        <f>[1]raw_orders!L132</f>
        <v>Smart Labels 878</v>
      </c>
      <c r="M132" t="str">
        <f>IF(TRIM([1]raw_orders!M132)="","Unknown",PROPER(TRIM([1]raw_orders!M132)))</f>
        <v>Same Day</v>
      </c>
      <c r="N132" s="5">
        <f>[1]raw_orders!N132</f>
        <v>5</v>
      </c>
      <c r="O132" s="5">
        <f>[1]raw_orders!O132</f>
        <v>218.42</v>
      </c>
      <c r="P132" s="5">
        <f>[1]raw_orders!P132</f>
        <v>0.2</v>
      </c>
      <c r="Q132" t="str">
        <f>PROPER(TRIM([1]raw_orders!T132))</f>
        <v>Pending</v>
      </c>
      <c r="R132" t="str">
        <f>PROPER(TRIM([1]raw_orders!U132))</f>
        <v>Cancelled</v>
      </c>
      <c r="S132" s="5">
        <f>[1]raw_orders!S132</f>
        <v>211.96</v>
      </c>
      <c r="T132" s="5">
        <f t="shared" si="16"/>
        <v>2.1196000000000002</v>
      </c>
      <c r="U132" s="5">
        <f t="shared" si="17"/>
        <v>-1222.71516</v>
      </c>
      <c r="V132" s="5">
        <f t="shared" si="18"/>
        <v>-1222.91516</v>
      </c>
      <c r="W132" s="5">
        <f t="shared" si="19"/>
        <v>1.0001635703936149</v>
      </c>
      <c r="X132" s="5">
        <f t="shared" si="20"/>
        <v>6</v>
      </c>
      <c r="Y132" s="5">
        <f t="shared" si="21"/>
        <v>1</v>
      </c>
      <c r="Z132" s="5">
        <f t="shared" si="22"/>
        <v>2024</v>
      </c>
      <c r="AA132" t="str">
        <f t="shared" si="23"/>
        <v>Clean</v>
      </c>
    </row>
    <row r="133" spans="1:27" x14ac:dyDescent="0.3">
      <c r="A133" t="str">
        <f>[1]raw_orders!A133</f>
        <v>ORD-2025-10132</v>
      </c>
      <c r="B133" s="4" t="str">
        <f>IFERROR(DATEVALUE([1]raw_orders!B133), "Invalid Date")</f>
        <v>Invalid Date</v>
      </c>
      <c r="C133" s="4">
        <f>IFERROR(DATEVALUE([1]raw_orders!C133), "Invalid Date")</f>
        <v>45934</v>
      </c>
      <c r="D133" t="str">
        <f>[1]raw_orders!D133</f>
        <v>CUST-7637</v>
      </c>
      <c r="E133" t="str">
        <f>PROPER(TRIM([1]raw_orders!E133))</f>
        <v>Ananya Rao</v>
      </c>
      <c r="F133" t="str">
        <f>PROPER(TRIM([1]raw_orders!F133))</f>
        <v>Home Office</v>
      </c>
      <c r="G133" t="str">
        <f>IF(TRIM([1]raw_orders!G133)="","Unknown",PROPER(TRIM([1]raw_orders!G133)))</f>
        <v>East</v>
      </c>
      <c r="H133" t="str">
        <f>PROPER(TRIM([1]raw_orders!H133))</f>
        <v>Jharkhand</v>
      </c>
      <c r="I133" t="str">
        <f>PROPER(TRIM([1]raw_orders!I133))</f>
        <v>Ranchi</v>
      </c>
      <c r="J133" t="str">
        <f>PROPER(TRIM([1]raw_orders!J133))</f>
        <v>Office Supplies</v>
      </c>
      <c r="K133" t="str">
        <f>PROPER(TRIM([1]raw_orders!K133))</f>
        <v>Paper</v>
      </c>
      <c r="L133" t="str">
        <f>[1]raw_orders!L133</f>
        <v>Pro Paper 934</v>
      </c>
      <c r="M133" t="str">
        <f>IF(TRIM([1]raw_orders!M133)="","Unknown",PROPER(TRIM([1]raw_orders!M133)))</f>
        <v>Same Day</v>
      </c>
      <c r="N133" s="5">
        <f>[1]raw_orders!N133</f>
        <v>9</v>
      </c>
      <c r="O133" s="5">
        <f>[1]raw_orders!O133</f>
        <v>373.91</v>
      </c>
      <c r="P133" s="5">
        <f>[1]raw_orders!P133</f>
        <v>0.2</v>
      </c>
      <c r="Q133" t="str">
        <f>PROPER(TRIM([1]raw_orders!T133))</f>
        <v>Paid</v>
      </c>
      <c r="R133" t="str">
        <f>PROPER(TRIM([1]raw_orders!U133))</f>
        <v>Completed</v>
      </c>
      <c r="S133" s="5">
        <f>[1]raw_orders!S133</f>
        <v>647.66</v>
      </c>
      <c r="T133" s="5">
        <f t="shared" si="16"/>
        <v>6.4765999999999995</v>
      </c>
      <c r="U133" s="5">
        <f t="shared" si="17"/>
        <v>-18429.799553999997</v>
      </c>
      <c r="V133" s="5">
        <f t="shared" si="18"/>
        <v>-18429.999553999998</v>
      </c>
      <c r="W133" s="5">
        <f t="shared" si="19"/>
        <v>1.0000108519899751</v>
      </c>
      <c r="X133" s="5" t="str">
        <f t="shared" si="20"/>
        <v>Invalid Date</v>
      </c>
      <c r="Y133" s="5" t="e">
        <f t="shared" si="21"/>
        <v>#VALUE!</v>
      </c>
      <c r="Z133" s="5" t="e">
        <f t="shared" si="22"/>
        <v>#VALUE!</v>
      </c>
      <c r="AA133" t="str">
        <f t="shared" si="23"/>
        <v>Clean</v>
      </c>
    </row>
    <row r="134" spans="1:27" x14ac:dyDescent="0.3">
      <c r="A134" t="str">
        <f>[1]raw_orders!A134</f>
        <v>ORD-2024-10133</v>
      </c>
      <c r="B134" s="4">
        <f>IFERROR(DATEVALUE([1]raw_orders!B134), "Invalid Date")</f>
        <v>45600</v>
      </c>
      <c r="C134" s="4">
        <f>IFERROR(DATEVALUE([1]raw_orders!C134), "Invalid Date")</f>
        <v>45600</v>
      </c>
      <c r="D134" t="str">
        <f>[1]raw_orders!D134</f>
        <v>CUST-3602</v>
      </c>
      <c r="E134" t="str">
        <f>PROPER(TRIM([1]raw_orders!E134))</f>
        <v>Kabir Singh</v>
      </c>
      <c r="F134" t="str">
        <f>PROPER(TRIM([1]raw_orders!F134))</f>
        <v>Corporate</v>
      </c>
      <c r="G134" t="str">
        <f>IF(TRIM([1]raw_orders!G134)="","Unknown",PROPER(TRIM([1]raw_orders!G134)))</f>
        <v>East</v>
      </c>
      <c r="H134" t="str">
        <f>PROPER(TRIM([1]raw_orders!H134))</f>
        <v>Assam</v>
      </c>
      <c r="I134" t="str">
        <f>PROPER(TRIM([1]raw_orders!I134))</f>
        <v>Guwahati</v>
      </c>
      <c r="J134" t="str">
        <f>PROPER(TRIM([1]raw_orders!J134))</f>
        <v>Technology</v>
      </c>
      <c r="K134" t="str">
        <f>PROPER(TRIM([1]raw_orders!K134))</f>
        <v>Machines</v>
      </c>
      <c r="L134" t="str">
        <f>[1]raw_orders!L134</f>
        <v>Classic Machines 886</v>
      </c>
      <c r="M134" t="str">
        <f>IF(TRIM([1]raw_orders!M134)="","Unknown",PROPER(TRIM([1]raw_orders!M134)))</f>
        <v>First Class</v>
      </c>
      <c r="N134" s="5">
        <f>[1]raw_orders!N134</f>
        <v>2</v>
      </c>
      <c r="O134" s="5">
        <f>[1]raw_orders!O134</f>
        <v>533.08000000000004</v>
      </c>
      <c r="P134" s="5">
        <f>[1]raw_orders!P134</f>
        <v>0</v>
      </c>
      <c r="Q134" t="str">
        <f>PROPER(TRIM([1]raw_orders!T134))</f>
        <v>Failed</v>
      </c>
      <c r="R134" t="str">
        <f>PROPER(TRIM([1]raw_orders!U134))</f>
        <v>Cancelled</v>
      </c>
      <c r="S134" s="5">
        <f>[1]raw_orders!S134</f>
        <v>409.86</v>
      </c>
      <c r="T134" s="5">
        <f t="shared" si="16"/>
        <v>4.0986000000000002</v>
      </c>
      <c r="U134" s="5">
        <f t="shared" si="17"/>
        <v>-3303.6033760000005</v>
      </c>
      <c r="V134" s="5">
        <f t="shared" si="18"/>
        <v>-3303.6033760000005</v>
      </c>
      <c r="W134" s="5">
        <f t="shared" si="19"/>
        <v>1</v>
      </c>
      <c r="X134" s="5">
        <f t="shared" si="20"/>
        <v>0</v>
      </c>
      <c r="Y134" s="5">
        <f t="shared" si="21"/>
        <v>11</v>
      </c>
      <c r="Z134" s="5">
        <f t="shared" si="22"/>
        <v>2024</v>
      </c>
      <c r="AA134" t="str">
        <f t="shared" si="23"/>
        <v>Clean</v>
      </c>
    </row>
    <row r="135" spans="1:27" x14ac:dyDescent="0.3">
      <c r="A135" t="str">
        <f>[1]raw_orders!A135</f>
        <v>ORD-2024-10134</v>
      </c>
      <c r="B135" s="4">
        <f>IFERROR(DATEVALUE([1]raw_orders!B135), "Invalid Date")</f>
        <v>45639</v>
      </c>
      <c r="C135" s="4" t="str">
        <f>IFERROR(DATEVALUE([1]raw_orders!C135), "Invalid Date")</f>
        <v>Invalid Date</v>
      </c>
      <c r="D135" t="str">
        <f>[1]raw_orders!D135</f>
        <v>CUST-9441</v>
      </c>
      <c r="E135" t="str">
        <f>PROPER(TRIM([1]raw_orders!E135))</f>
        <v>Karan Malhotra</v>
      </c>
      <c r="F135" t="str">
        <f>PROPER(TRIM([1]raw_orders!F135))</f>
        <v>Consumer</v>
      </c>
      <c r="G135" t="str">
        <f>IF(TRIM([1]raw_orders!G135)="","Unknown",PROPER(TRIM([1]raw_orders!G135)))</f>
        <v>West</v>
      </c>
      <c r="H135" t="str">
        <f>PROPER(TRIM([1]raw_orders!H135))</f>
        <v>Goa</v>
      </c>
      <c r="I135" t="str">
        <f>PROPER(TRIM([1]raw_orders!I135))</f>
        <v>Panaji</v>
      </c>
      <c r="J135" t="str">
        <f>PROPER(TRIM([1]raw_orders!J135))</f>
        <v>Technology</v>
      </c>
      <c r="K135" t="str">
        <f>PROPER(TRIM([1]raw_orders!K135))</f>
        <v>Phones</v>
      </c>
      <c r="L135" t="str">
        <f>[1]raw_orders!L135</f>
        <v>Prime Phones 419</v>
      </c>
      <c r="M135" t="str">
        <f>IF(TRIM([1]raw_orders!M135)="","Unknown",PROPER(TRIM([1]raw_orders!M135)))</f>
        <v>Second Class</v>
      </c>
      <c r="N135" s="5">
        <f>[1]raw_orders!N135</f>
        <v>8</v>
      </c>
      <c r="O135" s="5">
        <f>[1]raw_orders!O135</f>
        <v>3372.15</v>
      </c>
      <c r="P135" s="5">
        <f>[1]raw_orders!P135</f>
        <v>0.15</v>
      </c>
      <c r="Q135" t="str">
        <f>PROPER(TRIM([1]raw_orders!T135))</f>
        <v>Paid</v>
      </c>
      <c r="R135" t="str">
        <f>PROPER(TRIM([1]raw_orders!U135))</f>
        <v>Completed</v>
      </c>
      <c r="S135" s="5">
        <f>[1]raw_orders!S135</f>
        <v>6055.07</v>
      </c>
      <c r="T135" s="5">
        <f t="shared" si="16"/>
        <v>60.550699999999999</v>
      </c>
      <c r="U135" s="5">
        <f t="shared" si="17"/>
        <v>-1606511.1440399999</v>
      </c>
      <c r="V135" s="5">
        <f t="shared" si="18"/>
        <v>-1606511.2940399998</v>
      </c>
      <c r="W135" s="5">
        <f t="shared" si="19"/>
        <v>1.0000000933700339</v>
      </c>
      <c r="X135" s="5" t="str">
        <f t="shared" si="20"/>
        <v>Invalid Date</v>
      </c>
      <c r="Y135" s="5">
        <f t="shared" si="21"/>
        <v>12</v>
      </c>
      <c r="Z135" s="5">
        <f t="shared" si="22"/>
        <v>2024</v>
      </c>
      <c r="AA135" t="str">
        <f t="shared" si="23"/>
        <v>Clean</v>
      </c>
    </row>
    <row r="136" spans="1:27" x14ac:dyDescent="0.3">
      <c r="A136" t="str">
        <f>[1]raw_orders!A136</f>
        <v>ORD-2025-10135</v>
      </c>
      <c r="B136" s="4" t="str">
        <f>IFERROR(DATEVALUE([1]raw_orders!B136), "Invalid Date")</f>
        <v>Invalid Date</v>
      </c>
      <c r="C136" s="4">
        <f>IFERROR(DATEVALUE([1]raw_orders!C136), "Invalid Date")</f>
        <v>45852</v>
      </c>
      <c r="D136" t="str">
        <f>[1]raw_orders!D136</f>
        <v>CUST-7361</v>
      </c>
      <c r="E136" t="str">
        <f>PROPER(TRIM([1]raw_orders!E136))</f>
        <v>Vikram Iyer</v>
      </c>
      <c r="F136" t="str">
        <f>PROPER(TRIM([1]raw_orders!F136))</f>
        <v>Home Office</v>
      </c>
      <c r="G136" t="str">
        <f>IF(TRIM([1]raw_orders!G136)="","Unknown",PROPER(TRIM([1]raw_orders!G136)))</f>
        <v>East</v>
      </c>
      <c r="H136" t="str">
        <f>PROPER(TRIM([1]raw_orders!H136))</f>
        <v>West Bengal</v>
      </c>
      <c r="I136" t="str">
        <f>PROPER(TRIM([1]raw_orders!I136))</f>
        <v>Kolkata</v>
      </c>
      <c r="J136" t="str">
        <f>PROPER(TRIM([1]raw_orders!J136))</f>
        <v>Furniture</v>
      </c>
      <c r="K136" t="str">
        <f>PROPER(TRIM([1]raw_orders!K136))</f>
        <v>Bookcases</v>
      </c>
      <c r="L136" t="str">
        <f>[1]raw_orders!L136</f>
        <v>Elite Bookcases 266</v>
      </c>
      <c r="M136" t="str">
        <f>IF(TRIM([1]raw_orders!M136)="","Unknown",PROPER(TRIM([1]raw_orders!M136)))</f>
        <v>Unknown</v>
      </c>
      <c r="N136" s="5">
        <f>[1]raw_orders!N136</f>
        <v>5</v>
      </c>
      <c r="O136" s="5">
        <f>[1]raw_orders!O136</f>
        <v>383.1</v>
      </c>
      <c r="P136" s="5">
        <f>[1]raw_orders!P136</f>
        <v>0.25</v>
      </c>
      <c r="Q136" t="str">
        <f>PROPER(TRIM([1]raw_orders!T136))</f>
        <v>Pending</v>
      </c>
      <c r="R136" t="str">
        <f>PROPER(TRIM([1]raw_orders!U136))</f>
        <v>Cancelled</v>
      </c>
      <c r="S136" s="5">
        <f>[1]raw_orders!S136</f>
        <v>524.1</v>
      </c>
      <c r="T136" s="5">
        <f t="shared" si="16"/>
        <v>5.2410000000000005</v>
      </c>
      <c r="U136" s="5">
        <f t="shared" si="17"/>
        <v>-8123.6355000000012</v>
      </c>
      <c r="V136" s="5">
        <f t="shared" si="18"/>
        <v>-8123.8855000000012</v>
      </c>
      <c r="W136" s="5">
        <f t="shared" si="19"/>
        <v>1.0000307743989745</v>
      </c>
      <c r="X136" s="5" t="str">
        <f t="shared" si="20"/>
        <v>Invalid Date</v>
      </c>
      <c r="Y136" s="5" t="e">
        <f t="shared" si="21"/>
        <v>#VALUE!</v>
      </c>
      <c r="Z136" s="5" t="e">
        <f t="shared" si="22"/>
        <v>#VALUE!</v>
      </c>
      <c r="AA136" t="str">
        <f t="shared" si="23"/>
        <v>Warning</v>
      </c>
    </row>
    <row r="137" spans="1:27" x14ac:dyDescent="0.3">
      <c r="A137" t="str">
        <f>[1]raw_orders!A137</f>
        <v>ORD-2025-10136</v>
      </c>
      <c r="B137" s="4">
        <f>IFERROR(DATEVALUE([1]raw_orders!B137), "Invalid Date")</f>
        <v>45893</v>
      </c>
      <c r="C137" s="4">
        <f>IFERROR(DATEVALUE([1]raw_orders!C137), "Invalid Date")</f>
        <v>45893</v>
      </c>
      <c r="D137" t="str">
        <f>[1]raw_orders!D137</f>
        <v>CUST-1148</v>
      </c>
      <c r="E137" t="str">
        <f>PROPER(TRIM([1]raw_orders!E137))</f>
        <v>Diya Patel</v>
      </c>
      <c r="F137" t="str">
        <f>PROPER(TRIM([1]raw_orders!F137))</f>
        <v>Small Business</v>
      </c>
      <c r="G137" t="str">
        <f>IF(TRIM([1]raw_orders!G137)="","Unknown",PROPER(TRIM([1]raw_orders!G137)))</f>
        <v>South</v>
      </c>
      <c r="H137" t="str">
        <f>PROPER(TRIM([1]raw_orders!H137))</f>
        <v>Kerala</v>
      </c>
      <c r="I137" t="str">
        <f>PROPER(TRIM([1]raw_orders!I137))</f>
        <v>Kochi</v>
      </c>
      <c r="J137" t="str">
        <f>PROPER(TRIM([1]raw_orders!J137))</f>
        <v>Furniture</v>
      </c>
      <c r="K137" t="str">
        <f>PROPER(TRIM([1]raw_orders!K137))</f>
        <v>Bookcases</v>
      </c>
      <c r="L137" t="str">
        <f>[1]raw_orders!L137</f>
        <v>Prime Bookcases 954</v>
      </c>
      <c r="M137" t="str">
        <f>IF(TRIM([1]raw_orders!M137)="","Unknown",PROPER(TRIM([1]raw_orders!M137)))</f>
        <v>Standard Class</v>
      </c>
      <c r="N137" s="5">
        <f>[1]raw_orders!N137</f>
        <v>1</v>
      </c>
      <c r="O137" s="5">
        <f>[1]raw_orders!O137</f>
        <v>3424.78</v>
      </c>
      <c r="P137" s="5">
        <f>[1]raw_orders!P137</f>
        <v>0</v>
      </c>
      <c r="Q137" t="str">
        <f>PROPER(TRIM([1]raw_orders!T137))</f>
        <v>Paid</v>
      </c>
      <c r="R137" t="str">
        <f>PROPER(TRIM([1]raw_orders!U137))</f>
        <v>Completed</v>
      </c>
      <c r="S137" s="5">
        <f>[1]raw_orders!S137</f>
        <v>1473.33</v>
      </c>
      <c r="T137" s="5">
        <f t="shared" si="16"/>
        <v>14.7333</v>
      </c>
      <c r="U137" s="5">
        <f t="shared" si="17"/>
        <v>-47033.531174000003</v>
      </c>
      <c r="V137" s="5">
        <f t="shared" si="18"/>
        <v>-47033.531174000003</v>
      </c>
      <c r="W137" s="5">
        <f t="shared" si="19"/>
        <v>1</v>
      </c>
      <c r="X137" s="5">
        <f t="shared" si="20"/>
        <v>0</v>
      </c>
      <c r="Y137" s="5">
        <f t="shared" si="21"/>
        <v>8</v>
      </c>
      <c r="Z137" s="5">
        <f t="shared" si="22"/>
        <v>2025</v>
      </c>
      <c r="AA137" t="str">
        <f t="shared" si="23"/>
        <v>Clean</v>
      </c>
    </row>
    <row r="138" spans="1:27" x14ac:dyDescent="0.3">
      <c r="A138" t="str">
        <f>[1]raw_orders!A138</f>
        <v>ORD-2025-10137</v>
      </c>
      <c r="B138" s="4">
        <f>IFERROR(DATEVALUE([1]raw_orders!B138), "Invalid Date")</f>
        <v>45697</v>
      </c>
      <c r="C138" s="4">
        <f>IFERROR(DATEVALUE([1]raw_orders!C138), "Invalid Date")</f>
        <v>45703</v>
      </c>
      <c r="D138" t="str">
        <f>[1]raw_orders!D138</f>
        <v>CUST-3350</v>
      </c>
      <c r="E138" t="str">
        <f>PROPER(TRIM([1]raw_orders!E138))</f>
        <v>Mira Das</v>
      </c>
      <c r="F138" t="str">
        <f>PROPER(TRIM([1]raw_orders!F138))</f>
        <v>Home Office</v>
      </c>
      <c r="G138" t="str">
        <f>IF(TRIM([1]raw_orders!G138)="","Unknown",PROPER(TRIM([1]raw_orders!G138)))</f>
        <v>East</v>
      </c>
      <c r="H138" t="str">
        <f>PROPER(TRIM([1]raw_orders!H138))</f>
        <v>Jharkhand</v>
      </c>
      <c r="I138" t="str">
        <f>PROPER(TRIM([1]raw_orders!I138))</f>
        <v>Ranchi</v>
      </c>
      <c r="J138" t="str">
        <f>PROPER(TRIM([1]raw_orders!J138))</f>
        <v>Office Supplies</v>
      </c>
      <c r="K138" t="str">
        <f>PROPER(TRIM([1]raw_orders!K138))</f>
        <v>Binders</v>
      </c>
      <c r="L138" t="str">
        <f>[1]raw_orders!L138</f>
        <v>Max Binders 362</v>
      </c>
      <c r="M138" t="str">
        <f>IF(TRIM([1]raw_orders!M138)="","Unknown",PROPER(TRIM([1]raw_orders!M138)))</f>
        <v>Standard Class</v>
      </c>
      <c r="N138" s="5">
        <f>[1]raw_orders!N138</f>
        <v>9</v>
      </c>
      <c r="O138" s="5">
        <f>[1]raw_orders!O138</f>
        <v>4330.33</v>
      </c>
      <c r="P138" s="5">
        <f>[1]raw_orders!P138</f>
        <v>0.2</v>
      </c>
      <c r="Q138" t="str">
        <f>PROPER(TRIM([1]raw_orders!T138))</f>
        <v>Paid</v>
      </c>
      <c r="R138" t="str">
        <f>PROPER(TRIM([1]raw_orders!U138))</f>
        <v>Completed</v>
      </c>
      <c r="S138" s="5">
        <f>[1]raw_orders!S138</f>
        <v>9757.2900000000009</v>
      </c>
      <c r="T138" s="5">
        <f t="shared" si="16"/>
        <v>97.572900000000004</v>
      </c>
      <c r="U138" s="5">
        <f t="shared" si="17"/>
        <v>-3763732.7345130001</v>
      </c>
      <c r="V138" s="5">
        <f t="shared" si="18"/>
        <v>-3763732.9345130003</v>
      </c>
      <c r="W138" s="5">
        <f t="shared" si="19"/>
        <v>1.0000000531387361</v>
      </c>
      <c r="X138" s="5">
        <f t="shared" si="20"/>
        <v>6</v>
      </c>
      <c r="Y138" s="5">
        <f t="shared" si="21"/>
        <v>2</v>
      </c>
      <c r="Z138" s="5">
        <f t="shared" si="22"/>
        <v>2025</v>
      </c>
      <c r="AA138" t="str">
        <f t="shared" si="23"/>
        <v>Clean</v>
      </c>
    </row>
    <row r="139" spans="1:27" x14ac:dyDescent="0.3">
      <c r="A139" t="str">
        <f>[1]raw_orders!A139</f>
        <v>ORD-2025-10138</v>
      </c>
      <c r="B139" s="4">
        <f>IFERROR(DATEVALUE([1]raw_orders!B139), "Invalid Date")</f>
        <v>45901</v>
      </c>
      <c r="C139" s="4">
        <f>IFERROR(DATEVALUE([1]raw_orders!C139), "Invalid Date")</f>
        <v>45666</v>
      </c>
      <c r="D139" t="str">
        <f>[1]raw_orders!D139</f>
        <v>CUST-7932</v>
      </c>
      <c r="E139" t="str">
        <f>PROPER(TRIM([1]raw_orders!E139))</f>
        <v>Sneha Kapoor</v>
      </c>
      <c r="F139" t="str">
        <f>PROPER(TRIM([1]raw_orders!F139))</f>
        <v>Small Business</v>
      </c>
      <c r="G139" t="str">
        <f>IF(TRIM([1]raw_orders!G139)="","Unknown",PROPER(TRIM([1]raw_orders!G139)))</f>
        <v>North</v>
      </c>
      <c r="H139" t="str">
        <f>PROPER(TRIM([1]raw_orders!H139))</f>
        <v>Rajasthan</v>
      </c>
      <c r="I139" t="str">
        <f>PROPER(TRIM([1]raw_orders!I139))</f>
        <v>Jaipur</v>
      </c>
      <c r="J139" t="str">
        <f>PROPER(TRIM([1]raw_orders!J139))</f>
        <v>Furniture</v>
      </c>
      <c r="K139" t="str">
        <f>PROPER(TRIM([1]raw_orders!K139))</f>
        <v>Chairs</v>
      </c>
      <c r="L139" t="str">
        <f>[1]raw_orders!L139</f>
        <v>Prime Chairs 261</v>
      </c>
      <c r="M139" t="str">
        <f>IF(TRIM([1]raw_orders!M139)="","Unknown",PROPER(TRIM([1]raw_orders!M139)))</f>
        <v>Same Day</v>
      </c>
      <c r="N139" s="5">
        <f>[1]raw_orders!N139</f>
        <v>8</v>
      </c>
      <c r="O139" s="5">
        <f>[1]raw_orders!O139</f>
        <v>2667.07</v>
      </c>
      <c r="P139" s="5">
        <f>[1]raw_orders!P139</f>
        <v>0.1</v>
      </c>
      <c r="Q139" t="str">
        <f>PROPER(TRIM([1]raw_orders!T139))</f>
        <v>Paid</v>
      </c>
      <c r="R139" t="str">
        <f>PROPER(TRIM([1]raw_orders!U139))</f>
        <v>Completed</v>
      </c>
      <c r="S139" s="5">
        <f>[1]raw_orders!S139</f>
        <v>3676.28</v>
      </c>
      <c r="T139" s="5">
        <f t="shared" si="16"/>
        <v>36.762799999999999</v>
      </c>
      <c r="U139" s="5">
        <f t="shared" si="17"/>
        <v>-763055.12796800002</v>
      </c>
      <c r="V139" s="5">
        <f t="shared" si="18"/>
        <v>-763055.22796799999</v>
      </c>
      <c r="W139" s="5">
        <f t="shared" si="19"/>
        <v>1.0000001310521303</v>
      </c>
      <c r="X139" s="5">
        <f t="shared" si="20"/>
        <v>-235</v>
      </c>
      <c r="Y139" s="5">
        <f t="shared" si="21"/>
        <v>9</v>
      </c>
      <c r="Z139" s="5">
        <f t="shared" si="22"/>
        <v>2025</v>
      </c>
      <c r="AA139" t="str">
        <f t="shared" si="23"/>
        <v>Invalid</v>
      </c>
    </row>
    <row r="140" spans="1:27" x14ac:dyDescent="0.3">
      <c r="A140" t="str">
        <f>[1]raw_orders!A140</f>
        <v>ORD-2024-10139</v>
      </c>
      <c r="B140" s="4">
        <f>IFERROR(DATEVALUE([1]raw_orders!B140), "Invalid Date")</f>
        <v>45311</v>
      </c>
      <c r="C140" s="4">
        <f>IFERROR(DATEVALUE([1]raw_orders!C140), "Invalid Date")</f>
        <v>45317</v>
      </c>
      <c r="D140" t="str">
        <f>[1]raw_orders!D140</f>
        <v>CUST-7173</v>
      </c>
      <c r="E140" t="str">
        <f>PROPER(TRIM([1]raw_orders!E140))</f>
        <v>Diya Patel</v>
      </c>
      <c r="F140" t="str">
        <f>PROPER(TRIM([1]raw_orders!F140))</f>
        <v>Home Office</v>
      </c>
      <c r="G140" t="str">
        <f>IF(TRIM([1]raw_orders!G140)="","Unknown",PROPER(TRIM([1]raw_orders!G140)))</f>
        <v>East</v>
      </c>
      <c r="H140" t="str">
        <f>PROPER(TRIM([1]raw_orders!H140))</f>
        <v>Jharkhand</v>
      </c>
      <c r="I140" t="str">
        <f>PROPER(TRIM([1]raw_orders!I140))</f>
        <v>Ranchi</v>
      </c>
      <c r="J140" t="str">
        <f>PROPER(TRIM([1]raw_orders!J140))</f>
        <v>Technology</v>
      </c>
      <c r="K140" t="str">
        <f>PROPER(TRIM([1]raw_orders!K140))</f>
        <v>Machines</v>
      </c>
      <c r="L140" t="str">
        <f>[1]raw_orders!L140</f>
        <v>Basic Machines 185</v>
      </c>
      <c r="M140" t="str">
        <f>IF(TRIM([1]raw_orders!M140)="","Unknown",PROPER(TRIM([1]raw_orders!M140)))</f>
        <v>Standard Class</v>
      </c>
      <c r="N140" s="5">
        <f>[1]raw_orders!N140</f>
        <v>8</v>
      </c>
      <c r="O140" s="5">
        <f>[1]raw_orders!O140</f>
        <v>4003.05</v>
      </c>
      <c r="P140" s="5">
        <f>[1]raw_orders!P140</f>
        <v>0.25</v>
      </c>
      <c r="Q140" t="str">
        <f>PROPER(TRIM([1]raw_orders!T140))</f>
        <v>Paid</v>
      </c>
      <c r="R140" t="str">
        <f>PROPER(TRIM([1]raw_orders!U140))</f>
        <v>Completed</v>
      </c>
      <c r="S140" s="5">
        <f>[1]raw_orders!S140</f>
        <v>9947.52</v>
      </c>
      <c r="T140" s="5">
        <f t="shared" si="16"/>
        <v>99.475200000000001</v>
      </c>
      <c r="U140" s="5">
        <f t="shared" si="17"/>
        <v>-3153609.1948800003</v>
      </c>
      <c r="V140" s="5">
        <f t="shared" si="18"/>
        <v>-3153609.4448800003</v>
      </c>
      <c r="W140" s="5">
        <f t="shared" si="19"/>
        <v>1.0000000792742487</v>
      </c>
      <c r="X140" s="5">
        <f t="shared" si="20"/>
        <v>6</v>
      </c>
      <c r="Y140" s="5">
        <f t="shared" si="21"/>
        <v>1</v>
      </c>
      <c r="Z140" s="5">
        <f t="shared" si="22"/>
        <v>2024</v>
      </c>
      <c r="AA140" t="str">
        <f t="shared" si="23"/>
        <v>Clean</v>
      </c>
    </row>
    <row r="141" spans="1:27" x14ac:dyDescent="0.3">
      <c r="A141" t="str">
        <f>[1]raw_orders!A141</f>
        <v>ORD-2025-10140</v>
      </c>
      <c r="B141" s="4">
        <f>IFERROR(DATEVALUE([1]raw_orders!B141), "Invalid Date")</f>
        <v>45691</v>
      </c>
      <c r="C141" s="4">
        <f>IFERROR(DATEVALUE([1]raw_orders!C141), "Invalid Date")</f>
        <v>45723</v>
      </c>
      <c r="D141" t="str">
        <f>[1]raw_orders!D141</f>
        <v>CUST-4225</v>
      </c>
      <c r="E141" t="str">
        <f>PROPER(TRIM([1]raw_orders!E141))</f>
        <v>Neha Gupta</v>
      </c>
      <c r="F141" t="str">
        <f>PROPER(TRIM([1]raw_orders!F141))</f>
        <v>Home Office</v>
      </c>
      <c r="G141" t="str">
        <f>IF(TRIM([1]raw_orders!G141)="","Unknown",PROPER(TRIM([1]raw_orders!G141)))</f>
        <v>South</v>
      </c>
      <c r="H141" t="str">
        <f>PROPER(TRIM([1]raw_orders!H141))</f>
        <v>Karnataka</v>
      </c>
      <c r="I141" t="str">
        <f>PROPER(TRIM([1]raw_orders!I141))</f>
        <v>Bengaluru</v>
      </c>
      <c r="J141" t="str">
        <f>PROPER(TRIM([1]raw_orders!J141))</f>
        <v>Office Supplies</v>
      </c>
      <c r="K141" t="str">
        <f>PROPER(TRIM([1]raw_orders!K141))</f>
        <v>Labels</v>
      </c>
      <c r="L141" t="str">
        <f>[1]raw_orders!L141</f>
        <v>Basic Labels 509</v>
      </c>
      <c r="M141" t="str">
        <f>IF(TRIM([1]raw_orders!M141)="","Unknown",PROPER(TRIM([1]raw_orders!M141)))</f>
        <v>Standard Class</v>
      </c>
      <c r="N141" s="5">
        <f>[1]raw_orders!N141</f>
        <v>8</v>
      </c>
      <c r="O141" s="5">
        <f>[1]raw_orders!O141</f>
        <v>1287.6300000000001</v>
      </c>
      <c r="P141" s="5">
        <f>[1]raw_orders!P141</f>
        <v>0</v>
      </c>
      <c r="Q141" t="str">
        <f>PROPER(TRIM([1]raw_orders!T141))</f>
        <v>Paid</v>
      </c>
      <c r="R141" t="str">
        <f>PROPER(TRIM([1]raw_orders!U141))</f>
        <v>Completed</v>
      </c>
      <c r="S141" s="5">
        <f>[1]raw_orders!S141</f>
        <v>3736.98</v>
      </c>
      <c r="T141" s="5">
        <f t="shared" si="16"/>
        <v>37.369799999999998</v>
      </c>
      <c r="U141" s="5">
        <f t="shared" si="17"/>
        <v>-374646.76459199999</v>
      </c>
      <c r="V141" s="5">
        <f t="shared" si="18"/>
        <v>-374646.76459199999</v>
      </c>
      <c r="W141" s="5">
        <f t="shared" si="19"/>
        <v>1</v>
      </c>
      <c r="X141" s="5">
        <f t="shared" si="20"/>
        <v>32</v>
      </c>
      <c r="Y141" s="5">
        <f t="shared" si="21"/>
        <v>2</v>
      </c>
      <c r="Z141" s="5">
        <f t="shared" si="22"/>
        <v>2025</v>
      </c>
      <c r="AA141" t="str">
        <f t="shared" si="23"/>
        <v>Clean</v>
      </c>
    </row>
    <row r="142" spans="1:27" x14ac:dyDescent="0.3">
      <c r="A142" t="str">
        <f>[1]raw_orders!A142</f>
        <v>ORD-2024-10141</v>
      </c>
      <c r="B142" s="4">
        <f>IFERROR(DATEVALUE([1]raw_orders!B142), "Invalid Date")</f>
        <v>45443</v>
      </c>
      <c r="C142" s="4">
        <f>IFERROR(DATEVALUE([1]raw_orders!C142), "Invalid Date")</f>
        <v>45444</v>
      </c>
      <c r="D142" t="str">
        <f>[1]raw_orders!D142</f>
        <v>CUST-2149</v>
      </c>
      <c r="E142" t="str">
        <f>PROPER(TRIM([1]raw_orders!E142))</f>
        <v>Mira Das</v>
      </c>
      <c r="F142" t="str">
        <f>PROPER(TRIM([1]raw_orders!F142))</f>
        <v>Corporate</v>
      </c>
      <c r="G142" t="str">
        <f>IF(TRIM([1]raw_orders!G142)="","Unknown",PROPER(TRIM([1]raw_orders!G142)))</f>
        <v>South</v>
      </c>
      <c r="H142" t="str">
        <f>PROPER(TRIM([1]raw_orders!H142))</f>
        <v>Karnataka</v>
      </c>
      <c r="I142" t="str">
        <f>PROPER(TRIM([1]raw_orders!I142))</f>
        <v>Bengaluru</v>
      </c>
      <c r="J142" t="str">
        <f>PROPER(TRIM([1]raw_orders!J142))</f>
        <v>Furniture</v>
      </c>
      <c r="K142" t="str">
        <f>PROPER(TRIM([1]raw_orders!K142))</f>
        <v>Bookcases</v>
      </c>
      <c r="L142" t="str">
        <f>[1]raw_orders!L142</f>
        <v>Elite Bookcases 696</v>
      </c>
      <c r="M142" t="str">
        <f>IF(TRIM([1]raw_orders!M142)="","Unknown",PROPER(TRIM([1]raw_orders!M142)))</f>
        <v>Same Day</v>
      </c>
      <c r="N142" s="5">
        <f>[1]raw_orders!N142</f>
        <v>3</v>
      </c>
      <c r="O142" s="5">
        <f>[1]raw_orders!O142</f>
        <v>2914.55</v>
      </c>
      <c r="P142" s="5">
        <f>[1]raw_orders!P142</f>
        <v>0</v>
      </c>
      <c r="Q142" t="str">
        <f>PROPER(TRIM([1]raw_orders!T142))</f>
        <v>Paid</v>
      </c>
      <c r="R142" t="str">
        <f>PROPER(TRIM([1]raw_orders!U142))</f>
        <v>Completed</v>
      </c>
      <c r="S142" s="5">
        <f>[1]raw_orders!S142</f>
        <v>2139.89</v>
      </c>
      <c r="T142" s="5">
        <f t="shared" si="16"/>
        <v>21.398899999999998</v>
      </c>
      <c r="U142" s="5">
        <f t="shared" si="17"/>
        <v>-178360.84198500001</v>
      </c>
      <c r="V142" s="5">
        <f t="shared" si="18"/>
        <v>-178360.84198500001</v>
      </c>
      <c r="W142" s="5">
        <f t="shared" si="19"/>
        <v>1</v>
      </c>
      <c r="X142" s="5">
        <f t="shared" si="20"/>
        <v>1</v>
      </c>
      <c r="Y142" s="5">
        <f t="shared" si="21"/>
        <v>5</v>
      </c>
      <c r="Z142" s="5">
        <f t="shared" si="22"/>
        <v>2024</v>
      </c>
      <c r="AA142" t="str">
        <f t="shared" si="23"/>
        <v>Clean</v>
      </c>
    </row>
    <row r="143" spans="1:27" x14ac:dyDescent="0.3">
      <c r="A143" t="str">
        <f>[1]raw_orders!A143</f>
        <v>ORD-2024-10142</v>
      </c>
      <c r="B143" s="4" t="str">
        <f>IFERROR(DATEVALUE([1]raw_orders!B143), "Invalid Date")</f>
        <v>Invalid Date</v>
      </c>
      <c r="C143" s="4">
        <f>IFERROR(DATEVALUE([1]raw_orders!C143), "Invalid Date")</f>
        <v>45380</v>
      </c>
      <c r="D143" t="str">
        <f>[1]raw_orders!D143</f>
        <v>CUST-3314</v>
      </c>
      <c r="E143" t="str">
        <f>PROPER(TRIM([1]raw_orders!E143))</f>
        <v>Priya Menon</v>
      </c>
      <c r="F143" t="str">
        <f>PROPER(TRIM([1]raw_orders!F143))</f>
        <v>Corporate</v>
      </c>
      <c r="G143" t="str">
        <f>IF(TRIM([1]raw_orders!G143)="","Unknown",PROPER(TRIM([1]raw_orders!G143)))</f>
        <v>North</v>
      </c>
      <c r="H143" t="str">
        <f>PROPER(TRIM([1]raw_orders!H143))</f>
        <v>Delhi</v>
      </c>
      <c r="I143" t="str">
        <f>PROPER(TRIM([1]raw_orders!I143))</f>
        <v>New Delhi</v>
      </c>
      <c r="J143" t="str">
        <f>PROPER(TRIM([1]raw_orders!J143))</f>
        <v>Furniture</v>
      </c>
      <c r="K143" t="str">
        <f>PROPER(TRIM([1]raw_orders!K143))</f>
        <v>Bookcases</v>
      </c>
      <c r="L143" t="str">
        <f>[1]raw_orders!L143</f>
        <v>Elite Bookcases 772</v>
      </c>
      <c r="M143" t="str">
        <f>IF(TRIM([1]raw_orders!M143)="","Unknown",PROPER(TRIM([1]raw_orders!M143)))</f>
        <v>Same Day</v>
      </c>
      <c r="N143" s="5">
        <f>[1]raw_orders!N143</f>
        <v>7</v>
      </c>
      <c r="O143" s="5">
        <f>[1]raw_orders!O143</f>
        <v>634.29</v>
      </c>
      <c r="P143" s="5">
        <f>[1]raw_orders!P143</f>
        <v>0.1</v>
      </c>
      <c r="Q143" t="str">
        <f>PROPER(TRIM([1]raw_orders!T143))</f>
        <v>Paid</v>
      </c>
      <c r="R143" t="str">
        <f>PROPER(TRIM([1]raw_orders!U143))</f>
        <v>Returned</v>
      </c>
      <c r="S143" s="5">
        <f>[1]raw_orders!S143</f>
        <v>1136.52</v>
      </c>
      <c r="T143" s="5">
        <f t="shared" si="16"/>
        <v>11.3652</v>
      </c>
      <c r="U143" s="5">
        <f t="shared" si="17"/>
        <v>-46021.798955999999</v>
      </c>
      <c r="V143" s="5">
        <f t="shared" si="18"/>
        <v>-46021.898955999997</v>
      </c>
      <c r="W143" s="5">
        <f t="shared" si="19"/>
        <v>1.000002172883335</v>
      </c>
      <c r="X143" s="5" t="str">
        <f t="shared" si="20"/>
        <v>Invalid Date</v>
      </c>
      <c r="Y143" s="5" t="e">
        <f t="shared" si="21"/>
        <v>#VALUE!</v>
      </c>
      <c r="Z143" s="5" t="e">
        <f t="shared" si="22"/>
        <v>#VALUE!</v>
      </c>
      <c r="AA143" t="str">
        <f t="shared" si="23"/>
        <v>Clean</v>
      </c>
    </row>
    <row r="144" spans="1:27" x14ac:dyDescent="0.3">
      <c r="A144" t="str">
        <f>[1]raw_orders!A144</f>
        <v>ORD-2024-10143</v>
      </c>
      <c r="B144" s="4">
        <f>IFERROR(DATEVALUE([1]raw_orders!B144), "Invalid Date")</f>
        <v>45381</v>
      </c>
      <c r="C144" s="4">
        <f>IFERROR(DATEVALUE([1]raw_orders!C144), "Invalid Date")</f>
        <v>45377</v>
      </c>
      <c r="D144" t="str">
        <f>[1]raw_orders!D144</f>
        <v>CUST-8944</v>
      </c>
      <c r="E144" t="str">
        <f>PROPER(TRIM([1]raw_orders!E144))</f>
        <v>Aditi Sen</v>
      </c>
      <c r="F144" t="str">
        <f>PROPER(TRIM([1]raw_orders!F144))</f>
        <v>Home Office</v>
      </c>
      <c r="G144" t="str">
        <f>IF(TRIM([1]raw_orders!G144)="","Unknown",PROPER(TRIM([1]raw_orders!G144)))</f>
        <v>North</v>
      </c>
      <c r="H144" t="str">
        <f>PROPER(TRIM([1]raw_orders!H144))</f>
        <v>Rajasthan</v>
      </c>
      <c r="I144" t="str">
        <f>PROPER(TRIM([1]raw_orders!I144))</f>
        <v>Jaipur</v>
      </c>
      <c r="J144" t="str">
        <f>PROPER(TRIM([1]raw_orders!J144))</f>
        <v>Technology</v>
      </c>
      <c r="K144" t="str">
        <f>PROPER(TRIM([1]raw_orders!K144))</f>
        <v>Phones</v>
      </c>
      <c r="L144" t="str">
        <f>[1]raw_orders!L144</f>
        <v>Classic Phones 142</v>
      </c>
      <c r="M144" t="str">
        <f>IF(TRIM([1]raw_orders!M144)="","Unknown",PROPER(TRIM([1]raw_orders!M144)))</f>
        <v>Second Class</v>
      </c>
      <c r="N144" s="5">
        <f>[1]raw_orders!N144</f>
        <v>5</v>
      </c>
      <c r="O144" s="5">
        <f>[1]raw_orders!O144</f>
        <v>907.54</v>
      </c>
      <c r="P144" s="5">
        <f>[1]raw_orders!P144</f>
        <v>0.15</v>
      </c>
      <c r="Q144" t="str">
        <f>PROPER(TRIM([1]raw_orders!T144))</f>
        <v>Paid</v>
      </c>
      <c r="R144" t="str">
        <f>PROPER(TRIM([1]raw_orders!U144))</f>
        <v>Completed</v>
      </c>
      <c r="S144" s="5">
        <f>[1]raw_orders!S144</f>
        <v>1087.78</v>
      </c>
      <c r="T144" s="5">
        <f t="shared" si="16"/>
        <v>10.877800000000001</v>
      </c>
      <c r="U144" s="5">
        <f t="shared" si="17"/>
        <v>-44822.493060000001</v>
      </c>
      <c r="V144" s="5">
        <f t="shared" si="18"/>
        <v>-44822.643060000002</v>
      </c>
      <c r="W144" s="5">
        <f t="shared" si="19"/>
        <v>1.0000033465340672</v>
      </c>
      <c r="X144" s="5">
        <f t="shared" si="20"/>
        <v>-4</v>
      </c>
      <c r="Y144" s="5">
        <f t="shared" si="21"/>
        <v>3</v>
      </c>
      <c r="Z144" s="5">
        <f t="shared" si="22"/>
        <v>2024</v>
      </c>
      <c r="AA144" t="str">
        <f t="shared" si="23"/>
        <v>Invalid</v>
      </c>
    </row>
    <row r="145" spans="1:27" x14ac:dyDescent="0.3">
      <c r="A145" t="str">
        <f>[1]raw_orders!A145</f>
        <v>ORD-2024-10144</v>
      </c>
      <c r="B145" s="4" t="str">
        <f>IFERROR(DATEVALUE([1]raw_orders!B145), "Invalid Date")</f>
        <v>Invalid Date</v>
      </c>
      <c r="C145" s="4">
        <f>IFERROR(DATEVALUE([1]raw_orders!C145), "Invalid Date")</f>
        <v>45377</v>
      </c>
      <c r="D145" t="str">
        <f>[1]raw_orders!D145</f>
        <v>CUST-3144</v>
      </c>
      <c r="E145" t="str">
        <f>PROPER(TRIM([1]raw_orders!E145))</f>
        <v>Priya Menon</v>
      </c>
      <c r="F145" t="str">
        <f>PROPER(TRIM([1]raw_orders!F145))</f>
        <v>Consumer</v>
      </c>
      <c r="G145" t="str">
        <f>IF(TRIM([1]raw_orders!G145)="","Unknown",PROPER(TRIM([1]raw_orders!G145)))</f>
        <v>West</v>
      </c>
      <c r="H145" t="str">
        <f>PROPER(TRIM([1]raw_orders!H145))</f>
        <v>Gujarat</v>
      </c>
      <c r="I145" t="str">
        <f>PROPER(TRIM([1]raw_orders!I145))</f>
        <v>Ahmedabad</v>
      </c>
      <c r="J145" t="str">
        <f>PROPER(TRIM([1]raw_orders!J145))</f>
        <v>Office Supplies</v>
      </c>
      <c r="K145" t="str">
        <f>PROPER(TRIM([1]raw_orders!K145))</f>
        <v>Paper</v>
      </c>
      <c r="L145" t="str">
        <f>[1]raw_orders!L145</f>
        <v>Pro Paper 575</v>
      </c>
      <c r="M145" t="str">
        <f>IF(TRIM([1]raw_orders!M145)="","Unknown",PROPER(TRIM([1]raw_orders!M145)))</f>
        <v>Second Class</v>
      </c>
      <c r="N145" s="5">
        <f>[1]raw_orders!N145</f>
        <v>1</v>
      </c>
      <c r="O145" s="5">
        <f>[1]raw_orders!O145</f>
        <v>3409.5</v>
      </c>
      <c r="P145" s="5">
        <f>[1]raw_orders!P145</f>
        <v>0.1</v>
      </c>
      <c r="Q145" t="str">
        <f>PROPER(TRIM([1]raw_orders!T145))</f>
        <v>Paid</v>
      </c>
      <c r="R145" t="str">
        <f>PROPER(TRIM([1]raw_orders!U145))</f>
        <v>Returned</v>
      </c>
      <c r="S145" s="5">
        <f>[1]raw_orders!S145</f>
        <v>1152.3900000000001</v>
      </c>
      <c r="T145" s="5">
        <f t="shared" si="16"/>
        <v>11.523900000000001</v>
      </c>
      <c r="U145" s="5">
        <f t="shared" si="17"/>
        <v>-35881.237050000003</v>
      </c>
      <c r="V145" s="5">
        <f t="shared" si="18"/>
        <v>-35881.337050000002</v>
      </c>
      <c r="W145" s="5">
        <f t="shared" si="19"/>
        <v>1.0000027869719168</v>
      </c>
      <c r="X145" s="5" t="str">
        <f t="shared" si="20"/>
        <v>Invalid Date</v>
      </c>
      <c r="Y145" s="5" t="e">
        <f t="shared" si="21"/>
        <v>#VALUE!</v>
      </c>
      <c r="Z145" s="5" t="e">
        <f t="shared" si="22"/>
        <v>#VALUE!</v>
      </c>
      <c r="AA145" t="str">
        <f t="shared" si="23"/>
        <v>Clean</v>
      </c>
    </row>
    <row r="146" spans="1:27" x14ac:dyDescent="0.3">
      <c r="A146" t="str">
        <f>[1]raw_orders!A146</f>
        <v>ORD-2024-10145</v>
      </c>
      <c r="B146" s="4">
        <f>IFERROR(DATEVALUE([1]raw_orders!B146), "Invalid Date")</f>
        <v>45450</v>
      </c>
      <c r="C146" s="4">
        <f>IFERROR(DATEVALUE([1]raw_orders!C146), "Invalid Date")</f>
        <v>45458</v>
      </c>
      <c r="D146" t="str">
        <f>[1]raw_orders!D146</f>
        <v>CUST-6747</v>
      </c>
      <c r="E146" t="str">
        <f>PROPER(TRIM([1]raw_orders!E146))</f>
        <v>Kabir Singh</v>
      </c>
      <c r="F146" t="str">
        <f>PROPER(TRIM([1]raw_orders!F146))</f>
        <v>Small Business</v>
      </c>
      <c r="G146" t="str">
        <f>IF(TRIM([1]raw_orders!G146)="","Unknown",PROPER(TRIM([1]raw_orders!G146)))</f>
        <v>South</v>
      </c>
      <c r="H146" t="str">
        <f>PROPER(TRIM([1]raw_orders!H146))</f>
        <v>Telangana</v>
      </c>
      <c r="I146" t="str">
        <f>PROPER(TRIM([1]raw_orders!I146))</f>
        <v>Hyderabad</v>
      </c>
      <c r="J146" t="str">
        <f>PROPER(TRIM([1]raw_orders!J146))</f>
        <v>Technology</v>
      </c>
      <c r="K146" t="str">
        <f>PROPER(TRIM([1]raw_orders!K146))</f>
        <v>Accessories</v>
      </c>
      <c r="L146" t="str">
        <f>[1]raw_orders!L146</f>
        <v>Elite Accessories 905</v>
      </c>
      <c r="M146" t="str">
        <f>IF(TRIM([1]raw_orders!M146)="","Unknown",PROPER(TRIM([1]raw_orders!M146)))</f>
        <v>First Class</v>
      </c>
      <c r="N146" s="5">
        <f>[1]raw_orders!N146</f>
        <v>7</v>
      </c>
      <c r="O146" s="5">
        <f>[1]raw_orders!O146</f>
        <v>2147.9899999999998</v>
      </c>
      <c r="P146" s="5">
        <f>[1]raw_orders!P146</f>
        <v>0.25</v>
      </c>
      <c r="Q146" t="str">
        <f>PROPER(TRIM([1]raw_orders!T146))</f>
        <v>Refunded</v>
      </c>
      <c r="R146" t="str">
        <f>PROPER(TRIM([1]raw_orders!U146))</f>
        <v>Returned</v>
      </c>
      <c r="S146" s="5">
        <f>[1]raw_orders!S146</f>
        <v>4368.1899999999996</v>
      </c>
      <c r="T146" s="5">
        <f t="shared" si="16"/>
        <v>43.681899999999999</v>
      </c>
      <c r="U146" s="5">
        <f t="shared" si="17"/>
        <v>-641762.0606669999</v>
      </c>
      <c r="V146" s="5">
        <f t="shared" si="18"/>
        <v>-641762.3106669999</v>
      </c>
      <c r="W146" s="5">
        <f t="shared" si="19"/>
        <v>1.0000003895524765</v>
      </c>
      <c r="X146" s="5">
        <f t="shared" si="20"/>
        <v>8</v>
      </c>
      <c r="Y146" s="5">
        <f t="shared" si="21"/>
        <v>6</v>
      </c>
      <c r="Z146" s="5">
        <f t="shared" si="22"/>
        <v>2024</v>
      </c>
      <c r="AA146" t="str">
        <f t="shared" si="23"/>
        <v>Clean</v>
      </c>
    </row>
    <row r="147" spans="1:27" x14ac:dyDescent="0.3">
      <c r="A147" t="str">
        <f>[1]raw_orders!A147</f>
        <v>ORD-2025-10146</v>
      </c>
      <c r="B147" s="4">
        <f>IFERROR(DATEVALUE([1]raw_orders!B147), "Invalid Date")</f>
        <v>45758</v>
      </c>
      <c r="C147" s="4" t="str">
        <f>IFERROR(DATEVALUE([1]raw_orders!C147), "Invalid Date")</f>
        <v>Invalid Date</v>
      </c>
      <c r="D147" t="str">
        <f>[1]raw_orders!D147</f>
        <v>CUST-6161</v>
      </c>
      <c r="E147" t="str">
        <f>PROPER(TRIM([1]raw_orders!E147))</f>
        <v>Mira Das</v>
      </c>
      <c r="F147" t="str">
        <f>PROPER(TRIM([1]raw_orders!F147))</f>
        <v>Small Business</v>
      </c>
      <c r="G147" t="str">
        <f>IF(TRIM([1]raw_orders!G147)="","Unknown",PROPER(TRIM([1]raw_orders!G147)))</f>
        <v>West</v>
      </c>
      <c r="H147" t="str">
        <f>PROPER(TRIM([1]raw_orders!H147))</f>
        <v>Goa</v>
      </c>
      <c r="I147" t="str">
        <f>PROPER(TRIM([1]raw_orders!I147))</f>
        <v>Panaji</v>
      </c>
      <c r="J147" t="str">
        <f>PROPER(TRIM([1]raw_orders!J147))</f>
        <v>Office Supplies</v>
      </c>
      <c r="K147" t="str">
        <f>PROPER(TRIM([1]raw_orders!K147))</f>
        <v>Paper</v>
      </c>
      <c r="L147" t="str">
        <f>[1]raw_orders!L147</f>
        <v>Smart Paper 899</v>
      </c>
      <c r="M147" t="str">
        <f>IF(TRIM([1]raw_orders!M147)="","Unknown",PROPER(TRIM([1]raw_orders!M147)))</f>
        <v>Standard Class</v>
      </c>
      <c r="N147" s="5">
        <f>[1]raw_orders!N147</f>
        <v>4</v>
      </c>
      <c r="O147" s="5">
        <f>[1]raw_orders!O147</f>
        <v>4182.1499999999996</v>
      </c>
      <c r="P147" s="5">
        <f>[1]raw_orders!P147</f>
        <v>0.1</v>
      </c>
      <c r="Q147" t="str">
        <f>PROPER(TRIM([1]raw_orders!T147))</f>
        <v>Paid</v>
      </c>
      <c r="R147" t="str">
        <f>PROPER(TRIM([1]raw_orders!U147))</f>
        <v>Completed</v>
      </c>
      <c r="S147" s="5">
        <f>[1]raw_orders!S147</f>
        <v>5246.91</v>
      </c>
      <c r="T147" s="5">
        <f t="shared" si="16"/>
        <v>52.469099999999997</v>
      </c>
      <c r="U147" s="5">
        <f t="shared" si="17"/>
        <v>-861005.98625999992</v>
      </c>
      <c r="V147" s="5">
        <f t="shared" si="18"/>
        <v>-861006.08625999989</v>
      </c>
      <c r="W147" s="5">
        <f t="shared" si="19"/>
        <v>1.000000116143211</v>
      </c>
      <c r="X147" s="5" t="str">
        <f t="shared" si="20"/>
        <v>Invalid Date</v>
      </c>
      <c r="Y147" s="5">
        <f t="shared" si="21"/>
        <v>4</v>
      </c>
      <c r="Z147" s="5">
        <f t="shared" si="22"/>
        <v>2025</v>
      </c>
      <c r="AA147" t="str">
        <f t="shared" si="23"/>
        <v>Clean</v>
      </c>
    </row>
    <row r="148" spans="1:27" x14ac:dyDescent="0.3">
      <c r="A148" t="str">
        <f>[1]raw_orders!A148</f>
        <v>ORD-2025-10147</v>
      </c>
      <c r="B148" s="4">
        <f>IFERROR(DATEVALUE([1]raw_orders!B148), "Invalid Date")</f>
        <v>45868</v>
      </c>
      <c r="C148" s="4">
        <f>IFERROR(DATEVALUE([1]raw_orders!C148), "Invalid Date")</f>
        <v>45665</v>
      </c>
      <c r="D148" t="str">
        <f>[1]raw_orders!D148</f>
        <v>CUST-1460</v>
      </c>
      <c r="E148" t="str">
        <f>PROPER(TRIM([1]raw_orders!E148))</f>
        <v>Sneha Kapoor</v>
      </c>
      <c r="F148" t="str">
        <f>PROPER(TRIM([1]raw_orders!F148))</f>
        <v>Small Business</v>
      </c>
      <c r="G148" t="str">
        <f>IF(TRIM([1]raw_orders!G148)="","Unknown",PROPER(TRIM([1]raw_orders!G148)))</f>
        <v>South</v>
      </c>
      <c r="H148" t="str">
        <f>PROPER(TRIM([1]raw_orders!H148))</f>
        <v>Tamil Nadu</v>
      </c>
      <c r="I148" t="str">
        <f>PROPER(TRIM([1]raw_orders!I148))</f>
        <v>Chennai</v>
      </c>
      <c r="J148" t="str">
        <f>PROPER(TRIM([1]raw_orders!J148))</f>
        <v>Office Supplies</v>
      </c>
      <c r="K148" t="str">
        <f>PROPER(TRIM([1]raw_orders!K148))</f>
        <v>Storage</v>
      </c>
      <c r="L148" t="str">
        <f>[1]raw_orders!L148</f>
        <v>Classic Storage 423</v>
      </c>
      <c r="M148" t="str">
        <f>IF(TRIM([1]raw_orders!M148)="","Unknown",PROPER(TRIM([1]raw_orders!M148)))</f>
        <v>Same Day</v>
      </c>
      <c r="N148" s="5">
        <f>[1]raw_orders!N148</f>
        <v>9</v>
      </c>
      <c r="O148" s="5">
        <f>[1]raw_orders!O148</f>
        <v>3165.43</v>
      </c>
      <c r="P148" s="5">
        <f>[1]raw_orders!P148</f>
        <v>0.1</v>
      </c>
      <c r="Q148" t="str">
        <f>PROPER(TRIM([1]raw_orders!T148))</f>
        <v>Paid</v>
      </c>
      <c r="R148" t="str">
        <f>PROPER(TRIM([1]raw_orders!U148))</f>
        <v>Completed</v>
      </c>
      <c r="S148" s="5">
        <f>[1]raw_orders!S148</f>
        <v>4004.9</v>
      </c>
      <c r="T148" s="5">
        <f t="shared" si="16"/>
        <v>40.048999999999999</v>
      </c>
      <c r="U148" s="5">
        <f t="shared" si="17"/>
        <v>-1112461.88463</v>
      </c>
      <c r="V148" s="5">
        <f t="shared" si="18"/>
        <v>-1112461.9846300001</v>
      </c>
      <c r="W148" s="5">
        <f t="shared" si="19"/>
        <v>1.0000000898907202</v>
      </c>
      <c r="X148" s="5">
        <f t="shared" si="20"/>
        <v>-203</v>
      </c>
      <c r="Y148" s="5">
        <f t="shared" si="21"/>
        <v>7</v>
      </c>
      <c r="Z148" s="5">
        <f t="shared" si="22"/>
        <v>2025</v>
      </c>
      <c r="AA148" t="str">
        <f t="shared" si="23"/>
        <v>Invalid</v>
      </c>
    </row>
    <row r="149" spans="1:27" x14ac:dyDescent="0.3">
      <c r="A149" t="str">
        <f>[1]raw_orders!A149</f>
        <v>ORD-2024-10148</v>
      </c>
      <c r="B149" s="4">
        <f>IFERROR(DATEVALUE([1]raw_orders!B149), "Invalid Date")</f>
        <v>45649</v>
      </c>
      <c r="C149" s="4">
        <f>IFERROR(DATEVALUE([1]raw_orders!C149), "Invalid Date")</f>
        <v>45656</v>
      </c>
      <c r="D149" t="str">
        <f>[1]raw_orders!D149</f>
        <v>CUST-2692</v>
      </c>
      <c r="E149" t="str">
        <f>PROPER(TRIM([1]raw_orders!E149))</f>
        <v>Priya Menon</v>
      </c>
      <c r="F149" t="str">
        <f>PROPER(TRIM([1]raw_orders!F149))</f>
        <v>Home Office</v>
      </c>
      <c r="G149" t="str">
        <f>IF(TRIM([1]raw_orders!G149)="","Unknown",PROPER(TRIM([1]raw_orders!G149)))</f>
        <v>West</v>
      </c>
      <c r="H149" t="str">
        <f>PROPER(TRIM([1]raw_orders!H149))</f>
        <v>Goa</v>
      </c>
      <c r="I149" t="str">
        <f>PROPER(TRIM([1]raw_orders!I149))</f>
        <v>Panaji</v>
      </c>
      <c r="J149" t="str">
        <f>PROPER(TRIM([1]raw_orders!J149))</f>
        <v>Furniture</v>
      </c>
      <c r="K149" t="str">
        <f>PROPER(TRIM([1]raw_orders!K149))</f>
        <v>Furnishings</v>
      </c>
      <c r="L149" t="str">
        <f>[1]raw_orders!L149</f>
        <v>Classic Furnishings 743</v>
      </c>
      <c r="M149" t="str">
        <f>IF(TRIM([1]raw_orders!M149)="","Unknown",PROPER(TRIM([1]raw_orders!M149)))</f>
        <v>First Class</v>
      </c>
      <c r="N149" s="5">
        <f>[1]raw_orders!N149</f>
        <v>8</v>
      </c>
      <c r="O149" s="5">
        <f>[1]raw_orders!O149</f>
        <v>386.1</v>
      </c>
      <c r="P149" s="5">
        <f>[1]raw_orders!P149</f>
        <v>0.1</v>
      </c>
      <c r="Q149" t="str">
        <f>PROPER(TRIM([1]raw_orders!T149))</f>
        <v>Paid</v>
      </c>
      <c r="R149" t="str">
        <f>PROPER(TRIM([1]raw_orders!U149))</f>
        <v>Completed</v>
      </c>
      <c r="S149" s="5">
        <f>[1]raw_orders!S149</f>
        <v>1035.8699999999999</v>
      </c>
      <c r="T149" s="5">
        <f t="shared" si="16"/>
        <v>10.358699999999999</v>
      </c>
      <c r="U149" s="5">
        <f t="shared" si="17"/>
        <v>-28907.152559999999</v>
      </c>
      <c r="V149" s="5">
        <f t="shared" si="18"/>
        <v>-28907.252559999997</v>
      </c>
      <c r="W149" s="5">
        <f t="shared" si="19"/>
        <v>1.0000034593514457</v>
      </c>
      <c r="X149" s="5">
        <f t="shared" si="20"/>
        <v>7</v>
      </c>
      <c r="Y149" s="5">
        <f t="shared" si="21"/>
        <v>12</v>
      </c>
      <c r="Z149" s="5">
        <f t="shared" si="22"/>
        <v>2024</v>
      </c>
      <c r="AA149" t="str">
        <f t="shared" si="23"/>
        <v>Clean</v>
      </c>
    </row>
    <row r="150" spans="1:27" x14ac:dyDescent="0.3">
      <c r="A150" t="str">
        <f>[1]raw_orders!A150</f>
        <v>ORD-2025-10149</v>
      </c>
      <c r="B150" s="4">
        <f>IFERROR(DATEVALUE([1]raw_orders!B150), "Invalid Date")</f>
        <v>45697</v>
      </c>
      <c r="C150" s="4">
        <f>IFERROR(DATEVALUE([1]raw_orders!C150), "Invalid Date")</f>
        <v>45701</v>
      </c>
      <c r="D150" t="str">
        <f>[1]raw_orders!D150</f>
        <v>CUST-2822</v>
      </c>
      <c r="E150" t="str">
        <f>PROPER(TRIM([1]raw_orders!E150))</f>
        <v>Mira Das</v>
      </c>
      <c r="F150" t="str">
        <f>PROPER(TRIM([1]raw_orders!F150))</f>
        <v>Home Office</v>
      </c>
      <c r="G150" t="str">
        <f>IF(TRIM([1]raw_orders!G150)="","Unknown",PROPER(TRIM([1]raw_orders!G150)))</f>
        <v>West</v>
      </c>
      <c r="H150" t="str">
        <f>PROPER(TRIM([1]raw_orders!H150))</f>
        <v>Madhya Pradesh</v>
      </c>
      <c r="I150" t="str">
        <f>PROPER(TRIM([1]raw_orders!I150))</f>
        <v>Indore</v>
      </c>
      <c r="J150" t="str">
        <f>PROPER(TRIM([1]raw_orders!J150))</f>
        <v>Technology</v>
      </c>
      <c r="K150" t="str">
        <f>PROPER(TRIM([1]raw_orders!K150))</f>
        <v>Phones</v>
      </c>
      <c r="L150" t="str">
        <f>[1]raw_orders!L150</f>
        <v>Smart Phones 336</v>
      </c>
      <c r="M150" t="str">
        <f>IF(TRIM([1]raw_orders!M150)="","Unknown",PROPER(TRIM([1]raw_orders!M150)))</f>
        <v>Unknown</v>
      </c>
      <c r="N150" s="5">
        <f>[1]raw_orders!N150</f>
        <v>8</v>
      </c>
      <c r="O150" s="5">
        <f>[1]raw_orders!O150</f>
        <v>1696.07</v>
      </c>
      <c r="P150" s="5">
        <f>[1]raw_orders!P150</f>
        <v>0.25</v>
      </c>
      <c r="Q150" t="str">
        <f>PROPER(TRIM([1]raw_orders!T150))</f>
        <v>Paid</v>
      </c>
      <c r="R150" t="str">
        <f>PROPER(TRIM([1]raw_orders!U150))</f>
        <v>Completed</v>
      </c>
      <c r="S150" s="5">
        <f>[1]raw_orders!S150</f>
        <v>2571.9499999999998</v>
      </c>
      <c r="T150" s="5">
        <f t="shared" si="16"/>
        <v>25.719499999999996</v>
      </c>
      <c r="U150" s="5">
        <f t="shared" si="17"/>
        <v>-335408.01891999994</v>
      </c>
      <c r="V150" s="5">
        <f t="shared" si="18"/>
        <v>-335408.26891999994</v>
      </c>
      <c r="W150" s="5">
        <f t="shared" si="19"/>
        <v>1.0000007453608319</v>
      </c>
      <c r="X150" s="5">
        <f t="shared" si="20"/>
        <v>4</v>
      </c>
      <c r="Y150" s="5">
        <f t="shared" si="21"/>
        <v>2</v>
      </c>
      <c r="Z150" s="5">
        <f t="shared" si="22"/>
        <v>2025</v>
      </c>
      <c r="AA150" t="str">
        <f t="shared" si="23"/>
        <v>Warning</v>
      </c>
    </row>
    <row r="151" spans="1:27" x14ac:dyDescent="0.3">
      <c r="A151" t="str">
        <f>[1]raw_orders!A151</f>
        <v>ORD-2024-10150</v>
      </c>
      <c r="B151" s="4">
        <f>IFERROR(DATEVALUE([1]raw_orders!B151), "Invalid Date")</f>
        <v>45321</v>
      </c>
      <c r="C151" s="4">
        <f>IFERROR(DATEVALUE([1]raw_orders!C151), "Invalid Date")</f>
        <v>45321</v>
      </c>
      <c r="D151" t="str">
        <f>[1]raw_orders!D151</f>
        <v>CUST-5876</v>
      </c>
      <c r="E151" t="str">
        <f>PROPER(TRIM([1]raw_orders!E151))</f>
        <v>Aarav Sharma</v>
      </c>
      <c r="F151" t="str">
        <f>PROPER(TRIM([1]raw_orders!F151))</f>
        <v>Small Business</v>
      </c>
      <c r="G151" t="str">
        <f>IF(TRIM([1]raw_orders!G151)="","Unknown",PROPER(TRIM([1]raw_orders!G151)))</f>
        <v>West</v>
      </c>
      <c r="H151" t="str">
        <f>PROPER(TRIM([1]raw_orders!H151))</f>
        <v>Rajasthan</v>
      </c>
      <c r="I151" t="str">
        <f>PROPER(TRIM([1]raw_orders!I151))</f>
        <v>Udaipur</v>
      </c>
      <c r="J151" t="str">
        <f>PROPER(TRIM([1]raw_orders!J151))</f>
        <v>Technology</v>
      </c>
      <c r="K151" t="str">
        <f>PROPER(TRIM([1]raw_orders!K151))</f>
        <v>Copiers</v>
      </c>
      <c r="L151" t="str">
        <f>[1]raw_orders!L151</f>
        <v>Eco Copiers 381</v>
      </c>
      <c r="M151" t="str">
        <f>IF(TRIM([1]raw_orders!M151)="","Unknown",PROPER(TRIM([1]raw_orders!M151)))</f>
        <v>Same Day</v>
      </c>
      <c r="N151" s="5">
        <f>[1]raw_orders!N151</f>
        <v>7</v>
      </c>
      <c r="O151" s="5">
        <f>[1]raw_orders!O151</f>
        <v>2527.61</v>
      </c>
      <c r="P151" s="5">
        <f>[1]raw_orders!P151</f>
        <v>0.25</v>
      </c>
      <c r="Q151" t="str">
        <f>PROPER(TRIM([1]raw_orders!T151))</f>
        <v>Paid</v>
      </c>
      <c r="R151" t="str">
        <f>PROPER(TRIM([1]raw_orders!U151))</f>
        <v>Completed</v>
      </c>
      <c r="S151" s="5">
        <f>[1]raw_orders!S151</f>
        <v>4292.8500000000004</v>
      </c>
      <c r="T151" s="5">
        <f t="shared" si="16"/>
        <v>42.928500000000007</v>
      </c>
      <c r="U151" s="5">
        <f t="shared" si="17"/>
        <v>-741852.27119500015</v>
      </c>
      <c r="V151" s="5">
        <f t="shared" si="18"/>
        <v>-741852.52119500015</v>
      </c>
      <c r="W151" s="5">
        <f t="shared" si="19"/>
        <v>1.0000003369943178</v>
      </c>
      <c r="X151" s="5">
        <f t="shared" si="20"/>
        <v>0</v>
      </c>
      <c r="Y151" s="5">
        <f t="shared" si="21"/>
        <v>1</v>
      </c>
      <c r="Z151" s="5">
        <f t="shared" si="22"/>
        <v>2024</v>
      </c>
      <c r="AA151" t="str">
        <f t="shared" si="23"/>
        <v>Clean</v>
      </c>
    </row>
    <row r="152" spans="1:27" x14ac:dyDescent="0.3">
      <c r="A152" t="str">
        <f>[1]raw_orders!A152</f>
        <v>ORD-2024-10151</v>
      </c>
      <c r="B152" s="4">
        <f>IFERROR(DATEVALUE([1]raw_orders!B152), "Invalid Date")</f>
        <v>45355</v>
      </c>
      <c r="C152" s="4">
        <f>IFERROR(DATEVALUE([1]raw_orders!C152), "Invalid Date")</f>
        <v>45363</v>
      </c>
      <c r="D152" t="str">
        <f>[1]raw_orders!D152</f>
        <v>CUST-4661</v>
      </c>
      <c r="E152" t="str">
        <f>PROPER(TRIM([1]raw_orders!E152))</f>
        <v>Arjun Bose</v>
      </c>
      <c r="F152" t="str">
        <f>PROPER(TRIM([1]raw_orders!F152))</f>
        <v>Consumer</v>
      </c>
      <c r="G152" t="str">
        <f>IF(TRIM([1]raw_orders!G152)="","Unknown",PROPER(TRIM([1]raw_orders!G152)))</f>
        <v>Unknown</v>
      </c>
      <c r="H152" t="str">
        <f>PROPER(TRIM([1]raw_orders!H152))</f>
        <v>Gujarat</v>
      </c>
      <c r="I152" t="str">
        <f>PROPER(TRIM([1]raw_orders!I152))</f>
        <v>Ahmedabad</v>
      </c>
      <c r="J152" t="str">
        <f>PROPER(TRIM([1]raw_orders!J152))</f>
        <v>Furniture</v>
      </c>
      <c r="K152" t="str">
        <f>PROPER(TRIM([1]raw_orders!K152))</f>
        <v>Bookcases</v>
      </c>
      <c r="L152" t="str">
        <f>[1]raw_orders!L152</f>
        <v>Max Bookcases 595</v>
      </c>
      <c r="M152" t="str">
        <f>IF(TRIM([1]raw_orders!M152)="","Unknown",PROPER(TRIM([1]raw_orders!M152)))</f>
        <v>First Class</v>
      </c>
      <c r="N152" s="5">
        <f>[1]raw_orders!N152</f>
        <v>1</v>
      </c>
      <c r="O152" s="5">
        <f>[1]raw_orders!O152</f>
        <v>1554.12</v>
      </c>
      <c r="P152" s="5">
        <f>[1]raw_orders!P152</f>
        <v>0.1</v>
      </c>
      <c r="Q152" t="str">
        <f>PROPER(TRIM([1]raw_orders!T152))</f>
        <v>Paid</v>
      </c>
      <c r="R152" t="str">
        <f>PROPER(TRIM([1]raw_orders!U152))</f>
        <v>Completed</v>
      </c>
      <c r="S152" s="5">
        <f>[1]raw_orders!S152</f>
        <v>341.79</v>
      </c>
      <c r="T152" s="5">
        <f t="shared" si="16"/>
        <v>3.4179000000000004</v>
      </c>
      <c r="U152" s="5">
        <f t="shared" si="17"/>
        <v>-3757.7067480000005</v>
      </c>
      <c r="V152" s="5">
        <f t="shared" si="18"/>
        <v>-3757.8067480000004</v>
      </c>
      <c r="W152" s="5">
        <f t="shared" si="19"/>
        <v>1.0000266119755228</v>
      </c>
      <c r="X152" s="5">
        <f t="shared" si="20"/>
        <v>8</v>
      </c>
      <c r="Y152" s="5">
        <f t="shared" si="21"/>
        <v>3</v>
      </c>
      <c r="Z152" s="5">
        <f t="shared" si="22"/>
        <v>2024</v>
      </c>
      <c r="AA152" t="str">
        <f t="shared" si="23"/>
        <v>Warning</v>
      </c>
    </row>
    <row r="153" spans="1:27" x14ac:dyDescent="0.3">
      <c r="A153" t="str">
        <f>[1]raw_orders!A153</f>
        <v>ORD-2024-10152</v>
      </c>
      <c r="B153" s="4">
        <f>IFERROR(DATEVALUE([1]raw_orders!B153), "Invalid Date")</f>
        <v>45470</v>
      </c>
      <c r="C153" s="4" t="str">
        <f>IFERROR(DATEVALUE([1]raw_orders!C153), "Invalid Date")</f>
        <v>Invalid Date</v>
      </c>
      <c r="D153" t="str">
        <f>[1]raw_orders!D153</f>
        <v>CUST-6011</v>
      </c>
      <c r="E153" t="str">
        <f>PROPER(TRIM([1]raw_orders!E153))</f>
        <v>Neha Gupta</v>
      </c>
      <c r="F153" t="str">
        <f>PROPER(TRIM([1]raw_orders!F153))</f>
        <v>Home Office</v>
      </c>
      <c r="G153" t="str">
        <f>IF(TRIM([1]raw_orders!G153)="","Unknown",PROPER(TRIM([1]raw_orders!G153)))</f>
        <v>Unknown</v>
      </c>
      <c r="H153" t="str">
        <f>PROPER(TRIM([1]raw_orders!H153))</f>
        <v>Madhya Pradesh</v>
      </c>
      <c r="I153" t="str">
        <f>PROPER(TRIM([1]raw_orders!I153))</f>
        <v>Indore</v>
      </c>
      <c r="J153" t="str">
        <f>PROPER(TRIM([1]raw_orders!J153))</f>
        <v>Technology</v>
      </c>
      <c r="K153" t="str">
        <f>PROPER(TRIM([1]raw_orders!K153))</f>
        <v>Copiers</v>
      </c>
      <c r="L153" t="str">
        <f>[1]raw_orders!L153</f>
        <v>Max Copiers 992</v>
      </c>
      <c r="M153" t="str">
        <f>IF(TRIM([1]raw_orders!M153)="","Unknown",PROPER(TRIM([1]raw_orders!M153)))</f>
        <v>Standard Class</v>
      </c>
      <c r="N153" s="5">
        <f>[1]raw_orders!N153</f>
        <v>2</v>
      </c>
      <c r="O153" s="5">
        <f>[1]raw_orders!O153</f>
        <v>3859.11</v>
      </c>
      <c r="P153" s="5">
        <f>[1]raw_orders!P153</f>
        <v>0</v>
      </c>
      <c r="Q153" t="str">
        <f>PROPER(TRIM([1]raw_orders!T153))</f>
        <v>Pending</v>
      </c>
      <c r="R153" t="str">
        <f>PROPER(TRIM([1]raw_orders!U153))</f>
        <v>Returned</v>
      </c>
      <c r="S153" s="5">
        <f>[1]raw_orders!S153</f>
        <v>2362.29</v>
      </c>
      <c r="T153" s="5">
        <f t="shared" si="16"/>
        <v>23.622900000000001</v>
      </c>
      <c r="U153" s="5">
        <f t="shared" si="17"/>
        <v>-174608.51923800001</v>
      </c>
      <c r="V153" s="5">
        <f t="shared" si="18"/>
        <v>-174608.51923800001</v>
      </c>
      <c r="W153" s="5">
        <f t="shared" si="19"/>
        <v>1</v>
      </c>
      <c r="X153" s="5" t="str">
        <f t="shared" si="20"/>
        <v>Invalid Date</v>
      </c>
      <c r="Y153" s="5">
        <f t="shared" si="21"/>
        <v>6</v>
      </c>
      <c r="Z153" s="5">
        <f t="shared" si="22"/>
        <v>2024</v>
      </c>
      <c r="AA153" t="str">
        <f t="shared" si="23"/>
        <v>Warning</v>
      </c>
    </row>
    <row r="154" spans="1:27" x14ac:dyDescent="0.3">
      <c r="A154" t="str">
        <f>[1]raw_orders!A154</f>
        <v>ORD-2024-10153</v>
      </c>
      <c r="B154" s="4">
        <f>IFERROR(DATEVALUE([1]raw_orders!B154), "Invalid Date")</f>
        <v>45457</v>
      </c>
      <c r="C154" s="4" t="str">
        <f>IFERROR(DATEVALUE([1]raw_orders!C154), "Invalid Date")</f>
        <v>Invalid Date</v>
      </c>
      <c r="D154" t="str">
        <f>[1]raw_orders!D154</f>
        <v>CUST-6160</v>
      </c>
      <c r="E154" t="str">
        <f>PROPER(TRIM([1]raw_orders!E154))</f>
        <v>Kabir Singh</v>
      </c>
      <c r="F154" t="str">
        <f>PROPER(TRIM([1]raw_orders!F154))</f>
        <v>Small Business</v>
      </c>
      <c r="G154" t="str">
        <f>IF(TRIM([1]raw_orders!G154)="","Unknown",PROPER(TRIM([1]raw_orders!G154)))</f>
        <v>South</v>
      </c>
      <c r="H154" t="str">
        <f>PROPER(TRIM([1]raw_orders!H154))</f>
        <v>Kerala</v>
      </c>
      <c r="I154" t="str">
        <f>PROPER(TRIM([1]raw_orders!I154))</f>
        <v>Kochi</v>
      </c>
      <c r="J154" t="str">
        <f>PROPER(TRIM([1]raw_orders!J154))</f>
        <v>Furniture</v>
      </c>
      <c r="K154" t="str">
        <f>PROPER(TRIM([1]raw_orders!K154))</f>
        <v>Tables</v>
      </c>
      <c r="L154" t="str">
        <f>[1]raw_orders!L154</f>
        <v>Pro Tables 407</v>
      </c>
      <c r="M154" t="str">
        <f>IF(TRIM([1]raw_orders!M154)="","Unknown",PROPER(TRIM([1]raw_orders!M154)))</f>
        <v>Second Class</v>
      </c>
      <c r="N154" s="5">
        <f>[1]raw_orders!N154</f>
        <v>6</v>
      </c>
      <c r="O154" s="5">
        <f>[1]raw_orders!O154</f>
        <v>1088.04</v>
      </c>
      <c r="P154" s="5">
        <f>[1]raw_orders!P154</f>
        <v>0.1</v>
      </c>
      <c r="Q154" t="str">
        <f>PROPER(TRIM([1]raw_orders!T154))</f>
        <v>Pending</v>
      </c>
      <c r="R154" t="str">
        <f>PROPER(TRIM([1]raw_orders!U154))</f>
        <v>Returned</v>
      </c>
      <c r="S154" s="5">
        <f>[1]raw_orders!S154</f>
        <v>1494.87</v>
      </c>
      <c r="T154" s="5">
        <f t="shared" si="16"/>
        <v>14.948699999999999</v>
      </c>
      <c r="U154" s="5">
        <f t="shared" si="17"/>
        <v>-91060.461287999991</v>
      </c>
      <c r="V154" s="5">
        <f t="shared" si="18"/>
        <v>-91060.561287999997</v>
      </c>
      <c r="W154" s="5">
        <f t="shared" si="19"/>
        <v>1.0000010981714631</v>
      </c>
      <c r="X154" s="5" t="str">
        <f t="shared" si="20"/>
        <v>Invalid Date</v>
      </c>
      <c r="Y154" s="5">
        <f t="shared" si="21"/>
        <v>6</v>
      </c>
      <c r="Z154" s="5">
        <f t="shared" si="22"/>
        <v>2024</v>
      </c>
      <c r="AA154" t="str">
        <f t="shared" si="23"/>
        <v>Clean</v>
      </c>
    </row>
    <row r="155" spans="1:27" x14ac:dyDescent="0.3">
      <c r="A155" t="str">
        <f>[1]raw_orders!A155</f>
        <v>ORD-2025-10154</v>
      </c>
      <c r="B155" s="4">
        <f>IFERROR(DATEVALUE([1]raw_orders!B155), "Invalid Date")</f>
        <v>45923</v>
      </c>
      <c r="C155" s="4">
        <f>IFERROR(DATEVALUE([1]raw_orders!C155), "Invalid Date")</f>
        <v>45925</v>
      </c>
      <c r="D155" t="str">
        <f>[1]raw_orders!D155</f>
        <v>CUST-6971</v>
      </c>
      <c r="E155" t="str">
        <f>PROPER(TRIM([1]raw_orders!E155))</f>
        <v>Aditi Sen</v>
      </c>
      <c r="F155" t="str">
        <f>PROPER(TRIM([1]raw_orders!F155))</f>
        <v>Consumer</v>
      </c>
      <c r="G155" t="str">
        <f>IF(TRIM([1]raw_orders!G155)="","Unknown",PROPER(TRIM([1]raw_orders!G155)))</f>
        <v>East</v>
      </c>
      <c r="H155" t="str">
        <f>PROPER(TRIM([1]raw_orders!H155))</f>
        <v>Odisha</v>
      </c>
      <c r="I155" t="str">
        <f>PROPER(TRIM([1]raw_orders!I155))</f>
        <v>Bhubaneswar</v>
      </c>
      <c r="J155" t="str">
        <f>PROPER(TRIM([1]raw_orders!J155))</f>
        <v>Office Supplies</v>
      </c>
      <c r="K155" t="str">
        <f>PROPER(TRIM([1]raw_orders!K155))</f>
        <v>Labels</v>
      </c>
      <c r="L155" t="str">
        <f>[1]raw_orders!L155</f>
        <v>Prime Labels 559</v>
      </c>
      <c r="M155" t="str">
        <f>IF(TRIM([1]raw_orders!M155)="","Unknown",PROPER(TRIM([1]raw_orders!M155)))</f>
        <v>Standard Class</v>
      </c>
      <c r="N155" s="5">
        <f>[1]raw_orders!N155</f>
        <v>7</v>
      </c>
      <c r="O155" s="5">
        <f>[1]raw_orders!O155</f>
        <v>3280.31</v>
      </c>
      <c r="P155" s="5">
        <f>[1]raw_orders!P155</f>
        <v>0</v>
      </c>
      <c r="Q155" t="str">
        <f>PROPER(TRIM([1]raw_orders!T155))</f>
        <v>Refunded</v>
      </c>
      <c r="R155" t="str">
        <f>PROPER(TRIM([1]raw_orders!U155))</f>
        <v>Returned</v>
      </c>
      <c r="S155" s="5">
        <f>[1]raw_orders!S155</f>
        <v>7245.67</v>
      </c>
      <c r="T155" s="5">
        <f t="shared" si="16"/>
        <v>72.456699999999998</v>
      </c>
      <c r="U155" s="5">
        <f t="shared" si="17"/>
        <v>-1640800.8930389998</v>
      </c>
      <c r="V155" s="5">
        <f t="shared" si="18"/>
        <v>-1640800.8930389998</v>
      </c>
      <c r="W155" s="5">
        <f t="shared" si="19"/>
        <v>1</v>
      </c>
      <c r="X155" s="5">
        <f t="shared" si="20"/>
        <v>2</v>
      </c>
      <c r="Y155" s="5">
        <f t="shared" si="21"/>
        <v>9</v>
      </c>
      <c r="Z155" s="5">
        <f t="shared" si="22"/>
        <v>2025</v>
      </c>
      <c r="AA155" t="str">
        <f t="shared" si="23"/>
        <v>Clean</v>
      </c>
    </row>
    <row r="156" spans="1:27" x14ac:dyDescent="0.3">
      <c r="A156" t="str">
        <f>[1]raw_orders!A156</f>
        <v>ORD-2024-10155</v>
      </c>
      <c r="B156" s="4">
        <f>IFERROR(DATEVALUE([1]raw_orders!B156), "Invalid Date")</f>
        <v>45334</v>
      </c>
      <c r="C156" s="4">
        <f>IFERROR(DATEVALUE([1]raw_orders!C156), "Invalid Date")</f>
        <v>45598</v>
      </c>
      <c r="D156" t="str">
        <f>[1]raw_orders!D156</f>
        <v>CUST-7764</v>
      </c>
      <c r="E156" t="str">
        <f>PROPER(TRIM([1]raw_orders!E156))</f>
        <v>Priya Menon</v>
      </c>
      <c r="F156" t="str">
        <f>PROPER(TRIM([1]raw_orders!F156))</f>
        <v>Consumer</v>
      </c>
      <c r="G156" t="str">
        <f>IF(TRIM([1]raw_orders!G156)="","Unknown",PROPER(TRIM([1]raw_orders!G156)))</f>
        <v>South</v>
      </c>
      <c r="H156" t="str">
        <f>PROPER(TRIM([1]raw_orders!H156))</f>
        <v>Tamil Nadu</v>
      </c>
      <c r="I156" t="str">
        <f>PROPER(TRIM([1]raw_orders!I156))</f>
        <v>Chennai</v>
      </c>
      <c r="J156" t="str">
        <f>PROPER(TRIM([1]raw_orders!J156))</f>
        <v>Furniture</v>
      </c>
      <c r="K156" t="str">
        <f>PROPER(TRIM([1]raw_orders!K156))</f>
        <v>Bookcases</v>
      </c>
      <c r="L156" t="str">
        <f>[1]raw_orders!L156</f>
        <v>Classic Bookcases 847</v>
      </c>
      <c r="M156" t="str">
        <f>IF(TRIM([1]raw_orders!M156)="","Unknown",PROPER(TRIM([1]raw_orders!M156)))</f>
        <v>Same Day</v>
      </c>
      <c r="N156" s="5">
        <f>[1]raw_orders!N156</f>
        <v>1</v>
      </c>
      <c r="O156" s="5">
        <f>[1]raw_orders!O156</f>
        <v>2599.12</v>
      </c>
      <c r="P156" s="5">
        <f>[1]raw_orders!P156</f>
        <v>0.15</v>
      </c>
      <c r="Q156" t="str">
        <f>PROPER(TRIM([1]raw_orders!T156))</f>
        <v>Paid</v>
      </c>
      <c r="R156" t="str">
        <f>PROPER(TRIM([1]raw_orders!U156))</f>
        <v>Completed</v>
      </c>
      <c r="S156" s="5">
        <f>[1]raw_orders!S156</f>
        <v>685.47</v>
      </c>
      <c r="T156" s="5">
        <f t="shared" si="16"/>
        <v>6.8547000000000002</v>
      </c>
      <c r="U156" s="5">
        <f t="shared" si="17"/>
        <v>-15217.067864000001</v>
      </c>
      <c r="V156" s="5">
        <f t="shared" si="18"/>
        <v>-15217.217864</v>
      </c>
      <c r="W156" s="5">
        <f t="shared" si="19"/>
        <v>1.0000098573523717</v>
      </c>
      <c r="X156" s="5">
        <f t="shared" si="20"/>
        <v>264</v>
      </c>
      <c r="Y156" s="5">
        <f t="shared" si="21"/>
        <v>2</v>
      </c>
      <c r="Z156" s="5">
        <f t="shared" si="22"/>
        <v>2024</v>
      </c>
      <c r="AA156" t="str">
        <f t="shared" si="23"/>
        <v>Clean</v>
      </c>
    </row>
    <row r="157" spans="1:27" x14ac:dyDescent="0.3">
      <c r="A157" t="str">
        <f>[1]raw_orders!A157</f>
        <v>ORD-2025-10156</v>
      </c>
      <c r="B157" s="4" t="str">
        <f>IFERROR(DATEVALUE([1]raw_orders!B157), "Invalid Date")</f>
        <v>Invalid Date</v>
      </c>
      <c r="C157" s="4">
        <f>IFERROR(DATEVALUE([1]raw_orders!C157), "Invalid Date")</f>
        <v>45691</v>
      </c>
      <c r="D157" t="str">
        <f>[1]raw_orders!D157</f>
        <v>CUST-8327</v>
      </c>
      <c r="E157" t="str">
        <f>PROPER(TRIM([1]raw_orders!E157))</f>
        <v>Karan Malhotra</v>
      </c>
      <c r="F157" t="str">
        <f>PROPER(TRIM([1]raw_orders!F157))</f>
        <v>Corporate</v>
      </c>
      <c r="G157" t="str">
        <f>IF(TRIM([1]raw_orders!G157)="","Unknown",PROPER(TRIM([1]raw_orders!G157)))</f>
        <v>West</v>
      </c>
      <c r="H157" t="str">
        <f>PROPER(TRIM([1]raw_orders!H157))</f>
        <v>Rajasthan</v>
      </c>
      <c r="I157" t="str">
        <f>PROPER(TRIM([1]raw_orders!I157))</f>
        <v>Udaipur</v>
      </c>
      <c r="J157" t="str">
        <f>PROPER(TRIM([1]raw_orders!J157))</f>
        <v>Furniture</v>
      </c>
      <c r="K157" t="str">
        <f>PROPER(TRIM([1]raw_orders!K157))</f>
        <v>Furnishings</v>
      </c>
      <c r="L157" t="str">
        <f>[1]raw_orders!L157</f>
        <v>Classic Furnishings 655</v>
      </c>
      <c r="M157" t="str">
        <f>IF(TRIM([1]raw_orders!M157)="","Unknown",PROPER(TRIM([1]raw_orders!M157)))</f>
        <v>Same Day</v>
      </c>
      <c r="N157" s="5">
        <f>[1]raw_orders!N157</f>
        <v>3</v>
      </c>
      <c r="O157" s="5">
        <f>[1]raw_orders!O157</f>
        <v>2859.32</v>
      </c>
      <c r="P157" s="5">
        <f>[1]raw_orders!P157</f>
        <v>0.1</v>
      </c>
      <c r="Q157" t="str">
        <f>PROPER(TRIM([1]raw_orders!T157))</f>
        <v>Refunded</v>
      </c>
      <c r="R157" t="str">
        <f>PROPER(TRIM([1]raw_orders!U157))</f>
        <v>Returned</v>
      </c>
      <c r="S157" s="5">
        <f>[1]raw_orders!S157</f>
        <v>1839.16</v>
      </c>
      <c r="T157" s="5">
        <f t="shared" si="16"/>
        <v>18.3916</v>
      </c>
      <c r="U157" s="5">
        <f t="shared" si="17"/>
        <v>-149184.44913600001</v>
      </c>
      <c r="V157" s="5">
        <f t="shared" si="18"/>
        <v>-149184.54913600002</v>
      </c>
      <c r="W157" s="5">
        <f t="shared" si="19"/>
        <v>1.0000006703111524</v>
      </c>
      <c r="X157" s="5" t="str">
        <f t="shared" si="20"/>
        <v>Invalid Date</v>
      </c>
      <c r="Y157" s="5" t="e">
        <f t="shared" si="21"/>
        <v>#VALUE!</v>
      </c>
      <c r="Z157" s="5" t="e">
        <f t="shared" si="22"/>
        <v>#VALUE!</v>
      </c>
      <c r="AA157" t="str">
        <f t="shared" si="23"/>
        <v>Clean</v>
      </c>
    </row>
    <row r="158" spans="1:27" x14ac:dyDescent="0.3">
      <c r="A158" t="str">
        <f>[1]raw_orders!A158</f>
        <v>ORD-2025-10157</v>
      </c>
      <c r="B158" s="4">
        <f>IFERROR(DATEVALUE([1]raw_orders!B158), "Invalid Date")</f>
        <v>45743</v>
      </c>
      <c r="C158" s="4">
        <f>IFERROR(DATEVALUE([1]raw_orders!C158), "Invalid Date")</f>
        <v>45743</v>
      </c>
      <c r="D158" t="str">
        <f>[1]raw_orders!D158</f>
        <v>CUST-4058</v>
      </c>
      <c r="E158" t="str">
        <f>PROPER(TRIM([1]raw_orders!E158))</f>
        <v>Vikram Iyer</v>
      </c>
      <c r="F158" t="str">
        <f>PROPER(TRIM([1]raw_orders!F158))</f>
        <v>Small Business</v>
      </c>
      <c r="G158" t="str">
        <f>IF(TRIM([1]raw_orders!G158)="","Unknown",PROPER(TRIM([1]raw_orders!G158)))</f>
        <v>East</v>
      </c>
      <c r="H158" t="str">
        <f>PROPER(TRIM([1]raw_orders!H158))</f>
        <v>Bihar</v>
      </c>
      <c r="I158" t="str">
        <f>PROPER(TRIM([1]raw_orders!I158))</f>
        <v>Patna</v>
      </c>
      <c r="J158" t="str">
        <f>PROPER(TRIM([1]raw_orders!J158))</f>
        <v>Technology</v>
      </c>
      <c r="K158" t="str">
        <f>PROPER(TRIM([1]raw_orders!K158))</f>
        <v>Machines</v>
      </c>
      <c r="L158" t="str">
        <f>[1]raw_orders!L158</f>
        <v>Eco Machines 657</v>
      </c>
      <c r="M158" t="str">
        <f>IF(TRIM([1]raw_orders!M158)="","Unknown",PROPER(TRIM([1]raw_orders!M158)))</f>
        <v>Second Class</v>
      </c>
      <c r="N158" s="5">
        <f>[1]raw_orders!N158</f>
        <v>7</v>
      </c>
      <c r="O158" s="5">
        <f>[1]raw_orders!O158</f>
        <v>2305.37</v>
      </c>
      <c r="P158" s="5">
        <f>[1]raw_orders!P158</f>
        <v>0.25</v>
      </c>
      <c r="Q158" t="str">
        <f>PROPER(TRIM([1]raw_orders!T158))</f>
        <v>Paid</v>
      </c>
      <c r="R158" t="str">
        <f>PROPER(TRIM([1]raw_orders!U158))</f>
        <v>Completed</v>
      </c>
      <c r="S158" s="5">
        <f>[1]raw_orders!S158</f>
        <v>5385.32</v>
      </c>
      <c r="T158" s="5">
        <f t="shared" si="16"/>
        <v>53.853199999999994</v>
      </c>
      <c r="U158" s="5">
        <f t="shared" si="17"/>
        <v>-852923.2717879999</v>
      </c>
      <c r="V158" s="5">
        <f t="shared" si="18"/>
        <v>-852923.5217879999</v>
      </c>
      <c r="W158" s="5">
        <f t="shared" si="19"/>
        <v>1.000000293109601</v>
      </c>
      <c r="X158" s="5">
        <f t="shared" si="20"/>
        <v>0</v>
      </c>
      <c r="Y158" s="5">
        <f t="shared" si="21"/>
        <v>3</v>
      </c>
      <c r="Z158" s="5">
        <f t="shared" si="22"/>
        <v>2025</v>
      </c>
      <c r="AA158" t="str">
        <f t="shared" si="23"/>
        <v>Clean</v>
      </c>
    </row>
    <row r="159" spans="1:27" x14ac:dyDescent="0.3">
      <c r="A159" t="str">
        <f>[1]raw_orders!A159</f>
        <v>ORD-2024-10158</v>
      </c>
      <c r="B159" s="4" t="str">
        <f>IFERROR(DATEVALUE([1]raw_orders!B159), "Invalid Date")</f>
        <v>Invalid Date</v>
      </c>
      <c r="C159" s="4">
        <f>IFERROR(DATEVALUE([1]raw_orders!C159), "Invalid Date")</f>
        <v>45589</v>
      </c>
      <c r="D159" t="str">
        <f>[1]raw_orders!D159</f>
        <v>CUST-1142</v>
      </c>
      <c r="E159" t="str">
        <f>PROPER(TRIM([1]raw_orders!E159))</f>
        <v>Rohan Mehta</v>
      </c>
      <c r="F159" t="str">
        <f>PROPER(TRIM([1]raw_orders!F159))</f>
        <v>Small Business</v>
      </c>
      <c r="G159" t="str">
        <f>IF(TRIM([1]raw_orders!G159)="","Unknown",PROPER(TRIM([1]raw_orders!G159)))</f>
        <v>South</v>
      </c>
      <c r="H159" t="str">
        <f>PROPER(TRIM([1]raw_orders!H159))</f>
        <v>Andhra Pradesh</v>
      </c>
      <c r="I159" t="str">
        <f>PROPER(TRIM([1]raw_orders!I159))</f>
        <v>Vijayawada</v>
      </c>
      <c r="J159" t="str">
        <f>PROPER(TRIM([1]raw_orders!J159))</f>
        <v>Furniture</v>
      </c>
      <c r="K159" t="str">
        <f>PROPER(TRIM([1]raw_orders!K159))</f>
        <v>Bookcases</v>
      </c>
      <c r="L159" t="str">
        <f>[1]raw_orders!L159</f>
        <v>Pro Bookcases 430</v>
      </c>
      <c r="M159" t="str">
        <f>IF(TRIM([1]raw_orders!M159)="","Unknown",PROPER(TRIM([1]raw_orders!M159)))</f>
        <v>Standard Class</v>
      </c>
      <c r="N159" s="5">
        <f>[1]raw_orders!N159</f>
        <v>3</v>
      </c>
      <c r="O159" s="5">
        <f>[1]raw_orders!O159</f>
        <v>915.84</v>
      </c>
      <c r="P159" s="5">
        <f>[1]raw_orders!P159</f>
        <v>0.15</v>
      </c>
      <c r="Q159" t="str">
        <f>PROPER(TRIM([1]raw_orders!T159))</f>
        <v>Paid</v>
      </c>
      <c r="R159" t="str">
        <f>PROPER(TRIM([1]raw_orders!U159))</f>
        <v>Completed</v>
      </c>
      <c r="S159" s="5">
        <f>[1]raw_orders!S159</f>
        <v>869.24</v>
      </c>
      <c r="T159" s="5">
        <f t="shared" si="16"/>
        <v>8.6923999999999992</v>
      </c>
      <c r="U159" s="5">
        <f t="shared" si="17"/>
        <v>-21135.022847999997</v>
      </c>
      <c r="V159" s="5">
        <f t="shared" si="18"/>
        <v>-21135.172847999998</v>
      </c>
      <c r="W159" s="5">
        <f t="shared" si="19"/>
        <v>1.0000070972244071</v>
      </c>
      <c r="X159" s="5" t="str">
        <f t="shared" si="20"/>
        <v>Invalid Date</v>
      </c>
      <c r="Y159" s="5" t="e">
        <f t="shared" si="21"/>
        <v>#VALUE!</v>
      </c>
      <c r="Z159" s="5" t="e">
        <f t="shared" si="22"/>
        <v>#VALUE!</v>
      </c>
      <c r="AA159" t="str">
        <f t="shared" si="23"/>
        <v>Clean</v>
      </c>
    </row>
    <row r="160" spans="1:27" x14ac:dyDescent="0.3">
      <c r="A160" t="str">
        <f>[1]raw_orders!A160</f>
        <v>ORD-2024-10159</v>
      </c>
      <c r="B160" s="4">
        <f>IFERROR(DATEVALUE([1]raw_orders!B160), "Invalid Date")</f>
        <v>45544</v>
      </c>
      <c r="C160" s="4">
        <f>IFERROR(DATEVALUE([1]raw_orders!C160), "Invalid Date")</f>
        <v>45605</v>
      </c>
      <c r="D160" t="str">
        <f>[1]raw_orders!D160</f>
        <v>CUST-2324</v>
      </c>
      <c r="E160" t="str">
        <f>PROPER(TRIM([1]raw_orders!E160))</f>
        <v>Neha Gupta</v>
      </c>
      <c r="F160" t="str">
        <f>PROPER(TRIM([1]raw_orders!F160))</f>
        <v>Home Office</v>
      </c>
      <c r="G160" t="str">
        <f>IF(TRIM([1]raw_orders!G160)="","Unknown",PROPER(TRIM([1]raw_orders!G160)))</f>
        <v>South</v>
      </c>
      <c r="H160" t="str">
        <f>PROPER(TRIM([1]raw_orders!H160))</f>
        <v>Telangana</v>
      </c>
      <c r="I160" t="str">
        <f>PROPER(TRIM([1]raw_orders!I160))</f>
        <v>Hyderabad</v>
      </c>
      <c r="J160" t="str">
        <f>PROPER(TRIM([1]raw_orders!J160))</f>
        <v>Furniture</v>
      </c>
      <c r="K160" t="str">
        <f>PROPER(TRIM([1]raw_orders!K160))</f>
        <v>Bookcases</v>
      </c>
      <c r="L160" t="str">
        <f>[1]raw_orders!L160</f>
        <v>Max Bookcases 881</v>
      </c>
      <c r="M160" t="str">
        <f>IF(TRIM([1]raw_orders!M160)="","Unknown",PROPER(TRIM([1]raw_orders!M160)))</f>
        <v>First Class</v>
      </c>
      <c r="N160" s="5">
        <f>[1]raw_orders!N160</f>
        <v>1</v>
      </c>
      <c r="O160" s="5">
        <f>[1]raw_orders!O160</f>
        <v>4199.54</v>
      </c>
      <c r="P160" s="5">
        <f>[1]raw_orders!P160</f>
        <v>0.05</v>
      </c>
      <c r="Q160" t="str">
        <f>PROPER(TRIM([1]raw_orders!T160))</f>
        <v>Paid</v>
      </c>
      <c r="R160" t="str">
        <f>PROPER(TRIM([1]raw_orders!U160))</f>
        <v>Completed</v>
      </c>
      <c r="S160" s="5">
        <f>[1]raw_orders!S160</f>
        <v>1608.18</v>
      </c>
      <c r="T160" s="5">
        <f t="shared" si="16"/>
        <v>16.081800000000001</v>
      </c>
      <c r="U160" s="5">
        <f t="shared" si="17"/>
        <v>-63336.622372000005</v>
      </c>
      <c r="V160" s="5">
        <f t="shared" si="18"/>
        <v>-63336.672372000008</v>
      </c>
      <c r="W160" s="5">
        <f t="shared" si="19"/>
        <v>1.0000007894326872</v>
      </c>
      <c r="X160" s="5">
        <f t="shared" si="20"/>
        <v>61</v>
      </c>
      <c r="Y160" s="5">
        <f t="shared" si="21"/>
        <v>9</v>
      </c>
      <c r="Z160" s="5">
        <f t="shared" si="22"/>
        <v>2024</v>
      </c>
      <c r="AA160" t="str">
        <f t="shared" si="23"/>
        <v>Clean</v>
      </c>
    </row>
    <row r="161" spans="1:27" x14ac:dyDescent="0.3">
      <c r="A161" t="str">
        <f>[1]raw_orders!A161</f>
        <v>ORD-2025-10160</v>
      </c>
      <c r="B161" s="4">
        <f>IFERROR(DATEVALUE([1]raw_orders!B161), "Invalid Date")</f>
        <v>45687</v>
      </c>
      <c r="C161" s="4">
        <f>IFERROR(DATEVALUE([1]raw_orders!C161), "Invalid Date")</f>
        <v>45692</v>
      </c>
      <c r="D161" t="str">
        <f>[1]raw_orders!D161</f>
        <v>CUST-7717</v>
      </c>
      <c r="E161" t="str">
        <f>PROPER(TRIM([1]raw_orders!E161))</f>
        <v>Priya Menon</v>
      </c>
      <c r="F161" t="str">
        <f>PROPER(TRIM([1]raw_orders!F161))</f>
        <v>Corporate</v>
      </c>
      <c r="G161" t="str">
        <f>IF(TRIM([1]raw_orders!G161)="","Unknown",PROPER(TRIM([1]raw_orders!G161)))</f>
        <v>North</v>
      </c>
      <c r="H161" t="str">
        <f>PROPER(TRIM([1]raw_orders!H161))</f>
        <v>Haryana</v>
      </c>
      <c r="I161" t="str">
        <f>PROPER(TRIM([1]raw_orders!I161))</f>
        <v>Gurugram</v>
      </c>
      <c r="J161" t="str">
        <f>PROPER(TRIM([1]raw_orders!J161))</f>
        <v>Furniture</v>
      </c>
      <c r="K161" t="str">
        <f>PROPER(TRIM([1]raw_orders!K161))</f>
        <v>Chairs</v>
      </c>
      <c r="L161" t="str">
        <f>[1]raw_orders!L161</f>
        <v>Elite Chairs 998</v>
      </c>
      <c r="M161" t="str">
        <f>IF(TRIM([1]raw_orders!M161)="","Unknown",PROPER(TRIM([1]raw_orders!M161)))</f>
        <v>Same Day</v>
      </c>
      <c r="N161" s="5">
        <f>[1]raw_orders!N161</f>
        <v>9</v>
      </c>
      <c r="O161" s="5">
        <f>[1]raw_orders!O161</f>
        <v>4430.5</v>
      </c>
      <c r="P161" s="5">
        <f>[1]raw_orders!P161</f>
        <v>0.15</v>
      </c>
      <c r="Q161" t="str">
        <f>PROPER(TRIM([1]raw_orders!T161))</f>
        <v>Pending</v>
      </c>
      <c r="R161" t="str">
        <f>PROPER(TRIM([1]raw_orders!U161))</f>
        <v>Cancelled</v>
      </c>
      <c r="S161" s="5">
        <f>[1]raw_orders!S161</f>
        <v>8142.97</v>
      </c>
      <c r="T161" s="5">
        <f t="shared" si="16"/>
        <v>81.429699999999997</v>
      </c>
      <c r="U161" s="5">
        <f t="shared" si="17"/>
        <v>-3207094.07265</v>
      </c>
      <c r="V161" s="5">
        <f t="shared" si="18"/>
        <v>-3207094.2226499999</v>
      </c>
      <c r="W161" s="5">
        <f t="shared" si="19"/>
        <v>1.0000000467713128</v>
      </c>
      <c r="X161" s="5">
        <f t="shared" si="20"/>
        <v>5</v>
      </c>
      <c r="Y161" s="5">
        <f t="shared" si="21"/>
        <v>1</v>
      </c>
      <c r="Z161" s="5">
        <f t="shared" si="22"/>
        <v>2025</v>
      </c>
      <c r="AA161" t="str">
        <f t="shared" si="23"/>
        <v>Clean</v>
      </c>
    </row>
    <row r="162" spans="1:27" x14ac:dyDescent="0.3">
      <c r="A162" t="str">
        <f>[1]raw_orders!A162</f>
        <v>ORD-2025-10161</v>
      </c>
      <c r="B162" s="4">
        <f>IFERROR(DATEVALUE([1]raw_orders!B162), "Invalid Date")</f>
        <v>45938</v>
      </c>
      <c r="C162" s="4">
        <f>IFERROR(DATEVALUE([1]raw_orders!C162), "Invalid Date")</f>
        <v>45818</v>
      </c>
      <c r="D162" t="str">
        <f>[1]raw_orders!D162</f>
        <v>CUST-4932</v>
      </c>
      <c r="E162" t="str">
        <f>PROPER(TRIM([1]raw_orders!E162))</f>
        <v>Vikram Iyer</v>
      </c>
      <c r="F162" t="str">
        <f>PROPER(TRIM([1]raw_orders!F162))</f>
        <v>Small Business</v>
      </c>
      <c r="G162" t="str">
        <f>IF(TRIM([1]raw_orders!G162)="","Unknown",PROPER(TRIM([1]raw_orders!G162)))</f>
        <v>West</v>
      </c>
      <c r="H162" t="str">
        <f>PROPER(TRIM([1]raw_orders!H162))</f>
        <v>Maharashtra</v>
      </c>
      <c r="I162" t="str">
        <f>PROPER(TRIM([1]raw_orders!I162))</f>
        <v>Mumbai</v>
      </c>
      <c r="J162" t="str">
        <f>PROPER(TRIM([1]raw_orders!J162))</f>
        <v>Office Supplies</v>
      </c>
      <c r="K162" t="str">
        <f>PROPER(TRIM([1]raw_orders!K162))</f>
        <v>Paper</v>
      </c>
      <c r="L162" t="str">
        <f>[1]raw_orders!L162</f>
        <v>Max Paper 113</v>
      </c>
      <c r="M162" t="str">
        <f>IF(TRIM([1]raw_orders!M162)="","Unknown",PROPER(TRIM([1]raw_orders!M162)))</f>
        <v>Second Class</v>
      </c>
      <c r="N162" s="5">
        <f>[1]raw_orders!N162</f>
        <v>4</v>
      </c>
      <c r="O162" s="5">
        <f>[1]raw_orders!O162</f>
        <v>1260.42</v>
      </c>
      <c r="P162" s="5">
        <f>[1]raw_orders!P162</f>
        <v>0.05</v>
      </c>
      <c r="Q162" t="str">
        <f>PROPER(TRIM([1]raw_orders!T162))</f>
        <v>Pending</v>
      </c>
      <c r="R162" t="str">
        <f>PROPER(TRIM([1]raw_orders!U162))</f>
        <v>Cancelled</v>
      </c>
      <c r="S162" s="5">
        <f>[1]raw_orders!S162</f>
        <v>751.96</v>
      </c>
      <c r="T162" s="5">
        <f t="shared" si="16"/>
        <v>7.5196000000000005</v>
      </c>
      <c r="U162" s="5">
        <f t="shared" si="17"/>
        <v>-32869.736928000006</v>
      </c>
      <c r="V162" s="5">
        <f t="shared" si="18"/>
        <v>-32869.786928000009</v>
      </c>
      <c r="W162" s="5">
        <f t="shared" si="19"/>
        <v>1.0000015211560747</v>
      </c>
      <c r="X162" s="5">
        <f t="shared" si="20"/>
        <v>-120</v>
      </c>
      <c r="Y162" s="5">
        <f t="shared" si="21"/>
        <v>10</v>
      </c>
      <c r="Z162" s="5">
        <f t="shared" si="22"/>
        <v>2025</v>
      </c>
      <c r="AA162" t="str">
        <f t="shared" si="23"/>
        <v>Invalid</v>
      </c>
    </row>
    <row r="163" spans="1:27" x14ac:dyDescent="0.3">
      <c r="A163" t="str">
        <f>[1]raw_orders!A163</f>
        <v>ORD-2025-10162</v>
      </c>
      <c r="B163" s="4">
        <f>IFERROR(DATEVALUE([1]raw_orders!B163), "Invalid Date")</f>
        <v>45862</v>
      </c>
      <c r="C163" s="4">
        <f>IFERROR(DATEVALUE([1]raw_orders!C163), "Invalid Date")</f>
        <v>45868</v>
      </c>
      <c r="D163" t="str">
        <f>[1]raw_orders!D163</f>
        <v>CUST-2367</v>
      </c>
      <c r="E163" t="str">
        <f>PROPER(TRIM([1]raw_orders!E163))</f>
        <v>Arjun Bose</v>
      </c>
      <c r="F163" t="str">
        <f>PROPER(TRIM([1]raw_orders!F163))</f>
        <v>Consumer</v>
      </c>
      <c r="G163" t="str">
        <f>IF(TRIM([1]raw_orders!G163)="","Unknown",PROPER(TRIM([1]raw_orders!G163)))</f>
        <v>West</v>
      </c>
      <c r="H163" t="str">
        <f>PROPER(TRIM([1]raw_orders!H163))</f>
        <v>Rajasthan</v>
      </c>
      <c r="I163" t="str">
        <f>PROPER(TRIM([1]raw_orders!I163))</f>
        <v>Udaipur</v>
      </c>
      <c r="J163" t="str">
        <f>PROPER(TRIM([1]raw_orders!J163))</f>
        <v>Office Supplies</v>
      </c>
      <c r="K163" t="str">
        <f>PROPER(TRIM([1]raw_orders!K163))</f>
        <v>Binders</v>
      </c>
      <c r="L163" t="str">
        <f>[1]raw_orders!L163</f>
        <v>Smart Binders 267</v>
      </c>
      <c r="M163" t="str">
        <f>IF(TRIM([1]raw_orders!M163)="","Unknown",PROPER(TRIM([1]raw_orders!M163)))</f>
        <v>Standard Class</v>
      </c>
      <c r="N163" s="5">
        <f>[1]raw_orders!N163</f>
        <v>1</v>
      </c>
      <c r="O163" s="5">
        <f>[1]raw_orders!O163</f>
        <v>1643.41</v>
      </c>
      <c r="P163" s="5">
        <f>[1]raw_orders!P163</f>
        <v>0</v>
      </c>
      <c r="Q163" t="str">
        <f>PROPER(TRIM([1]raw_orders!T163))</f>
        <v>Pending</v>
      </c>
      <c r="R163" t="str">
        <f>PROPER(TRIM([1]raw_orders!U163))</f>
        <v>Cancelled</v>
      </c>
      <c r="S163" s="5">
        <f>[1]raw_orders!S163</f>
        <v>736.01</v>
      </c>
      <c r="T163" s="5">
        <f t="shared" si="16"/>
        <v>7.3601000000000001</v>
      </c>
      <c r="U163" s="5">
        <f t="shared" si="17"/>
        <v>-10452.251941</v>
      </c>
      <c r="V163" s="5">
        <f t="shared" si="18"/>
        <v>-10452.251941</v>
      </c>
      <c r="W163" s="5">
        <f t="shared" si="19"/>
        <v>1</v>
      </c>
      <c r="X163" s="5">
        <f t="shared" si="20"/>
        <v>6</v>
      </c>
      <c r="Y163" s="5">
        <f t="shared" si="21"/>
        <v>7</v>
      </c>
      <c r="Z163" s="5">
        <f t="shared" si="22"/>
        <v>2025</v>
      </c>
      <c r="AA163" t="str">
        <f t="shared" si="23"/>
        <v>Clean</v>
      </c>
    </row>
    <row r="164" spans="1:27" x14ac:dyDescent="0.3">
      <c r="A164" t="str">
        <f>[1]raw_orders!A164</f>
        <v>ORD-2024-10163</v>
      </c>
      <c r="B164" s="4">
        <f>IFERROR(DATEVALUE([1]raw_orders!B164), "Invalid Date")</f>
        <v>45360</v>
      </c>
      <c r="C164" s="4">
        <f>IFERROR(DATEVALUE([1]raw_orders!C164), "Invalid Date")</f>
        <v>45365</v>
      </c>
      <c r="D164" t="str">
        <f>[1]raw_orders!D164</f>
        <v>CUST-4830</v>
      </c>
      <c r="E164" t="str">
        <f>PROPER(TRIM([1]raw_orders!E164))</f>
        <v>Neha Gupta</v>
      </c>
      <c r="F164" t="str">
        <f>PROPER(TRIM([1]raw_orders!F164))</f>
        <v>Small Business</v>
      </c>
      <c r="G164" t="str">
        <f>IF(TRIM([1]raw_orders!G164)="","Unknown",PROPER(TRIM([1]raw_orders!G164)))</f>
        <v>West</v>
      </c>
      <c r="H164" t="str">
        <f>PROPER(TRIM([1]raw_orders!H164))</f>
        <v>Goa</v>
      </c>
      <c r="I164" t="str">
        <f>PROPER(TRIM([1]raw_orders!I164))</f>
        <v>Panaji</v>
      </c>
      <c r="J164" t="str">
        <f>PROPER(TRIM([1]raw_orders!J164))</f>
        <v>Furniture</v>
      </c>
      <c r="K164" t="str">
        <f>PROPER(TRIM([1]raw_orders!K164))</f>
        <v>Furnishings</v>
      </c>
      <c r="L164" t="str">
        <f>[1]raw_orders!L164</f>
        <v>Pro Furnishings 108</v>
      </c>
      <c r="M164" t="str">
        <f>IF(TRIM([1]raw_orders!M164)="","Unknown",PROPER(TRIM([1]raw_orders!M164)))</f>
        <v>Second Class</v>
      </c>
      <c r="N164" s="5">
        <f>[1]raw_orders!N164</f>
        <v>8</v>
      </c>
      <c r="O164" s="5">
        <f>[1]raw_orders!O164</f>
        <v>4472.84</v>
      </c>
      <c r="P164" s="5">
        <f>[1]raw_orders!P164</f>
        <v>0</v>
      </c>
      <c r="Q164" t="str">
        <f>PROPER(TRIM([1]raw_orders!T164))</f>
        <v>Pending</v>
      </c>
      <c r="R164" t="str">
        <f>PROPER(TRIM([1]raw_orders!U164))</f>
        <v>Returned</v>
      </c>
      <c r="S164" s="5">
        <f>[1]raw_orders!S164</f>
        <v>9358.31</v>
      </c>
      <c r="T164" s="5">
        <f t="shared" si="16"/>
        <v>93.583100000000002</v>
      </c>
      <c r="U164" s="5">
        <f t="shared" si="17"/>
        <v>-3312875.1440320001</v>
      </c>
      <c r="V164" s="5">
        <f t="shared" si="18"/>
        <v>-3312875.1440320001</v>
      </c>
      <c r="W164" s="5">
        <f t="shared" si="19"/>
        <v>1</v>
      </c>
      <c r="X164" s="5">
        <f t="shared" si="20"/>
        <v>5</v>
      </c>
      <c r="Y164" s="5">
        <f t="shared" si="21"/>
        <v>3</v>
      </c>
      <c r="Z164" s="5">
        <f t="shared" si="22"/>
        <v>2024</v>
      </c>
      <c r="AA164" t="str">
        <f t="shared" si="23"/>
        <v>Clean</v>
      </c>
    </row>
    <row r="165" spans="1:27" x14ac:dyDescent="0.3">
      <c r="A165" t="str">
        <f>[1]raw_orders!A165</f>
        <v>ORD-2025-10164</v>
      </c>
      <c r="B165" s="4" t="str">
        <f>IFERROR(DATEVALUE([1]raw_orders!B165), "Invalid Date")</f>
        <v>Invalid Date</v>
      </c>
      <c r="C165" s="4">
        <f>IFERROR(DATEVALUE([1]raw_orders!C165), "Invalid Date")</f>
        <v>45926</v>
      </c>
      <c r="D165" t="str">
        <f>[1]raw_orders!D165</f>
        <v>CUST-2548</v>
      </c>
      <c r="E165" t="str">
        <f>PROPER(TRIM([1]raw_orders!E165))</f>
        <v>Rohan Mehta</v>
      </c>
      <c r="F165" t="str">
        <f>PROPER(TRIM([1]raw_orders!F165))</f>
        <v>Home Office</v>
      </c>
      <c r="G165" t="str">
        <f>IF(TRIM([1]raw_orders!G165)="","Unknown",PROPER(TRIM([1]raw_orders!G165)))</f>
        <v>West</v>
      </c>
      <c r="H165" t="str">
        <f>PROPER(TRIM([1]raw_orders!H165))</f>
        <v>Gujarat</v>
      </c>
      <c r="I165" t="str">
        <f>PROPER(TRIM([1]raw_orders!I165))</f>
        <v>Ahmedabad</v>
      </c>
      <c r="J165" t="str">
        <f>PROPER(TRIM([1]raw_orders!J165))</f>
        <v>Furniture</v>
      </c>
      <c r="K165" t="str">
        <f>PROPER(TRIM([1]raw_orders!K165))</f>
        <v>Tables</v>
      </c>
      <c r="L165" t="str">
        <f>[1]raw_orders!L165</f>
        <v>Elite Tables 389</v>
      </c>
      <c r="M165" t="str">
        <f>IF(TRIM([1]raw_orders!M165)="","Unknown",PROPER(TRIM([1]raw_orders!M165)))</f>
        <v>Unknown</v>
      </c>
      <c r="N165" s="5">
        <f>[1]raw_orders!N165</f>
        <v>6</v>
      </c>
      <c r="O165" s="5">
        <f>[1]raw_orders!O165</f>
        <v>2903.58</v>
      </c>
      <c r="P165" s="5">
        <f>[1]raw_orders!P165</f>
        <v>0.1</v>
      </c>
      <c r="Q165" t="str">
        <f>PROPER(TRIM([1]raw_orders!T165))</f>
        <v>Pending</v>
      </c>
      <c r="R165" t="str">
        <f>PROPER(TRIM([1]raw_orders!U165))</f>
        <v>Returned</v>
      </c>
      <c r="S165" s="5">
        <f>[1]raw_orders!S165</f>
        <v>3201.51</v>
      </c>
      <c r="T165" s="5">
        <f t="shared" si="16"/>
        <v>32.015100000000004</v>
      </c>
      <c r="U165" s="5">
        <f t="shared" si="17"/>
        <v>-540328.94434800011</v>
      </c>
      <c r="V165" s="5">
        <f t="shared" si="18"/>
        <v>-540329.04434800008</v>
      </c>
      <c r="W165" s="5">
        <f t="shared" si="19"/>
        <v>1.0000001850724471</v>
      </c>
      <c r="X165" s="5" t="str">
        <f t="shared" si="20"/>
        <v>Invalid Date</v>
      </c>
      <c r="Y165" s="5" t="e">
        <f t="shared" si="21"/>
        <v>#VALUE!</v>
      </c>
      <c r="Z165" s="5" t="e">
        <f t="shared" si="22"/>
        <v>#VALUE!</v>
      </c>
      <c r="AA165" t="str">
        <f t="shared" si="23"/>
        <v>Warning</v>
      </c>
    </row>
    <row r="166" spans="1:27" x14ac:dyDescent="0.3">
      <c r="A166" t="str">
        <f>[1]raw_orders!A166</f>
        <v>ORD-2025-10165</v>
      </c>
      <c r="B166" s="4">
        <f>IFERROR(DATEVALUE([1]raw_orders!B166), "Invalid Date")</f>
        <v>45909</v>
      </c>
      <c r="C166" s="4" t="str">
        <f>IFERROR(DATEVALUE([1]raw_orders!C166), "Invalid Date")</f>
        <v>Invalid Date</v>
      </c>
      <c r="D166" t="str">
        <f>[1]raw_orders!D166</f>
        <v>CUST-3833</v>
      </c>
      <c r="E166" t="str">
        <f>PROPER(TRIM([1]raw_orders!E166))</f>
        <v>Rahul Verma</v>
      </c>
      <c r="F166" t="str">
        <f>PROPER(TRIM([1]raw_orders!F166))</f>
        <v>Small Business</v>
      </c>
      <c r="G166" t="str">
        <f>IF(TRIM([1]raw_orders!G166)="","Unknown",PROPER(TRIM([1]raw_orders!G166)))</f>
        <v>East</v>
      </c>
      <c r="H166" t="str">
        <f>PROPER(TRIM([1]raw_orders!H166))</f>
        <v>West Bengal</v>
      </c>
      <c r="I166" t="str">
        <f>PROPER(TRIM([1]raw_orders!I166))</f>
        <v>Kolkata</v>
      </c>
      <c r="J166" t="str">
        <f>PROPER(TRIM([1]raw_orders!J166))</f>
        <v>Furniture</v>
      </c>
      <c r="K166" t="str">
        <f>PROPER(TRIM([1]raw_orders!K166))</f>
        <v>Bookcases</v>
      </c>
      <c r="L166" t="str">
        <f>[1]raw_orders!L166</f>
        <v>Pro Bookcases 595</v>
      </c>
      <c r="M166" t="str">
        <f>IF(TRIM([1]raw_orders!M166)="","Unknown",PROPER(TRIM([1]raw_orders!M166)))</f>
        <v>Second Class</v>
      </c>
      <c r="N166" s="5">
        <f>[1]raw_orders!N166</f>
        <v>1</v>
      </c>
      <c r="O166" s="5">
        <f>[1]raw_orders!O166</f>
        <v>3154.42</v>
      </c>
      <c r="P166" s="5">
        <f>[1]raw_orders!P166</f>
        <v>0.25</v>
      </c>
      <c r="Q166" t="str">
        <f>PROPER(TRIM([1]raw_orders!T166))</f>
        <v>Paid</v>
      </c>
      <c r="R166" t="str">
        <f>PROPER(TRIM([1]raw_orders!U166))</f>
        <v>Completed</v>
      </c>
      <c r="S166" s="5">
        <f>[1]raw_orders!S166</f>
        <v>817.83</v>
      </c>
      <c r="T166" s="5">
        <f t="shared" si="16"/>
        <v>8.1783000000000001</v>
      </c>
      <c r="U166" s="5">
        <f t="shared" si="17"/>
        <v>-22643.373086</v>
      </c>
      <c r="V166" s="5">
        <f t="shared" si="18"/>
        <v>-22643.623086</v>
      </c>
      <c r="W166" s="5">
        <f t="shared" si="19"/>
        <v>1.0000110407578875</v>
      </c>
      <c r="X166" s="5" t="str">
        <f t="shared" si="20"/>
        <v>Invalid Date</v>
      </c>
      <c r="Y166" s="5">
        <f t="shared" si="21"/>
        <v>9</v>
      </c>
      <c r="Z166" s="5">
        <f t="shared" si="22"/>
        <v>2025</v>
      </c>
      <c r="AA166" t="str">
        <f t="shared" si="23"/>
        <v>Clean</v>
      </c>
    </row>
    <row r="167" spans="1:27" x14ac:dyDescent="0.3">
      <c r="A167" t="str">
        <f>[1]raw_orders!A167</f>
        <v>ORD-2024-10166</v>
      </c>
      <c r="B167" s="4" t="str">
        <f>IFERROR(DATEVALUE([1]raw_orders!B167), "Invalid Date")</f>
        <v>Invalid Date</v>
      </c>
      <c r="C167" s="4">
        <f>IFERROR(DATEVALUE([1]raw_orders!C167), "Invalid Date")</f>
        <v>45625</v>
      </c>
      <c r="D167" t="str">
        <f>[1]raw_orders!D167</f>
        <v>CUST-4598</v>
      </c>
      <c r="E167" t="str">
        <f>PROPER(TRIM([1]raw_orders!E167))</f>
        <v>Mira Das</v>
      </c>
      <c r="F167" t="str">
        <f>PROPER(TRIM([1]raw_orders!F167))</f>
        <v>Home Office</v>
      </c>
      <c r="G167" t="str">
        <f>IF(TRIM([1]raw_orders!G167)="","Unknown",PROPER(TRIM([1]raw_orders!G167)))</f>
        <v>East</v>
      </c>
      <c r="H167" t="str">
        <f>PROPER(TRIM([1]raw_orders!H167))</f>
        <v>Bihar</v>
      </c>
      <c r="I167" t="str">
        <f>PROPER(TRIM([1]raw_orders!I167))</f>
        <v>Patna</v>
      </c>
      <c r="J167" t="str">
        <f>PROPER(TRIM([1]raw_orders!J167))</f>
        <v>Furniture</v>
      </c>
      <c r="K167" t="str">
        <f>PROPER(TRIM([1]raw_orders!K167))</f>
        <v>Chairs</v>
      </c>
      <c r="L167" t="str">
        <f>[1]raw_orders!L167</f>
        <v>Max Chairs 148</v>
      </c>
      <c r="M167" t="str">
        <f>IF(TRIM([1]raw_orders!M167)="","Unknown",PROPER(TRIM([1]raw_orders!M167)))</f>
        <v>Standard Class</v>
      </c>
      <c r="N167" s="5">
        <f>[1]raw_orders!N167</f>
        <v>4</v>
      </c>
      <c r="O167" s="5">
        <f>[1]raw_orders!O167</f>
        <v>3422.99</v>
      </c>
      <c r="P167" s="5">
        <f>[1]raw_orders!P167</f>
        <v>0.25</v>
      </c>
      <c r="Q167" t="str">
        <f>PROPER(TRIM([1]raw_orders!T167))</f>
        <v>Paid</v>
      </c>
      <c r="R167" t="str">
        <f>PROPER(TRIM([1]raw_orders!U167))</f>
        <v>Completed</v>
      </c>
      <c r="S167" s="5">
        <f>[1]raw_orders!S167</f>
        <v>3798.05</v>
      </c>
      <c r="T167" s="5">
        <f t="shared" si="16"/>
        <v>37.980499999999999</v>
      </c>
      <c r="U167" s="5">
        <f t="shared" si="17"/>
        <v>-506335.52677999996</v>
      </c>
      <c r="V167" s="5">
        <f t="shared" si="18"/>
        <v>-506335.77677999996</v>
      </c>
      <c r="W167" s="5">
        <f t="shared" si="19"/>
        <v>1.0000004937437466</v>
      </c>
      <c r="X167" s="5" t="str">
        <f t="shared" si="20"/>
        <v>Invalid Date</v>
      </c>
      <c r="Y167" s="5" t="e">
        <f t="shared" si="21"/>
        <v>#VALUE!</v>
      </c>
      <c r="Z167" s="5" t="e">
        <f t="shared" si="22"/>
        <v>#VALUE!</v>
      </c>
      <c r="AA167" t="str">
        <f t="shared" si="23"/>
        <v>Clean</v>
      </c>
    </row>
    <row r="168" spans="1:27" x14ac:dyDescent="0.3">
      <c r="A168" t="str">
        <f>[1]raw_orders!A168</f>
        <v>ORD-2025-10167</v>
      </c>
      <c r="B168" s="4">
        <f>IFERROR(DATEVALUE([1]raw_orders!B168), "Invalid Date")</f>
        <v>45708</v>
      </c>
      <c r="C168" s="4">
        <f>IFERROR(DATEVALUE([1]raw_orders!C168), "Invalid Date")</f>
        <v>45714</v>
      </c>
      <c r="D168" t="str">
        <f>[1]raw_orders!D168</f>
        <v>CUST-7215</v>
      </c>
      <c r="E168" t="str">
        <f>PROPER(TRIM([1]raw_orders!E168))</f>
        <v>Karan Malhotra</v>
      </c>
      <c r="F168" t="str">
        <f>PROPER(TRIM([1]raw_orders!F168))</f>
        <v>Small Business</v>
      </c>
      <c r="G168" t="str">
        <f>IF(TRIM([1]raw_orders!G168)="","Unknown",PROPER(TRIM([1]raw_orders!G168)))</f>
        <v>West</v>
      </c>
      <c r="H168" t="str">
        <f>PROPER(TRIM([1]raw_orders!H168))</f>
        <v>Gujarat</v>
      </c>
      <c r="I168" t="str">
        <f>PROPER(TRIM([1]raw_orders!I168))</f>
        <v>Ahmedabad</v>
      </c>
      <c r="J168" t="str">
        <f>PROPER(TRIM([1]raw_orders!J168))</f>
        <v>Office Supplies</v>
      </c>
      <c r="K168" t="str">
        <f>PROPER(TRIM([1]raw_orders!K168))</f>
        <v>Labels</v>
      </c>
      <c r="L168" t="str">
        <f>[1]raw_orders!L168</f>
        <v>Basic Labels 671</v>
      </c>
      <c r="M168" t="str">
        <f>IF(TRIM([1]raw_orders!M168)="","Unknown",PROPER(TRIM([1]raw_orders!M168)))</f>
        <v>First Class</v>
      </c>
      <c r="N168" s="5">
        <f>[1]raw_orders!N168</f>
        <v>1</v>
      </c>
      <c r="O168" s="5">
        <f>[1]raw_orders!O168</f>
        <v>2557.85</v>
      </c>
      <c r="P168" s="5">
        <f>[1]raw_orders!P168</f>
        <v>0.2</v>
      </c>
      <c r="Q168" t="str">
        <f>PROPER(TRIM([1]raw_orders!T168))</f>
        <v>Paid</v>
      </c>
      <c r="R168" t="str">
        <f>PROPER(TRIM([1]raw_orders!U168))</f>
        <v>Completed</v>
      </c>
      <c r="S168" s="5">
        <f>[1]raw_orders!S168</f>
        <v>596.74</v>
      </c>
      <c r="T168" s="5">
        <f t="shared" si="16"/>
        <v>5.9674000000000005</v>
      </c>
      <c r="U168" s="5">
        <f t="shared" si="17"/>
        <v>-12705.864090000001</v>
      </c>
      <c r="V168" s="5">
        <f t="shared" si="18"/>
        <v>-12706.064090000002</v>
      </c>
      <c r="W168" s="5">
        <f t="shared" si="19"/>
        <v>1.0000157407633659</v>
      </c>
      <c r="X168" s="5">
        <f t="shared" si="20"/>
        <v>6</v>
      </c>
      <c r="Y168" s="5">
        <f t="shared" si="21"/>
        <v>2</v>
      </c>
      <c r="Z168" s="5">
        <f t="shared" si="22"/>
        <v>2025</v>
      </c>
      <c r="AA168" t="str">
        <f t="shared" si="23"/>
        <v>Clean</v>
      </c>
    </row>
    <row r="169" spans="1:27" x14ac:dyDescent="0.3">
      <c r="A169" t="str">
        <f>[1]raw_orders!A169</f>
        <v>ORD-2025-10168</v>
      </c>
      <c r="B169" s="4">
        <f>IFERROR(DATEVALUE([1]raw_orders!B169), "Invalid Date")</f>
        <v>45887</v>
      </c>
      <c r="C169" s="4" t="str">
        <f>IFERROR(DATEVALUE([1]raw_orders!C169), "Invalid Date")</f>
        <v>Invalid Date</v>
      </c>
      <c r="D169" t="str">
        <f>[1]raw_orders!D169</f>
        <v>CUST-7770</v>
      </c>
      <c r="E169" t="str">
        <f>PROPER(TRIM([1]raw_orders!E169))</f>
        <v>Arjun Bose</v>
      </c>
      <c r="F169" t="str">
        <f>PROPER(TRIM([1]raw_orders!F169))</f>
        <v>Home Office</v>
      </c>
      <c r="G169" t="str">
        <f>IF(TRIM([1]raw_orders!G169)="","Unknown",PROPER(TRIM([1]raw_orders!G169)))</f>
        <v>South</v>
      </c>
      <c r="H169" t="str">
        <f>PROPER(TRIM([1]raw_orders!H169))</f>
        <v>Karnataka</v>
      </c>
      <c r="I169" t="str">
        <f>PROPER(TRIM([1]raw_orders!I169))</f>
        <v>Bengaluru</v>
      </c>
      <c r="J169" t="str">
        <f>PROPER(TRIM([1]raw_orders!J169))</f>
        <v>Office Supplies</v>
      </c>
      <c r="K169" t="str">
        <f>PROPER(TRIM([1]raw_orders!K169))</f>
        <v>Storage</v>
      </c>
      <c r="L169" t="str">
        <f>[1]raw_orders!L169</f>
        <v>Elite Storage 628</v>
      </c>
      <c r="M169" t="str">
        <f>IF(TRIM([1]raw_orders!M169)="","Unknown",PROPER(TRIM([1]raw_orders!M169)))</f>
        <v>First Class</v>
      </c>
      <c r="N169" s="5">
        <f>[1]raw_orders!N169</f>
        <v>9</v>
      </c>
      <c r="O169" s="5">
        <f>[1]raw_orders!O169</f>
        <v>3030.93</v>
      </c>
      <c r="P169" s="5">
        <f>[1]raw_orders!P169</f>
        <v>0.15</v>
      </c>
      <c r="Q169" t="str">
        <f>PROPER(TRIM([1]raw_orders!T169))</f>
        <v>Paid</v>
      </c>
      <c r="R169" t="str">
        <f>PROPER(TRIM([1]raw_orders!U169))</f>
        <v>Returned</v>
      </c>
      <c r="S169" s="5">
        <f>[1]raw_orders!S169</f>
        <v>5280.07</v>
      </c>
      <c r="T169" s="5">
        <f t="shared" si="16"/>
        <v>52.800699999999999</v>
      </c>
      <c r="U169" s="5">
        <f t="shared" si="17"/>
        <v>-1413038.6608589999</v>
      </c>
      <c r="V169" s="5">
        <f t="shared" si="18"/>
        <v>-1413038.8108589998</v>
      </c>
      <c r="W169" s="5">
        <f t="shared" si="19"/>
        <v>1.0000001061542081</v>
      </c>
      <c r="X169" s="5" t="str">
        <f t="shared" si="20"/>
        <v>Invalid Date</v>
      </c>
      <c r="Y169" s="5">
        <f t="shared" si="21"/>
        <v>8</v>
      </c>
      <c r="Z169" s="5">
        <f t="shared" si="22"/>
        <v>2025</v>
      </c>
      <c r="AA169" t="str">
        <f t="shared" si="23"/>
        <v>Clean</v>
      </c>
    </row>
    <row r="170" spans="1:27" x14ac:dyDescent="0.3">
      <c r="A170" t="str">
        <f>[1]raw_orders!A170</f>
        <v>ORD-2025-10169</v>
      </c>
      <c r="B170" s="4" t="str">
        <f>IFERROR(DATEVALUE([1]raw_orders!B170), "Invalid Date")</f>
        <v>Invalid Date</v>
      </c>
      <c r="C170" s="4">
        <f>IFERROR(DATEVALUE([1]raw_orders!C170), "Invalid Date")</f>
        <v>45680</v>
      </c>
      <c r="D170" t="str">
        <f>[1]raw_orders!D170</f>
        <v>CUST-9756</v>
      </c>
      <c r="E170" t="str">
        <f>PROPER(TRIM([1]raw_orders!E170))</f>
        <v>Kabir Singh</v>
      </c>
      <c r="F170" t="str">
        <f>PROPER(TRIM([1]raw_orders!F170))</f>
        <v>Consumer</v>
      </c>
      <c r="G170" t="str">
        <f>IF(TRIM([1]raw_orders!G170)="","Unknown",PROPER(TRIM([1]raw_orders!G170)))</f>
        <v>West</v>
      </c>
      <c r="H170" t="str">
        <f>PROPER(TRIM([1]raw_orders!H170))</f>
        <v>Maharashtra</v>
      </c>
      <c r="I170" t="str">
        <f>PROPER(TRIM([1]raw_orders!I170))</f>
        <v>Mumbai</v>
      </c>
      <c r="J170" t="str">
        <f>PROPER(TRIM([1]raw_orders!J170))</f>
        <v>Technology</v>
      </c>
      <c r="K170" t="str">
        <f>PROPER(TRIM([1]raw_orders!K170))</f>
        <v>Accessories</v>
      </c>
      <c r="L170" t="str">
        <f>[1]raw_orders!L170</f>
        <v>Eco Accessories 590</v>
      </c>
      <c r="M170" t="str">
        <f>IF(TRIM([1]raw_orders!M170)="","Unknown",PROPER(TRIM([1]raw_orders!M170)))</f>
        <v>Same Day</v>
      </c>
      <c r="N170" s="5">
        <f>[1]raw_orders!N170</f>
        <v>5</v>
      </c>
      <c r="O170" s="5">
        <f>[1]raw_orders!O170</f>
        <v>639.27</v>
      </c>
      <c r="P170" s="5">
        <f>[1]raw_orders!P170</f>
        <v>0.2</v>
      </c>
      <c r="Q170" t="str">
        <f>PROPER(TRIM([1]raw_orders!T170))</f>
        <v>Paid</v>
      </c>
      <c r="R170" t="str">
        <f>PROPER(TRIM([1]raw_orders!U170))</f>
        <v>Cancelled</v>
      </c>
      <c r="S170" s="5">
        <f>[1]raw_orders!S170</f>
        <v>531.39</v>
      </c>
      <c r="T170" s="5">
        <f t="shared" si="16"/>
        <v>5.3139000000000003</v>
      </c>
      <c r="U170" s="5">
        <f t="shared" si="17"/>
        <v>-13788.734265000001</v>
      </c>
      <c r="V170" s="5">
        <f t="shared" si="18"/>
        <v>-13788.934265000002</v>
      </c>
      <c r="W170" s="5">
        <f t="shared" si="19"/>
        <v>1.0000145045945594</v>
      </c>
      <c r="X170" s="5" t="str">
        <f t="shared" si="20"/>
        <v>Invalid Date</v>
      </c>
      <c r="Y170" s="5" t="e">
        <f t="shared" si="21"/>
        <v>#VALUE!</v>
      </c>
      <c r="Z170" s="5" t="e">
        <f t="shared" si="22"/>
        <v>#VALUE!</v>
      </c>
      <c r="AA170" t="str">
        <f t="shared" si="23"/>
        <v>Clean</v>
      </c>
    </row>
    <row r="171" spans="1:27" x14ac:dyDescent="0.3">
      <c r="A171" t="str">
        <f>[1]raw_orders!A171</f>
        <v>ORD-2025-10170</v>
      </c>
      <c r="B171" s="4">
        <f>IFERROR(DATEVALUE([1]raw_orders!B171), "Invalid Date")</f>
        <v>45913</v>
      </c>
      <c r="C171" s="4" t="str">
        <f>IFERROR(DATEVALUE([1]raw_orders!C171), "Invalid Date")</f>
        <v>Invalid Date</v>
      </c>
      <c r="D171" t="str">
        <f>[1]raw_orders!D171</f>
        <v>CUST-2261</v>
      </c>
      <c r="E171" t="str">
        <f>PROPER(TRIM([1]raw_orders!E171))</f>
        <v>Diya Patel</v>
      </c>
      <c r="F171" t="str">
        <f>PROPER(TRIM([1]raw_orders!F171))</f>
        <v>Consumer</v>
      </c>
      <c r="G171" t="str">
        <f>IF(TRIM([1]raw_orders!G171)="","Unknown",PROPER(TRIM([1]raw_orders!G171)))</f>
        <v>East</v>
      </c>
      <c r="H171" t="str">
        <f>PROPER(TRIM([1]raw_orders!H171))</f>
        <v>Assam</v>
      </c>
      <c r="I171" t="str">
        <f>PROPER(TRIM([1]raw_orders!I171))</f>
        <v>Guwahati</v>
      </c>
      <c r="J171" t="str">
        <f>PROPER(TRIM([1]raw_orders!J171))</f>
        <v>Office Supplies</v>
      </c>
      <c r="K171" t="str">
        <f>PROPER(TRIM([1]raw_orders!K171))</f>
        <v>Art</v>
      </c>
      <c r="L171" t="str">
        <f>[1]raw_orders!L171</f>
        <v>Pro Art 734</v>
      </c>
      <c r="M171" t="str">
        <f>IF(TRIM([1]raw_orders!M171)="","Unknown",PROPER(TRIM([1]raw_orders!M171)))</f>
        <v>Standard Class</v>
      </c>
      <c r="N171" s="5">
        <f>[1]raw_orders!N171</f>
        <v>8</v>
      </c>
      <c r="O171" s="5">
        <f>[1]raw_orders!O171</f>
        <v>733.9</v>
      </c>
      <c r="P171" s="5">
        <f>[1]raw_orders!P171</f>
        <v>0.05</v>
      </c>
      <c r="Q171" t="str">
        <f>PROPER(TRIM([1]raw_orders!T171))</f>
        <v>Pending</v>
      </c>
      <c r="R171" t="str">
        <f>PROPER(TRIM([1]raw_orders!U171))</f>
        <v>Returned</v>
      </c>
      <c r="S171" s="5">
        <f>[1]raw_orders!S171</f>
        <v>2036.35</v>
      </c>
      <c r="T171" s="5">
        <f t="shared" si="16"/>
        <v>20.363499999999998</v>
      </c>
      <c r="U171" s="5">
        <f t="shared" si="17"/>
        <v>-113686.98119999998</v>
      </c>
      <c r="V171" s="5">
        <f t="shared" si="18"/>
        <v>-113687.03119999998</v>
      </c>
      <c r="W171" s="5">
        <f t="shared" si="19"/>
        <v>1.000000439804096</v>
      </c>
      <c r="X171" s="5" t="str">
        <f t="shared" si="20"/>
        <v>Invalid Date</v>
      </c>
      <c r="Y171" s="5">
        <f t="shared" si="21"/>
        <v>9</v>
      </c>
      <c r="Z171" s="5">
        <f t="shared" si="22"/>
        <v>2025</v>
      </c>
      <c r="AA171" t="str">
        <f t="shared" si="23"/>
        <v>Clean</v>
      </c>
    </row>
    <row r="172" spans="1:27" x14ac:dyDescent="0.3">
      <c r="A172" t="str">
        <f>[1]raw_orders!A172</f>
        <v>ORD-2025-10171</v>
      </c>
      <c r="B172" s="4">
        <f>IFERROR(DATEVALUE([1]raw_orders!B172), "Invalid Date")</f>
        <v>45907</v>
      </c>
      <c r="C172" s="4" t="str">
        <f>IFERROR(DATEVALUE([1]raw_orders!C172), "Invalid Date")</f>
        <v>Invalid Date</v>
      </c>
      <c r="D172" t="str">
        <f>[1]raw_orders!D172</f>
        <v>CUST-3734</v>
      </c>
      <c r="E172" t="str">
        <f>PROPER(TRIM([1]raw_orders!E172))</f>
        <v>Rohan Mehta</v>
      </c>
      <c r="F172" t="str">
        <f>PROPER(TRIM([1]raw_orders!F172))</f>
        <v>Corporate</v>
      </c>
      <c r="G172" t="str">
        <f>IF(TRIM([1]raw_orders!G172)="","Unknown",PROPER(TRIM([1]raw_orders!G172)))</f>
        <v>East</v>
      </c>
      <c r="H172" t="str">
        <f>PROPER(TRIM([1]raw_orders!H172))</f>
        <v>Bihar</v>
      </c>
      <c r="I172" t="str">
        <f>PROPER(TRIM([1]raw_orders!I172))</f>
        <v>Patna</v>
      </c>
      <c r="J172" t="str">
        <f>PROPER(TRIM([1]raw_orders!J172))</f>
        <v>Technology</v>
      </c>
      <c r="K172" t="str">
        <f>PROPER(TRIM([1]raw_orders!K172))</f>
        <v>Copiers</v>
      </c>
      <c r="L172" t="str">
        <f>[1]raw_orders!L172</f>
        <v>Eco Copiers 102</v>
      </c>
      <c r="M172" t="str">
        <f>IF(TRIM([1]raw_orders!M172)="","Unknown",PROPER(TRIM([1]raw_orders!M172)))</f>
        <v>Standard Class</v>
      </c>
      <c r="N172" s="5">
        <f>[1]raw_orders!N172</f>
        <v>3</v>
      </c>
      <c r="O172" s="5">
        <f>[1]raw_orders!O172</f>
        <v>1711.32</v>
      </c>
      <c r="P172" s="5">
        <f>[1]raw_orders!P172</f>
        <v>0</v>
      </c>
      <c r="Q172" t="str">
        <f>PROPER(TRIM([1]raw_orders!T172))</f>
        <v>Paid</v>
      </c>
      <c r="R172" t="str">
        <f>PROPER(TRIM([1]raw_orders!U172))</f>
        <v>Completed</v>
      </c>
      <c r="S172" s="5">
        <f>[1]raw_orders!S172</f>
        <v>1203.96</v>
      </c>
      <c r="T172" s="5">
        <f t="shared" si="16"/>
        <v>12.0396</v>
      </c>
      <c r="U172" s="5">
        <f t="shared" si="17"/>
        <v>-56676.864816000001</v>
      </c>
      <c r="V172" s="5">
        <f t="shared" si="18"/>
        <v>-56676.864816000001</v>
      </c>
      <c r="W172" s="5">
        <f t="shared" si="19"/>
        <v>1</v>
      </c>
      <c r="X172" s="5" t="str">
        <f t="shared" si="20"/>
        <v>Invalid Date</v>
      </c>
      <c r="Y172" s="5">
        <f t="shared" si="21"/>
        <v>9</v>
      </c>
      <c r="Z172" s="5">
        <f t="shared" si="22"/>
        <v>2025</v>
      </c>
      <c r="AA172" t="str">
        <f t="shared" si="23"/>
        <v>Clean</v>
      </c>
    </row>
    <row r="173" spans="1:27" x14ac:dyDescent="0.3">
      <c r="A173" t="str">
        <f>[1]raw_orders!A173</f>
        <v>ORD-2025-10172</v>
      </c>
      <c r="B173" s="4">
        <f>IFERROR(DATEVALUE([1]raw_orders!B173), "Invalid Date")</f>
        <v>45711</v>
      </c>
      <c r="C173" s="4" t="str">
        <f>IFERROR(DATEVALUE([1]raw_orders!C173), "Invalid Date")</f>
        <v>Invalid Date</v>
      </c>
      <c r="D173" t="str">
        <f>[1]raw_orders!D173</f>
        <v>CUST-3436</v>
      </c>
      <c r="E173" t="str">
        <f>PROPER(TRIM([1]raw_orders!E173))</f>
        <v>Karan Malhotra</v>
      </c>
      <c r="F173" t="str">
        <f>PROPER(TRIM([1]raw_orders!F173))</f>
        <v>Corporate</v>
      </c>
      <c r="G173" t="str">
        <f>IF(TRIM([1]raw_orders!G173)="","Unknown",PROPER(TRIM([1]raw_orders!G173)))</f>
        <v>East</v>
      </c>
      <c r="H173" t="str">
        <f>PROPER(TRIM([1]raw_orders!H173))</f>
        <v>Bihar</v>
      </c>
      <c r="I173" t="str">
        <f>PROPER(TRIM([1]raw_orders!I173))</f>
        <v>Patna</v>
      </c>
      <c r="J173" t="str">
        <f>PROPER(TRIM([1]raw_orders!J173))</f>
        <v>Office Supplies</v>
      </c>
      <c r="K173" t="str">
        <f>PROPER(TRIM([1]raw_orders!K173))</f>
        <v>Labels</v>
      </c>
      <c r="L173" t="str">
        <f>[1]raw_orders!L173</f>
        <v>Basic Labels 876</v>
      </c>
      <c r="M173" t="str">
        <f>IF(TRIM([1]raw_orders!M173)="","Unknown",PROPER(TRIM([1]raw_orders!M173)))</f>
        <v>Same Day</v>
      </c>
      <c r="N173" s="5">
        <f>[1]raw_orders!N173</f>
        <v>5</v>
      </c>
      <c r="O173" s="5">
        <f>[1]raw_orders!O173</f>
        <v>4246.2700000000004</v>
      </c>
      <c r="P173" s="5">
        <f>[1]raw_orders!P173</f>
        <v>0.25</v>
      </c>
      <c r="Q173" t="str">
        <f>PROPER(TRIM([1]raw_orders!T173))</f>
        <v>Paid</v>
      </c>
      <c r="R173" t="str">
        <f>PROPER(TRIM([1]raw_orders!U173))</f>
        <v>Completed</v>
      </c>
      <c r="S173" s="5">
        <f>[1]raw_orders!S173</f>
        <v>4631.71</v>
      </c>
      <c r="T173" s="5">
        <f t="shared" si="16"/>
        <v>46.317100000000003</v>
      </c>
      <c r="U173" s="5">
        <f t="shared" si="17"/>
        <v>-962143.21108500019</v>
      </c>
      <c r="V173" s="5">
        <f t="shared" si="18"/>
        <v>-962143.46108500019</v>
      </c>
      <c r="W173" s="5">
        <f t="shared" si="19"/>
        <v>1.0000002598365785</v>
      </c>
      <c r="X173" s="5" t="str">
        <f t="shared" si="20"/>
        <v>Invalid Date</v>
      </c>
      <c r="Y173" s="5">
        <f t="shared" si="21"/>
        <v>2</v>
      </c>
      <c r="Z173" s="5">
        <f t="shared" si="22"/>
        <v>2025</v>
      </c>
      <c r="AA173" t="str">
        <f t="shared" si="23"/>
        <v>Clean</v>
      </c>
    </row>
    <row r="174" spans="1:27" x14ac:dyDescent="0.3">
      <c r="A174" t="str">
        <f>[1]raw_orders!A174</f>
        <v>ORD-2025-10173</v>
      </c>
      <c r="B174" s="4">
        <f>IFERROR(DATEVALUE([1]raw_orders!B174), "Invalid Date")</f>
        <v>45871</v>
      </c>
      <c r="C174" s="4">
        <f>IFERROR(DATEVALUE([1]raw_orders!C174), "Invalid Date")</f>
        <v>45879</v>
      </c>
      <c r="D174" t="str">
        <f>[1]raw_orders!D174</f>
        <v>CUST-4845</v>
      </c>
      <c r="E174" t="str">
        <f>PROPER(TRIM([1]raw_orders!E174))</f>
        <v>Karan Malhotra</v>
      </c>
      <c r="F174" t="str">
        <f>PROPER(TRIM([1]raw_orders!F174))</f>
        <v>Corporate</v>
      </c>
      <c r="G174" t="str">
        <f>IF(TRIM([1]raw_orders!G174)="","Unknown",PROPER(TRIM([1]raw_orders!G174)))</f>
        <v>North</v>
      </c>
      <c r="H174" t="str">
        <f>PROPER(TRIM([1]raw_orders!H174))</f>
        <v>Delhi</v>
      </c>
      <c r="I174" t="str">
        <f>PROPER(TRIM([1]raw_orders!I174))</f>
        <v>New Delhi</v>
      </c>
      <c r="J174" t="str">
        <f>PROPER(TRIM([1]raw_orders!J174))</f>
        <v>Furniture</v>
      </c>
      <c r="K174" t="str">
        <f>PROPER(TRIM([1]raw_orders!K174))</f>
        <v>Furnishings</v>
      </c>
      <c r="L174" t="str">
        <f>[1]raw_orders!L174</f>
        <v>Prime Furnishings 381</v>
      </c>
      <c r="M174" t="str">
        <f>IF(TRIM([1]raw_orders!M174)="","Unknown",PROPER(TRIM([1]raw_orders!M174)))</f>
        <v>Same Day</v>
      </c>
      <c r="N174" s="5">
        <f>[1]raw_orders!N174</f>
        <v>9</v>
      </c>
      <c r="O174" s="5">
        <f>[1]raw_orders!O174</f>
        <v>2962.62</v>
      </c>
      <c r="P174" s="5">
        <f>[1]raw_orders!P174</f>
        <v>0.1</v>
      </c>
      <c r="Q174" t="str">
        <f>PROPER(TRIM([1]raw_orders!T174))</f>
        <v>Refunded</v>
      </c>
      <c r="R174" t="str">
        <f>PROPER(TRIM([1]raw_orders!U174))</f>
        <v>Returned</v>
      </c>
      <c r="S174" s="5">
        <f>[1]raw_orders!S174</f>
        <v>7862.59</v>
      </c>
      <c r="T174" s="5">
        <f t="shared" si="16"/>
        <v>78.625900000000001</v>
      </c>
      <c r="U174" s="5">
        <f t="shared" si="17"/>
        <v>-2069784.394722</v>
      </c>
      <c r="V174" s="5">
        <f t="shared" si="18"/>
        <v>-2069784.4947220001</v>
      </c>
      <c r="W174" s="5">
        <f t="shared" si="19"/>
        <v>1.0000000483142111</v>
      </c>
      <c r="X174" s="5">
        <f t="shared" si="20"/>
        <v>8</v>
      </c>
      <c r="Y174" s="5">
        <f t="shared" si="21"/>
        <v>8</v>
      </c>
      <c r="Z174" s="5">
        <f t="shared" si="22"/>
        <v>2025</v>
      </c>
      <c r="AA174" t="str">
        <f t="shared" si="23"/>
        <v>Clean</v>
      </c>
    </row>
    <row r="175" spans="1:27" x14ac:dyDescent="0.3">
      <c r="A175" t="str">
        <f>[1]raw_orders!A175</f>
        <v>ORD-2024-10174</v>
      </c>
      <c r="B175" s="4">
        <f>IFERROR(DATEVALUE([1]raw_orders!B175), "Invalid Date")</f>
        <v>45414</v>
      </c>
      <c r="C175" s="4">
        <f>IFERROR(DATEVALUE([1]raw_orders!C175), "Invalid Date")</f>
        <v>45420</v>
      </c>
      <c r="D175" t="str">
        <f>[1]raw_orders!D175</f>
        <v>CUST-6153</v>
      </c>
      <c r="E175" t="str">
        <f>PROPER(TRIM([1]raw_orders!E175))</f>
        <v>Priya Menon</v>
      </c>
      <c r="F175" t="str">
        <f>PROPER(TRIM([1]raw_orders!F175))</f>
        <v>Home Office</v>
      </c>
      <c r="G175" t="str">
        <f>IF(TRIM([1]raw_orders!G175)="","Unknown",PROPER(TRIM([1]raw_orders!G175)))</f>
        <v>North</v>
      </c>
      <c r="H175" t="str">
        <f>PROPER(TRIM([1]raw_orders!H175))</f>
        <v>Punjab</v>
      </c>
      <c r="I175" t="str">
        <f>PROPER(TRIM([1]raw_orders!I175))</f>
        <v>Ludhiana</v>
      </c>
      <c r="J175" t="str">
        <f>PROPER(TRIM([1]raw_orders!J175))</f>
        <v>Technology</v>
      </c>
      <c r="K175" t="str">
        <f>PROPER(TRIM([1]raw_orders!K175))</f>
        <v>Copiers</v>
      </c>
      <c r="L175" t="str">
        <f>[1]raw_orders!L175</f>
        <v>Prime Copiers 440</v>
      </c>
      <c r="M175" t="str">
        <f>IF(TRIM([1]raw_orders!M175)="","Unknown",PROPER(TRIM([1]raw_orders!M175)))</f>
        <v>Second Class</v>
      </c>
      <c r="N175" s="5">
        <f>[1]raw_orders!N175</f>
        <v>1</v>
      </c>
      <c r="O175" s="5">
        <f>[1]raw_orders!O175</f>
        <v>2312.25</v>
      </c>
      <c r="P175" s="5">
        <f>[1]raw_orders!P175</f>
        <v>0.25</v>
      </c>
      <c r="Q175" t="str">
        <f>PROPER(TRIM([1]raw_orders!T175))</f>
        <v>Paid</v>
      </c>
      <c r="R175" t="str">
        <f>PROPER(TRIM([1]raw_orders!U175))</f>
        <v>Completed</v>
      </c>
      <c r="S175" s="5">
        <f>[1]raw_orders!S175</f>
        <v>348.12</v>
      </c>
      <c r="T175" s="5">
        <f t="shared" si="16"/>
        <v>3.4811999999999999</v>
      </c>
      <c r="U175" s="5">
        <f t="shared" si="17"/>
        <v>-5737.1547</v>
      </c>
      <c r="V175" s="5">
        <f t="shared" si="18"/>
        <v>-5737.4047</v>
      </c>
      <c r="W175" s="5">
        <f t="shared" si="19"/>
        <v>1.0000435756072605</v>
      </c>
      <c r="X175" s="5">
        <f t="shared" si="20"/>
        <v>6</v>
      </c>
      <c r="Y175" s="5">
        <f t="shared" si="21"/>
        <v>5</v>
      </c>
      <c r="Z175" s="5">
        <f t="shared" si="22"/>
        <v>2024</v>
      </c>
      <c r="AA175" t="str">
        <f t="shared" si="23"/>
        <v>Clean</v>
      </c>
    </row>
    <row r="176" spans="1:27" x14ac:dyDescent="0.3">
      <c r="A176" t="str">
        <f>[1]raw_orders!A176</f>
        <v>ORD-2025-10175</v>
      </c>
      <c r="B176" s="4">
        <f>IFERROR(DATEVALUE([1]raw_orders!B176), "Invalid Date")</f>
        <v>45928</v>
      </c>
      <c r="C176" s="4">
        <f>IFERROR(DATEVALUE([1]raw_orders!C176), "Invalid Date")</f>
        <v>45934</v>
      </c>
      <c r="D176" t="str">
        <f>[1]raw_orders!D176</f>
        <v>CUST-5475</v>
      </c>
      <c r="E176" t="str">
        <f>PROPER(TRIM([1]raw_orders!E176))</f>
        <v>Karan Malhotra</v>
      </c>
      <c r="F176" t="str">
        <f>PROPER(TRIM([1]raw_orders!F176))</f>
        <v>Small Business</v>
      </c>
      <c r="G176" t="str">
        <f>IF(TRIM([1]raw_orders!G176)="","Unknown",PROPER(TRIM([1]raw_orders!G176)))</f>
        <v>South</v>
      </c>
      <c r="H176" t="str">
        <f>PROPER(TRIM([1]raw_orders!H176))</f>
        <v>Karnataka</v>
      </c>
      <c r="I176" t="str">
        <f>PROPER(TRIM([1]raw_orders!I176))</f>
        <v>Bengaluru</v>
      </c>
      <c r="J176" t="str">
        <f>PROPER(TRIM([1]raw_orders!J176))</f>
        <v>Furniture</v>
      </c>
      <c r="K176" t="str">
        <f>PROPER(TRIM([1]raw_orders!K176))</f>
        <v>Bookcases</v>
      </c>
      <c r="L176" t="str">
        <f>[1]raw_orders!L176</f>
        <v>Pro Bookcases 319</v>
      </c>
      <c r="M176" t="str">
        <f>IF(TRIM([1]raw_orders!M176)="","Unknown",PROPER(TRIM([1]raw_orders!M176)))</f>
        <v>First Class</v>
      </c>
      <c r="N176" s="5">
        <f>[1]raw_orders!N176</f>
        <v>6</v>
      </c>
      <c r="O176" s="5">
        <f>[1]raw_orders!O176</f>
        <v>1620.53</v>
      </c>
      <c r="P176" s="5">
        <f>[1]raw_orders!P176</f>
        <v>0.15</v>
      </c>
      <c r="Q176" t="str">
        <f>PROPER(TRIM([1]raw_orders!T176))</f>
        <v>Pending</v>
      </c>
      <c r="R176" t="str">
        <f>PROPER(TRIM([1]raw_orders!U176))</f>
        <v>Returned</v>
      </c>
      <c r="S176" s="5">
        <f>[1]raw_orders!S176</f>
        <v>3495.95</v>
      </c>
      <c r="T176" s="5">
        <f t="shared" si="16"/>
        <v>34.959499999999998</v>
      </c>
      <c r="U176" s="5">
        <f t="shared" si="17"/>
        <v>-330194.33120999997</v>
      </c>
      <c r="V176" s="5">
        <f t="shared" si="18"/>
        <v>-330194.48121</v>
      </c>
      <c r="W176" s="5">
        <f t="shared" si="19"/>
        <v>1.0000004542779384</v>
      </c>
      <c r="X176" s="5">
        <f t="shared" si="20"/>
        <v>6</v>
      </c>
      <c r="Y176" s="5">
        <f t="shared" si="21"/>
        <v>9</v>
      </c>
      <c r="Z176" s="5">
        <f t="shared" si="22"/>
        <v>2025</v>
      </c>
      <c r="AA176" t="str">
        <f t="shared" si="23"/>
        <v>Clean</v>
      </c>
    </row>
    <row r="177" spans="1:27" x14ac:dyDescent="0.3">
      <c r="A177" t="str">
        <f>[1]raw_orders!A177</f>
        <v>ORD-2024-10176</v>
      </c>
      <c r="B177" s="4">
        <f>IFERROR(DATEVALUE([1]raw_orders!B177), "Invalid Date")</f>
        <v>45318</v>
      </c>
      <c r="C177" s="4">
        <f>IFERROR(DATEVALUE([1]raw_orders!C177), "Invalid Date")</f>
        <v>45325</v>
      </c>
      <c r="D177" t="str">
        <f>[1]raw_orders!D177</f>
        <v>CUST-5580</v>
      </c>
      <c r="E177" t="str">
        <f>PROPER(TRIM([1]raw_orders!E177))</f>
        <v>Arjun Bose</v>
      </c>
      <c r="F177" t="str">
        <f>PROPER(TRIM([1]raw_orders!F177))</f>
        <v>Small Business</v>
      </c>
      <c r="G177" t="str">
        <f>IF(TRIM([1]raw_orders!G177)="","Unknown",PROPER(TRIM([1]raw_orders!G177)))</f>
        <v>East</v>
      </c>
      <c r="H177" t="str">
        <f>PROPER(TRIM([1]raw_orders!H177))</f>
        <v>Bihar</v>
      </c>
      <c r="I177" t="str">
        <f>PROPER(TRIM([1]raw_orders!I177))</f>
        <v>Patna</v>
      </c>
      <c r="J177" t="str">
        <f>PROPER(TRIM([1]raw_orders!J177))</f>
        <v>Technology</v>
      </c>
      <c r="K177" t="str">
        <f>PROPER(TRIM([1]raw_orders!K177))</f>
        <v>Machines</v>
      </c>
      <c r="L177" t="str">
        <f>[1]raw_orders!L177</f>
        <v>Basic Machines 584</v>
      </c>
      <c r="M177" t="str">
        <f>IF(TRIM([1]raw_orders!M177)="","Unknown",PROPER(TRIM([1]raw_orders!M177)))</f>
        <v>Same Day</v>
      </c>
      <c r="N177" s="5">
        <f>[1]raw_orders!N177</f>
        <v>7</v>
      </c>
      <c r="O177" s="5">
        <f>[1]raw_orders!O177</f>
        <v>2673.42</v>
      </c>
      <c r="P177" s="5">
        <f>[1]raw_orders!P177</f>
        <v>0.15</v>
      </c>
      <c r="Q177" t="str">
        <f>PROPER(TRIM([1]raw_orders!T177))</f>
        <v>Paid</v>
      </c>
      <c r="R177" t="str">
        <f>PROPER(TRIM([1]raw_orders!U177))</f>
        <v>Returned</v>
      </c>
      <c r="S177" s="5">
        <f>[1]raw_orders!S177</f>
        <v>4892.3900000000003</v>
      </c>
      <c r="T177" s="5">
        <f t="shared" si="16"/>
        <v>48.923900000000003</v>
      </c>
      <c r="U177" s="5">
        <f t="shared" si="17"/>
        <v>-896844.98916600016</v>
      </c>
      <c r="V177" s="5">
        <f t="shared" si="18"/>
        <v>-896845.13916600018</v>
      </c>
      <c r="W177" s="5">
        <f t="shared" si="19"/>
        <v>1.0000001672529832</v>
      </c>
      <c r="X177" s="5">
        <f t="shared" si="20"/>
        <v>7</v>
      </c>
      <c r="Y177" s="5">
        <f t="shared" si="21"/>
        <v>1</v>
      </c>
      <c r="Z177" s="5">
        <f t="shared" si="22"/>
        <v>2024</v>
      </c>
      <c r="AA177" t="str">
        <f t="shared" si="23"/>
        <v>Clean</v>
      </c>
    </row>
    <row r="178" spans="1:27" x14ac:dyDescent="0.3">
      <c r="A178" t="str">
        <f>[1]raw_orders!A178</f>
        <v>ORD-2025-10177</v>
      </c>
      <c r="B178" s="4">
        <f>IFERROR(DATEVALUE([1]raw_orders!B178), "Invalid Date")</f>
        <v>45734</v>
      </c>
      <c r="C178" s="4" t="str">
        <f>IFERROR(DATEVALUE([1]raw_orders!C178), "Invalid Date")</f>
        <v>Invalid Date</v>
      </c>
      <c r="D178" t="str">
        <f>[1]raw_orders!D178</f>
        <v>CUST-3027</v>
      </c>
      <c r="E178" t="str">
        <f>PROPER(TRIM([1]raw_orders!E178))</f>
        <v>Vikram Iyer</v>
      </c>
      <c r="F178" t="str">
        <f>PROPER(TRIM([1]raw_orders!F178))</f>
        <v>Corporate</v>
      </c>
      <c r="G178" t="str">
        <f>IF(TRIM([1]raw_orders!G178)="","Unknown",PROPER(TRIM([1]raw_orders!G178)))</f>
        <v>East</v>
      </c>
      <c r="H178" t="str">
        <f>PROPER(TRIM([1]raw_orders!H178))</f>
        <v>Jharkhand</v>
      </c>
      <c r="I178" t="str">
        <f>PROPER(TRIM([1]raw_orders!I178))</f>
        <v>Ranchi</v>
      </c>
      <c r="J178" t="str">
        <f>PROPER(TRIM([1]raw_orders!J178))</f>
        <v>Furniture</v>
      </c>
      <c r="K178" t="str">
        <f>PROPER(TRIM([1]raw_orders!K178))</f>
        <v>Bookcases</v>
      </c>
      <c r="L178" t="str">
        <f>[1]raw_orders!L178</f>
        <v>Pro Bookcases 612</v>
      </c>
      <c r="M178" t="str">
        <f>IF(TRIM([1]raw_orders!M178)="","Unknown",PROPER(TRIM([1]raw_orders!M178)))</f>
        <v>Standard Class</v>
      </c>
      <c r="N178" s="5">
        <f>[1]raw_orders!N178</f>
        <v>8</v>
      </c>
      <c r="O178" s="5">
        <f>[1]raw_orders!O178</f>
        <v>3563.09</v>
      </c>
      <c r="P178" s="5">
        <f>[1]raw_orders!P178</f>
        <v>0.15</v>
      </c>
      <c r="Q178" t="str">
        <f>PROPER(TRIM([1]raw_orders!T178))</f>
        <v>Paid</v>
      </c>
      <c r="R178" t="str">
        <f>PROPER(TRIM([1]raw_orders!U178))</f>
        <v>Completed</v>
      </c>
      <c r="S178" s="5">
        <f>[1]raw_orders!S178</f>
        <v>10318.370000000001</v>
      </c>
      <c r="T178" s="5">
        <f t="shared" si="16"/>
        <v>103.1837</v>
      </c>
      <c r="U178" s="5">
        <f t="shared" si="17"/>
        <v>-2912717.7570640002</v>
      </c>
      <c r="V178" s="5">
        <f t="shared" si="18"/>
        <v>-2912717.9070640001</v>
      </c>
      <c r="W178" s="5">
        <f t="shared" si="19"/>
        <v>1.0000000514982956</v>
      </c>
      <c r="X178" s="5" t="str">
        <f t="shared" si="20"/>
        <v>Invalid Date</v>
      </c>
      <c r="Y178" s="5">
        <f t="shared" si="21"/>
        <v>3</v>
      </c>
      <c r="Z178" s="5">
        <f t="shared" si="22"/>
        <v>2025</v>
      </c>
      <c r="AA178" t="str">
        <f t="shared" si="23"/>
        <v>Clean</v>
      </c>
    </row>
    <row r="179" spans="1:27" x14ac:dyDescent="0.3">
      <c r="A179" t="str">
        <f>[1]raw_orders!A179</f>
        <v>ORD-2024-10178</v>
      </c>
      <c r="B179" s="4">
        <f>IFERROR(DATEVALUE([1]raw_orders!B179), "Invalid Date")</f>
        <v>45444</v>
      </c>
      <c r="C179" s="4">
        <f>IFERROR(DATEVALUE([1]raw_orders!C179), "Invalid Date")</f>
        <v>45357</v>
      </c>
      <c r="D179" t="str">
        <f>[1]raw_orders!D179</f>
        <v>CUST-4399</v>
      </c>
      <c r="E179" t="str">
        <f>PROPER(TRIM([1]raw_orders!E179))</f>
        <v>Sneha Kapoor</v>
      </c>
      <c r="F179" t="str">
        <f>PROPER(TRIM([1]raw_orders!F179))</f>
        <v>Home Office</v>
      </c>
      <c r="G179" t="str">
        <f>IF(TRIM([1]raw_orders!G179)="","Unknown",PROPER(TRIM([1]raw_orders!G179)))</f>
        <v>Unknown</v>
      </c>
      <c r="H179" t="str">
        <f>PROPER(TRIM([1]raw_orders!H179))</f>
        <v>Bihar</v>
      </c>
      <c r="I179" t="str">
        <f>PROPER(TRIM([1]raw_orders!I179))</f>
        <v>Patna</v>
      </c>
      <c r="J179" t="str">
        <f>PROPER(TRIM([1]raw_orders!J179))</f>
        <v>Office Supplies</v>
      </c>
      <c r="K179" t="str">
        <f>PROPER(TRIM([1]raw_orders!K179))</f>
        <v>Art</v>
      </c>
      <c r="L179" t="str">
        <f>[1]raw_orders!L179</f>
        <v>Classic Art 573</v>
      </c>
      <c r="M179" t="str">
        <f>IF(TRIM([1]raw_orders!M179)="","Unknown",PROPER(TRIM([1]raw_orders!M179)))</f>
        <v>Same Day</v>
      </c>
      <c r="N179" s="5">
        <f>[1]raw_orders!N179</f>
        <v>8</v>
      </c>
      <c r="O179" s="5">
        <f>[1]raw_orders!O179</f>
        <v>3879.95</v>
      </c>
      <c r="P179" s="5">
        <f>[1]raw_orders!P179</f>
        <v>0</v>
      </c>
      <c r="Q179" t="str">
        <f>PROPER(TRIM([1]raw_orders!T179))</f>
        <v>Paid</v>
      </c>
      <c r="R179" t="str">
        <f>PROPER(TRIM([1]raw_orders!U179))</f>
        <v>Completed</v>
      </c>
      <c r="S179" s="5">
        <f>[1]raw_orders!S179</f>
        <v>10172.879999999999</v>
      </c>
      <c r="T179" s="5">
        <f t="shared" si="16"/>
        <v>101.72879999999999</v>
      </c>
      <c r="U179" s="5">
        <f t="shared" si="17"/>
        <v>-3126581.6604799996</v>
      </c>
      <c r="V179" s="5">
        <f t="shared" si="18"/>
        <v>-3126581.6604799996</v>
      </c>
      <c r="W179" s="5">
        <f t="shared" si="19"/>
        <v>1</v>
      </c>
      <c r="X179" s="5">
        <f t="shared" si="20"/>
        <v>-87</v>
      </c>
      <c r="Y179" s="5">
        <f t="shared" si="21"/>
        <v>6</v>
      </c>
      <c r="Z179" s="5">
        <f t="shared" si="22"/>
        <v>2024</v>
      </c>
      <c r="AA179" t="str">
        <f t="shared" si="23"/>
        <v>Invalid</v>
      </c>
    </row>
    <row r="180" spans="1:27" x14ac:dyDescent="0.3">
      <c r="A180" t="str">
        <f>[1]raw_orders!A180</f>
        <v>ORD-2024-10179</v>
      </c>
      <c r="B180" s="4">
        <f>IFERROR(DATEVALUE([1]raw_orders!B180), "Invalid Date")</f>
        <v>45565</v>
      </c>
      <c r="C180" s="4">
        <f>IFERROR(DATEVALUE([1]raw_orders!C180), "Invalid Date")</f>
        <v>45565</v>
      </c>
      <c r="D180" t="str">
        <f>[1]raw_orders!D180</f>
        <v>CUST-3092</v>
      </c>
      <c r="E180" t="str">
        <f>PROPER(TRIM([1]raw_orders!E180))</f>
        <v>Isha Nair</v>
      </c>
      <c r="F180" t="str">
        <f>PROPER(TRIM([1]raw_orders!F180))</f>
        <v>Corporate</v>
      </c>
      <c r="G180" t="str">
        <f>IF(TRIM([1]raw_orders!G180)="","Unknown",PROPER(TRIM([1]raw_orders!G180)))</f>
        <v>South</v>
      </c>
      <c r="H180" t="str">
        <f>PROPER(TRIM([1]raw_orders!H180))</f>
        <v>Telangana</v>
      </c>
      <c r="I180" t="str">
        <f>PROPER(TRIM([1]raw_orders!I180))</f>
        <v>Hyderabad</v>
      </c>
      <c r="J180" t="str">
        <f>PROPER(TRIM([1]raw_orders!J180))</f>
        <v>Office Supplies</v>
      </c>
      <c r="K180" t="str">
        <f>PROPER(TRIM([1]raw_orders!K180))</f>
        <v>Art</v>
      </c>
      <c r="L180" t="str">
        <f>[1]raw_orders!L180</f>
        <v>Eco Art 854</v>
      </c>
      <c r="M180" t="str">
        <f>IF(TRIM([1]raw_orders!M180)="","Unknown",PROPER(TRIM([1]raw_orders!M180)))</f>
        <v>Standard Class</v>
      </c>
      <c r="N180" s="5">
        <f>[1]raw_orders!N180</f>
        <v>4</v>
      </c>
      <c r="O180" s="5">
        <f>[1]raw_orders!O180</f>
        <v>3281.74</v>
      </c>
      <c r="P180" s="5">
        <f>[1]raw_orders!P180</f>
        <v>0</v>
      </c>
      <c r="Q180" t="str">
        <f>PROPER(TRIM([1]raw_orders!T180))</f>
        <v>Paid</v>
      </c>
      <c r="R180" t="str">
        <f>PROPER(TRIM([1]raw_orders!U180))</f>
        <v>Completed</v>
      </c>
      <c r="S180" s="5">
        <f>[1]raw_orders!S180</f>
        <v>2394.52</v>
      </c>
      <c r="T180" s="5">
        <f t="shared" si="16"/>
        <v>23.9452</v>
      </c>
      <c r="U180" s="5">
        <f t="shared" si="17"/>
        <v>-301200.72259199998</v>
      </c>
      <c r="V180" s="5">
        <f t="shared" si="18"/>
        <v>-301200.72259199998</v>
      </c>
      <c r="W180" s="5">
        <f t="shared" si="19"/>
        <v>1</v>
      </c>
      <c r="X180" s="5">
        <f t="shared" si="20"/>
        <v>0</v>
      </c>
      <c r="Y180" s="5">
        <f t="shared" si="21"/>
        <v>9</v>
      </c>
      <c r="Z180" s="5">
        <f t="shared" si="22"/>
        <v>2024</v>
      </c>
      <c r="AA180" t="str">
        <f t="shared" si="23"/>
        <v>Clean</v>
      </c>
    </row>
    <row r="181" spans="1:27" x14ac:dyDescent="0.3">
      <c r="A181" t="str">
        <f>[1]raw_orders!A181</f>
        <v>ORD-2024-10180</v>
      </c>
      <c r="B181" s="4">
        <f>IFERROR(DATEVALUE([1]raw_orders!B181), "Invalid Date")</f>
        <v>45366</v>
      </c>
      <c r="C181" s="4" t="str">
        <f>IFERROR(DATEVALUE([1]raw_orders!C181), "Invalid Date")</f>
        <v>Invalid Date</v>
      </c>
      <c r="D181" t="str">
        <f>[1]raw_orders!D181</f>
        <v>CUST-1778</v>
      </c>
      <c r="E181" t="str">
        <f>PROPER(TRIM([1]raw_orders!E181))</f>
        <v>Ananya Rao</v>
      </c>
      <c r="F181" t="str">
        <f>PROPER(TRIM([1]raw_orders!F181))</f>
        <v>Small Business</v>
      </c>
      <c r="G181" t="str">
        <f>IF(TRIM([1]raw_orders!G181)="","Unknown",PROPER(TRIM([1]raw_orders!G181)))</f>
        <v>South</v>
      </c>
      <c r="H181" t="str">
        <f>PROPER(TRIM([1]raw_orders!H181))</f>
        <v>Tamil Nadu</v>
      </c>
      <c r="I181" t="str">
        <f>PROPER(TRIM([1]raw_orders!I181))</f>
        <v>Chennai</v>
      </c>
      <c r="J181" t="str">
        <f>PROPER(TRIM([1]raw_orders!J181))</f>
        <v>Furniture</v>
      </c>
      <c r="K181" t="str">
        <f>PROPER(TRIM([1]raw_orders!K181))</f>
        <v>Furnishings</v>
      </c>
      <c r="L181" t="str">
        <f>[1]raw_orders!L181</f>
        <v>Classic Furnishings 996</v>
      </c>
      <c r="M181" t="str">
        <f>IF(TRIM([1]raw_orders!M181)="","Unknown",PROPER(TRIM([1]raw_orders!M181)))</f>
        <v>Standard Class</v>
      </c>
      <c r="N181" s="5">
        <f>[1]raw_orders!N181</f>
        <v>4</v>
      </c>
      <c r="O181" s="5">
        <f>[1]raw_orders!O181</f>
        <v>3186.3</v>
      </c>
      <c r="P181" s="5">
        <f>[1]raw_orders!P181</f>
        <v>0.25</v>
      </c>
      <c r="Q181" t="str">
        <f>PROPER(TRIM([1]raw_orders!T181))</f>
        <v>Refunded</v>
      </c>
      <c r="R181" t="str">
        <f>PROPER(TRIM([1]raw_orders!U181))</f>
        <v>Returned</v>
      </c>
      <c r="S181" s="5">
        <f>[1]raw_orders!S181</f>
        <v>4042.14</v>
      </c>
      <c r="T181" s="5">
        <f t="shared" si="16"/>
        <v>40.421399999999998</v>
      </c>
      <c r="U181" s="5">
        <f t="shared" si="17"/>
        <v>-502433.62728000002</v>
      </c>
      <c r="V181" s="5">
        <f t="shared" si="18"/>
        <v>-502433.87728000002</v>
      </c>
      <c r="W181" s="5">
        <f t="shared" si="19"/>
        <v>1.0000004975781605</v>
      </c>
      <c r="X181" s="5" t="str">
        <f t="shared" si="20"/>
        <v>Invalid Date</v>
      </c>
      <c r="Y181" s="5">
        <f t="shared" si="21"/>
        <v>3</v>
      </c>
      <c r="Z181" s="5">
        <f t="shared" si="22"/>
        <v>2024</v>
      </c>
      <c r="AA181" t="str">
        <f t="shared" si="23"/>
        <v>Clean</v>
      </c>
    </row>
    <row r="182" spans="1:27" x14ac:dyDescent="0.3">
      <c r="A182" t="str">
        <f>[1]raw_orders!A182</f>
        <v>ORD-2024-10181</v>
      </c>
      <c r="B182" s="4">
        <f>IFERROR(DATEVALUE([1]raw_orders!B182), "Invalid Date")</f>
        <v>45530</v>
      </c>
      <c r="C182" s="4">
        <f>IFERROR(DATEVALUE([1]raw_orders!C182), "Invalid Date")</f>
        <v>45530</v>
      </c>
      <c r="D182" t="str">
        <f>[1]raw_orders!D182</f>
        <v>CUST-3787</v>
      </c>
      <c r="E182" t="str">
        <f>PROPER(TRIM([1]raw_orders!E182))</f>
        <v>Mira Das</v>
      </c>
      <c r="F182" t="str">
        <f>PROPER(TRIM([1]raw_orders!F182))</f>
        <v>Home Office</v>
      </c>
      <c r="G182" t="str">
        <f>IF(TRIM([1]raw_orders!G182)="","Unknown",PROPER(TRIM([1]raw_orders!G182)))</f>
        <v>North</v>
      </c>
      <c r="H182" t="str">
        <f>PROPER(TRIM([1]raw_orders!H182))</f>
        <v>Uttar Pradesh</v>
      </c>
      <c r="I182" t="str">
        <f>PROPER(TRIM([1]raw_orders!I182))</f>
        <v>Noida</v>
      </c>
      <c r="J182" t="str">
        <f>PROPER(TRIM([1]raw_orders!J182))</f>
        <v>Office Supplies</v>
      </c>
      <c r="K182" t="str">
        <f>PROPER(TRIM([1]raw_orders!K182))</f>
        <v>Binders</v>
      </c>
      <c r="L182" t="str">
        <f>[1]raw_orders!L182</f>
        <v>Prime Binders 735</v>
      </c>
      <c r="M182" t="str">
        <f>IF(TRIM([1]raw_orders!M182)="","Unknown",PROPER(TRIM([1]raw_orders!M182)))</f>
        <v>First Class</v>
      </c>
      <c r="N182" s="5">
        <f>[1]raw_orders!N182</f>
        <v>7</v>
      </c>
      <c r="O182" s="5">
        <f>[1]raw_orders!O182</f>
        <v>844.59</v>
      </c>
      <c r="P182" s="5">
        <f>[1]raw_orders!P182</f>
        <v>0.1</v>
      </c>
      <c r="Q182" t="str">
        <f>PROPER(TRIM([1]raw_orders!T182))</f>
        <v>Paid</v>
      </c>
      <c r="R182" t="str">
        <f>PROPER(TRIM([1]raw_orders!U182))</f>
        <v>Completed</v>
      </c>
      <c r="S182" s="5">
        <f>[1]raw_orders!S182</f>
        <v>2279.42</v>
      </c>
      <c r="T182" s="5">
        <f t="shared" si="16"/>
        <v>22.7942</v>
      </c>
      <c r="U182" s="5">
        <f t="shared" si="17"/>
        <v>-128850.143646</v>
      </c>
      <c r="V182" s="5">
        <f t="shared" si="18"/>
        <v>-128850.243646</v>
      </c>
      <c r="W182" s="5">
        <f t="shared" si="19"/>
        <v>1.0000007760953709</v>
      </c>
      <c r="X182" s="5">
        <f t="shared" si="20"/>
        <v>0</v>
      </c>
      <c r="Y182" s="5">
        <f t="shared" si="21"/>
        <v>8</v>
      </c>
      <c r="Z182" s="5">
        <f t="shared" si="22"/>
        <v>2024</v>
      </c>
      <c r="AA182" t="str">
        <f t="shared" si="23"/>
        <v>Clean</v>
      </c>
    </row>
    <row r="183" spans="1:27" x14ac:dyDescent="0.3">
      <c r="A183" t="str">
        <f>[1]raw_orders!A183</f>
        <v>ORD-2025-10182</v>
      </c>
      <c r="B183" s="4">
        <f>IFERROR(DATEVALUE([1]raw_orders!B183), "Invalid Date")</f>
        <v>45909</v>
      </c>
      <c r="C183" s="4">
        <f>IFERROR(DATEVALUE([1]raw_orders!C183), "Invalid Date")</f>
        <v>45910</v>
      </c>
      <c r="D183" t="str">
        <f>[1]raw_orders!D183</f>
        <v>CUST-5119</v>
      </c>
      <c r="E183" t="str">
        <f>PROPER(TRIM([1]raw_orders!E183))</f>
        <v>Priya Menon</v>
      </c>
      <c r="F183" t="str">
        <f>PROPER(TRIM([1]raw_orders!F183))</f>
        <v>Home Office</v>
      </c>
      <c r="G183" t="str">
        <f>IF(TRIM([1]raw_orders!G183)="","Unknown",PROPER(TRIM([1]raw_orders!G183)))</f>
        <v>South</v>
      </c>
      <c r="H183" t="str">
        <f>PROPER(TRIM([1]raw_orders!H183))</f>
        <v>Tamil Nadu</v>
      </c>
      <c r="I183" t="str">
        <f>PROPER(TRIM([1]raw_orders!I183))</f>
        <v>Chennai</v>
      </c>
      <c r="J183" t="str">
        <f>PROPER(TRIM([1]raw_orders!J183))</f>
        <v>Office Supplies</v>
      </c>
      <c r="K183" t="str">
        <f>PROPER(TRIM([1]raw_orders!K183))</f>
        <v>Art</v>
      </c>
      <c r="L183" t="str">
        <f>[1]raw_orders!L183</f>
        <v>Pro Art 587</v>
      </c>
      <c r="M183" t="str">
        <f>IF(TRIM([1]raw_orders!M183)="","Unknown",PROPER(TRIM([1]raw_orders!M183)))</f>
        <v>Second Class</v>
      </c>
      <c r="N183" s="5">
        <f>[1]raw_orders!N183</f>
        <v>4</v>
      </c>
      <c r="O183" s="5">
        <f>[1]raw_orders!O183</f>
        <v>2551.4499999999998</v>
      </c>
      <c r="P183" s="5">
        <f>[1]raw_orders!P183</f>
        <v>0</v>
      </c>
      <c r="Q183" t="str">
        <f>PROPER(TRIM([1]raw_orders!T183))</f>
        <v>Paid</v>
      </c>
      <c r="R183" t="str">
        <f>PROPER(TRIM([1]raw_orders!U183))</f>
        <v>Completed</v>
      </c>
      <c r="S183" s="5">
        <f>[1]raw_orders!S183</f>
        <v>4219.49</v>
      </c>
      <c r="T183" s="5">
        <f t="shared" si="16"/>
        <v>42.194899999999997</v>
      </c>
      <c r="U183" s="5">
        <f t="shared" si="17"/>
        <v>-420426.91041999991</v>
      </c>
      <c r="V183" s="5">
        <f t="shared" si="18"/>
        <v>-420426.91041999991</v>
      </c>
      <c r="W183" s="5">
        <f t="shared" si="19"/>
        <v>1</v>
      </c>
      <c r="X183" s="5">
        <f t="shared" si="20"/>
        <v>1</v>
      </c>
      <c r="Y183" s="5">
        <f t="shared" si="21"/>
        <v>9</v>
      </c>
      <c r="Z183" s="5">
        <f t="shared" si="22"/>
        <v>2025</v>
      </c>
      <c r="AA183" t="str">
        <f t="shared" si="23"/>
        <v>Clean</v>
      </c>
    </row>
    <row r="184" spans="1:27" x14ac:dyDescent="0.3">
      <c r="A184" t="str">
        <f>[1]raw_orders!A184</f>
        <v>ORD-2024-10183</v>
      </c>
      <c r="B184" s="4">
        <f>IFERROR(DATEVALUE([1]raw_orders!B184), "Invalid Date")</f>
        <v>45581</v>
      </c>
      <c r="C184" s="4">
        <f>IFERROR(DATEVALUE([1]raw_orders!C184), "Invalid Date")</f>
        <v>45581</v>
      </c>
      <c r="D184" t="str">
        <f>[1]raw_orders!D184</f>
        <v>CUST-4121</v>
      </c>
      <c r="E184" t="str">
        <f>PROPER(TRIM([1]raw_orders!E184))</f>
        <v>Ananya Rao</v>
      </c>
      <c r="F184" t="str">
        <f>PROPER(TRIM([1]raw_orders!F184))</f>
        <v>Home Office</v>
      </c>
      <c r="G184" t="str">
        <f>IF(TRIM([1]raw_orders!G184)="","Unknown",PROPER(TRIM([1]raw_orders!G184)))</f>
        <v>East</v>
      </c>
      <c r="H184" t="str">
        <f>PROPER(TRIM([1]raw_orders!H184))</f>
        <v>Bihar</v>
      </c>
      <c r="I184" t="str">
        <f>PROPER(TRIM([1]raw_orders!I184))</f>
        <v>Patna</v>
      </c>
      <c r="J184" t="str">
        <f>PROPER(TRIM([1]raw_orders!J184))</f>
        <v>Technology</v>
      </c>
      <c r="K184" t="str">
        <f>PROPER(TRIM([1]raw_orders!K184))</f>
        <v>Machines</v>
      </c>
      <c r="L184" t="str">
        <f>[1]raw_orders!L184</f>
        <v>Basic Machines 575</v>
      </c>
      <c r="M184" t="str">
        <f>IF(TRIM([1]raw_orders!M184)="","Unknown",PROPER(TRIM([1]raw_orders!M184)))</f>
        <v>Standard Class</v>
      </c>
      <c r="N184" s="5">
        <f>[1]raw_orders!N184</f>
        <v>7</v>
      </c>
      <c r="O184" s="5">
        <f>[1]raw_orders!O184</f>
        <v>775.77</v>
      </c>
      <c r="P184" s="5">
        <f>[1]raw_orders!P184</f>
        <v>0</v>
      </c>
      <c r="Q184" t="str">
        <f>PROPER(TRIM([1]raw_orders!T184))</f>
        <v>Paid</v>
      </c>
      <c r="R184" t="str">
        <f>PROPER(TRIM([1]raw_orders!U184))</f>
        <v>Completed</v>
      </c>
      <c r="S184" s="5">
        <f>[1]raw_orders!S184</f>
        <v>1722.73</v>
      </c>
      <c r="T184" s="5">
        <f t="shared" si="16"/>
        <v>17.2273</v>
      </c>
      <c r="U184" s="5">
        <f t="shared" si="17"/>
        <v>-88120.567646999989</v>
      </c>
      <c r="V184" s="5">
        <f t="shared" si="18"/>
        <v>-88120.567646999989</v>
      </c>
      <c r="W184" s="5">
        <f t="shared" si="19"/>
        <v>1</v>
      </c>
      <c r="X184" s="5">
        <f t="shared" si="20"/>
        <v>0</v>
      </c>
      <c r="Y184" s="5">
        <f t="shared" si="21"/>
        <v>10</v>
      </c>
      <c r="Z184" s="5">
        <f t="shared" si="22"/>
        <v>2024</v>
      </c>
      <c r="AA184" t="str">
        <f t="shared" si="23"/>
        <v>Clean</v>
      </c>
    </row>
    <row r="185" spans="1:27" x14ac:dyDescent="0.3">
      <c r="A185" t="str">
        <f>[1]raw_orders!A185</f>
        <v>ORD-2025-10184</v>
      </c>
      <c r="B185" s="4">
        <f>IFERROR(DATEVALUE([1]raw_orders!B185), "Invalid Date")</f>
        <v>45832</v>
      </c>
      <c r="C185" s="4">
        <f>IFERROR(DATEVALUE([1]raw_orders!C185), "Invalid Date")</f>
        <v>45835</v>
      </c>
      <c r="D185" t="str">
        <f>[1]raw_orders!D185</f>
        <v>CUST-3366</v>
      </c>
      <c r="E185" t="str">
        <f>PROPER(TRIM([1]raw_orders!E185))</f>
        <v>Vikram Iyer</v>
      </c>
      <c r="F185" t="str">
        <f>PROPER(TRIM([1]raw_orders!F185))</f>
        <v>Home Office</v>
      </c>
      <c r="G185" t="str">
        <f>IF(TRIM([1]raw_orders!G185)="","Unknown",PROPER(TRIM([1]raw_orders!G185)))</f>
        <v>South</v>
      </c>
      <c r="H185" t="str">
        <f>PROPER(TRIM([1]raw_orders!H185))</f>
        <v>Telangana</v>
      </c>
      <c r="I185" t="str">
        <f>PROPER(TRIM([1]raw_orders!I185))</f>
        <v>Hyderabad</v>
      </c>
      <c r="J185" t="str">
        <f>PROPER(TRIM([1]raw_orders!J185))</f>
        <v>Technology</v>
      </c>
      <c r="K185" t="str">
        <f>PROPER(TRIM([1]raw_orders!K185))</f>
        <v>Copiers</v>
      </c>
      <c r="L185" t="str">
        <f>[1]raw_orders!L185</f>
        <v>Elite Copiers 788</v>
      </c>
      <c r="M185" t="str">
        <f>IF(TRIM([1]raw_orders!M185)="","Unknown",PROPER(TRIM([1]raw_orders!M185)))</f>
        <v>Standard Class</v>
      </c>
      <c r="N185" s="5">
        <f>[1]raw_orders!N185</f>
        <v>7</v>
      </c>
      <c r="O185" s="5">
        <f>[1]raw_orders!O185</f>
        <v>2304.86</v>
      </c>
      <c r="P185" s="5">
        <f>[1]raw_orders!P185</f>
        <v>0.2</v>
      </c>
      <c r="Q185" t="str">
        <f>PROPER(TRIM([1]raw_orders!T185))</f>
        <v>Paid</v>
      </c>
      <c r="R185" t="str">
        <f>PROPER(TRIM([1]raw_orders!U185))</f>
        <v>Returned</v>
      </c>
      <c r="S185" s="5">
        <f>[1]raw_orders!S185</f>
        <v>4579.33</v>
      </c>
      <c r="T185" s="5">
        <f t="shared" si="16"/>
        <v>45.793300000000002</v>
      </c>
      <c r="U185" s="5">
        <f t="shared" si="17"/>
        <v>-722695.99806600006</v>
      </c>
      <c r="V185" s="5">
        <f t="shared" si="18"/>
        <v>-722696.19806600001</v>
      </c>
      <c r="W185" s="5">
        <f t="shared" si="19"/>
        <v>1.0000002767415352</v>
      </c>
      <c r="X185" s="5">
        <f t="shared" si="20"/>
        <v>3</v>
      </c>
      <c r="Y185" s="5">
        <f t="shared" si="21"/>
        <v>6</v>
      </c>
      <c r="Z185" s="5">
        <f t="shared" si="22"/>
        <v>2025</v>
      </c>
      <c r="AA185" t="str">
        <f t="shared" si="23"/>
        <v>Clean</v>
      </c>
    </row>
    <row r="186" spans="1:27" x14ac:dyDescent="0.3">
      <c r="A186" t="str">
        <f>[1]raw_orders!A186</f>
        <v>ORD-2024-10185</v>
      </c>
      <c r="B186" s="4">
        <f>IFERROR(DATEVALUE([1]raw_orders!B186), "Invalid Date")</f>
        <v>45384</v>
      </c>
      <c r="C186" s="4">
        <f>IFERROR(DATEVALUE([1]raw_orders!C186), "Invalid Date")</f>
        <v>45388</v>
      </c>
      <c r="D186" t="str">
        <f>[1]raw_orders!D186</f>
        <v>CUST-1358</v>
      </c>
      <c r="E186" t="str">
        <f>PROPER(TRIM([1]raw_orders!E186))</f>
        <v>Vikram Iyer</v>
      </c>
      <c r="F186" t="str">
        <f>PROPER(TRIM([1]raw_orders!F186))</f>
        <v>Corporate</v>
      </c>
      <c r="G186" t="str">
        <f>IF(TRIM([1]raw_orders!G186)="","Unknown",PROPER(TRIM([1]raw_orders!G186)))</f>
        <v>West</v>
      </c>
      <c r="H186" t="str">
        <f>PROPER(TRIM([1]raw_orders!H186))</f>
        <v>Madhya Pradesh</v>
      </c>
      <c r="I186" t="str">
        <f>PROPER(TRIM([1]raw_orders!I186))</f>
        <v>Indore</v>
      </c>
      <c r="J186" t="str">
        <f>PROPER(TRIM([1]raw_orders!J186))</f>
        <v>Furniture</v>
      </c>
      <c r="K186" t="str">
        <f>PROPER(TRIM([1]raw_orders!K186))</f>
        <v>Bookcases</v>
      </c>
      <c r="L186" t="str">
        <f>[1]raw_orders!L186</f>
        <v>Max Bookcases 472</v>
      </c>
      <c r="M186" t="str">
        <f>IF(TRIM([1]raw_orders!M186)="","Unknown",PROPER(TRIM([1]raw_orders!M186)))</f>
        <v>Standard Class</v>
      </c>
      <c r="N186" s="5">
        <f>[1]raw_orders!N186</f>
        <v>2</v>
      </c>
      <c r="O186" s="5">
        <f>[1]raw_orders!O186</f>
        <v>888.98</v>
      </c>
      <c r="P186" s="5">
        <f>[1]raw_orders!P186</f>
        <v>0</v>
      </c>
      <c r="Q186" t="str">
        <f>PROPER(TRIM([1]raw_orders!T186))</f>
        <v>Refunded</v>
      </c>
      <c r="R186" t="str">
        <f>PROPER(TRIM([1]raw_orders!U186))</f>
        <v>Returned</v>
      </c>
      <c r="S186" s="5">
        <f>[1]raw_orders!S186</f>
        <v>756.8</v>
      </c>
      <c r="T186" s="5">
        <f t="shared" si="16"/>
        <v>7.5679999999999996</v>
      </c>
      <c r="U186" s="5">
        <f t="shared" si="17"/>
        <v>-11677.64128</v>
      </c>
      <c r="V186" s="5">
        <f t="shared" si="18"/>
        <v>-11677.64128</v>
      </c>
      <c r="W186" s="5">
        <f t="shared" si="19"/>
        <v>1</v>
      </c>
      <c r="X186" s="5">
        <f t="shared" si="20"/>
        <v>4</v>
      </c>
      <c r="Y186" s="5">
        <f t="shared" si="21"/>
        <v>4</v>
      </c>
      <c r="Z186" s="5">
        <f t="shared" si="22"/>
        <v>2024</v>
      </c>
      <c r="AA186" t="str">
        <f t="shared" si="23"/>
        <v>Clean</v>
      </c>
    </row>
    <row r="187" spans="1:27" x14ac:dyDescent="0.3">
      <c r="A187" t="str">
        <f>[1]raw_orders!A187</f>
        <v>ORD-2024-10186</v>
      </c>
      <c r="B187" s="4">
        <f>IFERROR(DATEVALUE([1]raw_orders!B187), "Invalid Date")</f>
        <v>45423</v>
      </c>
      <c r="C187" s="4">
        <f>IFERROR(DATEVALUE([1]raw_orders!C187), "Invalid Date")</f>
        <v>45609</v>
      </c>
      <c r="D187" t="str">
        <f>[1]raw_orders!D187</f>
        <v>CUST-4968</v>
      </c>
      <c r="E187" t="str">
        <f>PROPER(TRIM([1]raw_orders!E187))</f>
        <v>Arjun Bose</v>
      </c>
      <c r="F187" t="str">
        <f>PROPER(TRIM([1]raw_orders!F187))</f>
        <v>Consumer</v>
      </c>
      <c r="G187" t="str">
        <f>IF(TRIM([1]raw_orders!G187)="","Unknown",PROPER(TRIM([1]raw_orders!G187)))</f>
        <v>Unknown</v>
      </c>
      <c r="H187" t="str">
        <f>PROPER(TRIM([1]raw_orders!H187))</f>
        <v>Punjab</v>
      </c>
      <c r="I187" t="str">
        <f>PROPER(TRIM([1]raw_orders!I187))</f>
        <v>Ludhiana</v>
      </c>
      <c r="J187" t="str">
        <f>PROPER(TRIM([1]raw_orders!J187))</f>
        <v>Office Supplies</v>
      </c>
      <c r="K187" t="str">
        <f>PROPER(TRIM([1]raw_orders!K187))</f>
        <v>Labels</v>
      </c>
      <c r="L187" t="str">
        <f>[1]raw_orders!L187</f>
        <v>Smart Labels 475</v>
      </c>
      <c r="M187" t="str">
        <f>IF(TRIM([1]raw_orders!M187)="","Unknown",PROPER(TRIM([1]raw_orders!M187)))</f>
        <v>Second Class</v>
      </c>
      <c r="N187" s="5">
        <f>[1]raw_orders!N187</f>
        <v>2</v>
      </c>
      <c r="O187" s="5">
        <f>[1]raw_orders!O187</f>
        <v>1003.17</v>
      </c>
      <c r="P187" s="5">
        <f>[1]raw_orders!P187</f>
        <v>0.2</v>
      </c>
      <c r="Q187" t="str">
        <f>PROPER(TRIM([1]raw_orders!T187))</f>
        <v>Paid</v>
      </c>
      <c r="R187" t="str">
        <f>PROPER(TRIM([1]raw_orders!U187))</f>
        <v>Completed</v>
      </c>
      <c r="S187" s="5">
        <f>[1]raw_orders!S187</f>
        <v>267.79000000000002</v>
      </c>
      <c r="T187" s="5">
        <f t="shared" si="16"/>
        <v>2.6779000000000002</v>
      </c>
      <c r="U187" s="5">
        <f t="shared" si="17"/>
        <v>-3366.4378860000002</v>
      </c>
      <c r="V187" s="5">
        <f t="shared" si="18"/>
        <v>-3366.637886</v>
      </c>
      <c r="W187" s="5">
        <f t="shared" si="19"/>
        <v>1.0000594099777784</v>
      </c>
      <c r="X187" s="5">
        <f t="shared" si="20"/>
        <v>186</v>
      </c>
      <c r="Y187" s="5">
        <f t="shared" si="21"/>
        <v>5</v>
      </c>
      <c r="Z187" s="5">
        <f t="shared" si="22"/>
        <v>2024</v>
      </c>
      <c r="AA187" t="str">
        <f t="shared" si="23"/>
        <v>Warning</v>
      </c>
    </row>
    <row r="188" spans="1:27" x14ac:dyDescent="0.3">
      <c r="A188" t="str">
        <f>[1]raw_orders!A188</f>
        <v>ORD-2024-10187</v>
      </c>
      <c r="B188" s="4">
        <f>IFERROR(DATEVALUE([1]raw_orders!B188), "Invalid Date")</f>
        <v>45492</v>
      </c>
      <c r="C188" s="4">
        <f>IFERROR(DATEVALUE([1]raw_orders!C188), "Invalid Date")</f>
        <v>45493</v>
      </c>
      <c r="D188" t="str">
        <f>[1]raw_orders!D188</f>
        <v>CUST-2778</v>
      </c>
      <c r="E188" t="str">
        <f>PROPER(TRIM([1]raw_orders!E188))</f>
        <v>Vikram Iyer</v>
      </c>
      <c r="F188" t="str">
        <f>PROPER(TRIM([1]raw_orders!F188))</f>
        <v>Consumer</v>
      </c>
      <c r="G188" t="str">
        <f>IF(TRIM([1]raw_orders!G188)="","Unknown",PROPER(TRIM([1]raw_orders!G188)))</f>
        <v>South</v>
      </c>
      <c r="H188" t="str">
        <f>PROPER(TRIM([1]raw_orders!H188))</f>
        <v>Tamil Nadu</v>
      </c>
      <c r="I188" t="str">
        <f>PROPER(TRIM([1]raw_orders!I188))</f>
        <v>Chennai</v>
      </c>
      <c r="J188" t="str">
        <f>PROPER(TRIM([1]raw_orders!J188))</f>
        <v>Furniture</v>
      </c>
      <c r="K188" t="str">
        <f>PROPER(TRIM([1]raw_orders!K188))</f>
        <v>Tables</v>
      </c>
      <c r="L188" t="str">
        <f>[1]raw_orders!L188</f>
        <v>Basic Tables 417</v>
      </c>
      <c r="M188" t="str">
        <f>IF(TRIM([1]raw_orders!M188)="","Unknown",PROPER(TRIM([1]raw_orders!M188)))</f>
        <v>First Class</v>
      </c>
      <c r="N188" s="5">
        <f>[1]raw_orders!N188</f>
        <v>7</v>
      </c>
      <c r="O188" s="5">
        <f>[1]raw_orders!O188</f>
        <v>3608.43</v>
      </c>
      <c r="P188" s="5">
        <f>[1]raw_orders!P188</f>
        <v>0.05</v>
      </c>
      <c r="Q188" t="str">
        <f>PROPER(TRIM([1]raw_orders!T188))</f>
        <v>Paid</v>
      </c>
      <c r="R188" t="str">
        <f>PROPER(TRIM([1]raw_orders!U188))</f>
        <v>Completed</v>
      </c>
      <c r="S188" s="5">
        <f>[1]raw_orders!S188</f>
        <v>3828.78</v>
      </c>
      <c r="T188" s="5">
        <f t="shared" si="16"/>
        <v>38.287800000000004</v>
      </c>
      <c r="U188" s="5">
        <f t="shared" si="17"/>
        <v>-941852.91307800007</v>
      </c>
      <c r="V188" s="5">
        <f t="shared" si="18"/>
        <v>-941852.96307800012</v>
      </c>
      <c r="W188" s="5">
        <f t="shared" si="19"/>
        <v>1.0000000530868454</v>
      </c>
      <c r="X188" s="5">
        <f t="shared" si="20"/>
        <v>1</v>
      </c>
      <c r="Y188" s="5">
        <f t="shared" si="21"/>
        <v>7</v>
      </c>
      <c r="Z188" s="5">
        <f t="shared" si="22"/>
        <v>2024</v>
      </c>
      <c r="AA188" t="str">
        <f t="shared" si="23"/>
        <v>Clean</v>
      </c>
    </row>
    <row r="189" spans="1:27" x14ac:dyDescent="0.3">
      <c r="A189" t="str">
        <f>[1]raw_orders!A189</f>
        <v>ORD-2025-10188</v>
      </c>
      <c r="B189" s="4">
        <f>IFERROR(DATEVALUE([1]raw_orders!B189), "Invalid Date")</f>
        <v>45778</v>
      </c>
      <c r="C189" s="4">
        <f>IFERROR(DATEVALUE([1]raw_orders!C189), "Invalid Date")</f>
        <v>45779</v>
      </c>
      <c r="D189" t="str">
        <f>[1]raw_orders!D189</f>
        <v>CUST-3109</v>
      </c>
      <c r="E189" t="str">
        <f>PROPER(TRIM([1]raw_orders!E189))</f>
        <v>Mira Das</v>
      </c>
      <c r="F189" t="str">
        <f>PROPER(TRIM([1]raw_orders!F189))</f>
        <v>Consumer</v>
      </c>
      <c r="G189" t="str">
        <f>IF(TRIM([1]raw_orders!G189)="","Unknown",PROPER(TRIM([1]raw_orders!G189)))</f>
        <v>West</v>
      </c>
      <c r="H189" t="str">
        <f>PROPER(TRIM([1]raw_orders!H189))</f>
        <v>Madhya Pradesh</v>
      </c>
      <c r="I189" t="str">
        <f>PROPER(TRIM([1]raw_orders!I189))</f>
        <v>Indore</v>
      </c>
      <c r="J189" t="str">
        <f>PROPER(TRIM([1]raw_orders!J189))</f>
        <v>Furniture</v>
      </c>
      <c r="K189" t="str">
        <f>PROPER(TRIM([1]raw_orders!K189))</f>
        <v>Chairs</v>
      </c>
      <c r="L189" t="str">
        <f>[1]raw_orders!L189</f>
        <v>Pro Chairs 844</v>
      </c>
      <c r="M189" t="str">
        <f>IF(TRIM([1]raw_orders!M189)="","Unknown",PROPER(TRIM([1]raw_orders!M189)))</f>
        <v>Same Day</v>
      </c>
      <c r="N189" s="5">
        <f>[1]raw_orders!N189</f>
        <v>3</v>
      </c>
      <c r="O189" s="5">
        <f>[1]raw_orders!O189</f>
        <v>2905.74</v>
      </c>
      <c r="P189" s="5">
        <f>[1]raw_orders!P189</f>
        <v>0</v>
      </c>
      <c r="Q189" t="str">
        <f>PROPER(TRIM([1]raw_orders!T189))</f>
        <v>Paid</v>
      </c>
      <c r="R189" t="str">
        <f>PROPER(TRIM([1]raw_orders!U189))</f>
        <v>Returned</v>
      </c>
      <c r="S189" s="5">
        <f>[1]raw_orders!S189</f>
        <v>2501.2600000000002</v>
      </c>
      <c r="T189" s="5">
        <f t="shared" si="16"/>
        <v>25.012600000000003</v>
      </c>
      <c r="U189" s="5">
        <f t="shared" si="17"/>
        <v>-209323.11697200002</v>
      </c>
      <c r="V189" s="5">
        <f t="shared" si="18"/>
        <v>-209323.11697200002</v>
      </c>
      <c r="W189" s="5">
        <f t="shared" si="19"/>
        <v>1</v>
      </c>
      <c r="X189" s="5">
        <f t="shared" si="20"/>
        <v>1</v>
      </c>
      <c r="Y189" s="5">
        <f t="shared" si="21"/>
        <v>5</v>
      </c>
      <c r="Z189" s="5">
        <f t="shared" si="22"/>
        <v>2025</v>
      </c>
      <c r="AA189" t="str">
        <f t="shared" si="23"/>
        <v>Clean</v>
      </c>
    </row>
    <row r="190" spans="1:27" x14ac:dyDescent="0.3">
      <c r="A190" t="str">
        <f>[1]raw_orders!A190</f>
        <v>ORD-2025-10189</v>
      </c>
      <c r="B190" s="4">
        <f>IFERROR(DATEVALUE([1]raw_orders!B190), "Invalid Date")</f>
        <v>45798</v>
      </c>
      <c r="C190" s="4">
        <f>IFERROR(DATEVALUE([1]raw_orders!C190), "Invalid Date")</f>
        <v>45805</v>
      </c>
      <c r="D190" t="str">
        <f>[1]raw_orders!D190</f>
        <v>CUST-3422</v>
      </c>
      <c r="E190" t="str">
        <f>PROPER(TRIM([1]raw_orders!E190))</f>
        <v>Priya Menon</v>
      </c>
      <c r="F190" t="str">
        <f>PROPER(TRIM([1]raw_orders!F190))</f>
        <v>Corporate</v>
      </c>
      <c r="G190" t="str">
        <f>IF(TRIM([1]raw_orders!G190)="","Unknown",PROPER(TRIM([1]raw_orders!G190)))</f>
        <v>East</v>
      </c>
      <c r="H190" t="str">
        <f>PROPER(TRIM([1]raw_orders!H190))</f>
        <v>West Bengal</v>
      </c>
      <c r="I190" t="str">
        <f>PROPER(TRIM([1]raw_orders!I190))</f>
        <v>Kolkata</v>
      </c>
      <c r="J190" t="str">
        <f>PROPER(TRIM([1]raw_orders!J190))</f>
        <v>Furniture</v>
      </c>
      <c r="K190" t="str">
        <f>PROPER(TRIM([1]raw_orders!K190))</f>
        <v>Bookcases</v>
      </c>
      <c r="L190" t="str">
        <f>[1]raw_orders!L190</f>
        <v>Elite Bookcases 883</v>
      </c>
      <c r="M190" t="str">
        <f>IF(TRIM([1]raw_orders!M190)="","Unknown",PROPER(TRIM([1]raw_orders!M190)))</f>
        <v>Same Day</v>
      </c>
      <c r="N190" s="5">
        <f>[1]raw_orders!N190</f>
        <v>2</v>
      </c>
      <c r="O190" s="5">
        <f>[1]raw_orders!O190</f>
        <v>3559.57</v>
      </c>
      <c r="P190" s="5">
        <f>[1]raw_orders!P190</f>
        <v>0.1</v>
      </c>
      <c r="Q190" t="str">
        <f>PROPER(TRIM([1]raw_orders!T190))</f>
        <v>Paid</v>
      </c>
      <c r="R190" t="str">
        <f>PROPER(TRIM([1]raw_orders!U190))</f>
        <v>Completed</v>
      </c>
      <c r="S190" s="5">
        <f>[1]raw_orders!S190</f>
        <v>1484.14</v>
      </c>
      <c r="T190" s="5">
        <f t="shared" si="16"/>
        <v>14.8414</v>
      </c>
      <c r="U190" s="5">
        <f t="shared" si="17"/>
        <v>-98538.864396000004</v>
      </c>
      <c r="V190" s="5">
        <f t="shared" si="18"/>
        <v>-98538.96439600001</v>
      </c>
      <c r="W190" s="5">
        <f t="shared" si="19"/>
        <v>1.0000010148280134</v>
      </c>
      <c r="X190" s="5">
        <f t="shared" si="20"/>
        <v>7</v>
      </c>
      <c r="Y190" s="5">
        <f t="shared" si="21"/>
        <v>5</v>
      </c>
      <c r="Z190" s="5">
        <f t="shared" si="22"/>
        <v>2025</v>
      </c>
      <c r="AA190" t="str">
        <f t="shared" si="23"/>
        <v>Clean</v>
      </c>
    </row>
    <row r="191" spans="1:27" x14ac:dyDescent="0.3">
      <c r="A191" t="str">
        <f>[1]raw_orders!A191</f>
        <v>ORD-2025-10190</v>
      </c>
      <c r="B191" s="4">
        <f>IFERROR(DATEVALUE([1]raw_orders!B191), "Invalid Date")</f>
        <v>45783</v>
      </c>
      <c r="C191" s="4">
        <f>IFERROR(DATEVALUE([1]raw_orders!C191), "Invalid Date")</f>
        <v>45784</v>
      </c>
      <c r="D191" t="str">
        <f>[1]raw_orders!D191</f>
        <v>CUST-3375</v>
      </c>
      <c r="E191" t="str">
        <f>PROPER(TRIM([1]raw_orders!E191))</f>
        <v>Arjun Bose</v>
      </c>
      <c r="F191" t="str">
        <f>PROPER(TRIM([1]raw_orders!F191))</f>
        <v>Consumer</v>
      </c>
      <c r="G191" t="str">
        <f>IF(TRIM([1]raw_orders!G191)="","Unknown",PROPER(TRIM([1]raw_orders!G191)))</f>
        <v>West</v>
      </c>
      <c r="H191" t="str">
        <f>PROPER(TRIM([1]raw_orders!H191))</f>
        <v>Rajasthan</v>
      </c>
      <c r="I191" t="str">
        <f>PROPER(TRIM([1]raw_orders!I191))</f>
        <v>Udaipur</v>
      </c>
      <c r="J191" t="str">
        <f>PROPER(TRIM([1]raw_orders!J191))</f>
        <v>Furniture</v>
      </c>
      <c r="K191" t="str">
        <f>PROPER(TRIM([1]raw_orders!K191))</f>
        <v>Bookcases</v>
      </c>
      <c r="L191" t="str">
        <f>[1]raw_orders!L191</f>
        <v>Basic Bookcases 754</v>
      </c>
      <c r="M191" t="str">
        <f>IF(TRIM([1]raw_orders!M191)="","Unknown",PROPER(TRIM([1]raw_orders!M191)))</f>
        <v>First Class</v>
      </c>
      <c r="N191" s="5">
        <f>[1]raw_orders!N191</f>
        <v>9</v>
      </c>
      <c r="O191" s="5">
        <f>[1]raw_orders!O191</f>
        <v>3318.24</v>
      </c>
      <c r="P191" s="5">
        <f>[1]raw_orders!P191</f>
        <v>0</v>
      </c>
      <c r="Q191" t="str">
        <f>PROPER(TRIM([1]raw_orders!T191))</f>
        <v>Paid</v>
      </c>
      <c r="R191" t="str">
        <f>PROPER(TRIM([1]raw_orders!U191))</f>
        <v>Completed</v>
      </c>
      <c r="S191" s="5">
        <f>[1]raw_orders!S191</f>
        <v>8512.15</v>
      </c>
      <c r="T191" s="5">
        <f t="shared" si="16"/>
        <v>85.121499999999997</v>
      </c>
      <c r="U191" s="5">
        <f t="shared" si="17"/>
        <v>-2512217.9354399997</v>
      </c>
      <c r="V191" s="5">
        <f t="shared" si="18"/>
        <v>-2512217.9354399997</v>
      </c>
      <c r="W191" s="5">
        <f t="shared" si="19"/>
        <v>1</v>
      </c>
      <c r="X191" s="5">
        <f t="shared" si="20"/>
        <v>1</v>
      </c>
      <c r="Y191" s="5">
        <f t="shared" si="21"/>
        <v>5</v>
      </c>
      <c r="Z191" s="5">
        <f t="shared" si="22"/>
        <v>2025</v>
      </c>
      <c r="AA191" t="str">
        <f t="shared" si="23"/>
        <v>Clean</v>
      </c>
    </row>
    <row r="192" spans="1:27" x14ac:dyDescent="0.3">
      <c r="A192" t="str">
        <f>[1]raw_orders!A192</f>
        <v>ORD-2025-10191</v>
      </c>
      <c r="B192" s="4">
        <f>IFERROR(DATEVALUE([1]raw_orders!B192), "Invalid Date")</f>
        <v>45767</v>
      </c>
      <c r="C192" s="4" t="str">
        <f>IFERROR(DATEVALUE([1]raw_orders!C192), "Invalid Date")</f>
        <v>Invalid Date</v>
      </c>
      <c r="D192" t="str">
        <f>[1]raw_orders!D192</f>
        <v>CUST-5138</v>
      </c>
      <c r="E192" t="str">
        <f>PROPER(TRIM([1]raw_orders!E192))</f>
        <v>Aditi Sen</v>
      </c>
      <c r="F192" t="str">
        <f>PROPER(TRIM([1]raw_orders!F192))</f>
        <v>Consumer</v>
      </c>
      <c r="G192" t="str">
        <f>IF(TRIM([1]raw_orders!G192)="","Unknown",PROPER(TRIM([1]raw_orders!G192)))</f>
        <v>South</v>
      </c>
      <c r="H192" t="str">
        <f>PROPER(TRIM([1]raw_orders!H192))</f>
        <v>Tamil Nadu</v>
      </c>
      <c r="I192" t="str">
        <f>PROPER(TRIM([1]raw_orders!I192))</f>
        <v>Chennai</v>
      </c>
      <c r="J192" t="str">
        <f>PROPER(TRIM([1]raw_orders!J192))</f>
        <v>Office Supplies</v>
      </c>
      <c r="K192" t="str">
        <f>PROPER(TRIM([1]raw_orders!K192))</f>
        <v>Storage</v>
      </c>
      <c r="L192" t="str">
        <f>[1]raw_orders!L192</f>
        <v>Eco Storage 158</v>
      </c>
      <c r="M192" t="str">
        <f>IF(TRIM([1]raw_orders!M192)="","Unknown",PROPER(TRIM([1]raw_orders!M192)))</f>
        <v>First Class</v>
      </c>
      <c r="N192" s="5">
        <f>[1]raw_orders!N192</f>
        <v>3</v>
      </c>
      <c r="O192" s="5">
        <f>[1]raw_orders!O192</f>
        <v>540.09</v>
      </c>
      <c r="P192" s="5">
        <f>[1]raw_orders!P192</f>
        <v>0.1</v>
      </c>
      <c r="Q192" t="str">
        <f>PROPER(TRIM([1]raw_orders!T192))</f>
        <v>Paid</v>
      </c>
      <c r="R192" t="str">
        <f>PROPER(TRIM([1]raw_orders!U192))</f>
        <v>Completed</v>
      </c>
      <c r="S192" s="5">
        <f>[1]raw_orders!S192</f>
        <v>514.91999999999996</v>
      </c>
      <c r="T192" s="5">
        <f t="shared" si="16"/>
        <v>5.1491999999999996</v>
      </c>
      <c r="U192" s="5">
        <f t="shared" si="17"/>
        <v>-6722.8242839999994</v>
      </c>
      <c r="V192" s="5">
        <f t="shared" si="18"/>
        <v>-6722.9242839999997</v>
      </c>
      <c r="W192" s="5">
        <f t="shared" si="19"/>
        <v>1.0000148747008364</v>
      </c>
      <c r="X192" s="5" t="str">
        <f t="shared" si="20"/>
        <v>Invalid Date</v>
      </c>
      <c r="Y192" s="5">
        <f t="shared" si="21"/>
        <v>4</v>
      </c>
      <c r="Z192" s="5">
        <f t="shared" si="22"/>
        <v>2025</v>
      </c>
      <c r="AA192" t="str">
        <f t="shared" si="23"/>
        <v>Clean</v>
      </c>
    </row>
    <row r="193" spans="1:27" x14ac:dyDescent="0.3">
      <c r="A193" t="str">
        <f>[1]raw_orders!A193</f>
        <v>ORD-2024-10192</v>
      </c>
      <c r="B193" s="4">
        <f>IFERROR(DATEVALUE([1]raw_orders!B193), "Invalid Date")</f>
        <v>45584</v>
      </c>
      <c r="C193" s="4">
        <f>IFERROR(DATEVALUE([1]raw_orders!C193), "Invalid Date")</f>
        <v>45589</v>
      </c>
      <c r="D193" t="str">
        <f>[1]raw_orders!D193</f>
        <v>CUST-7410</v>
      </c>
      <c r="E193" t="str">
        <f>PROPER(TRIM([1]raw_orders!E193))</f>
        <v>Sneha Kapoor</v>
      </c>
      <c r="F193" t="str">
        <f>PROPER(TRIM([1]raw_orders!F193))</f>
        <v>Small Business</v>
      </c>
      <c r="G193" t="str">
        <f>IF(TRIM([1]raw_orders!G193)="","Unknown",PROPER(TRIM([1]raw_orders!G193)))</f>
        <v>South</v>
      </c>
      <c r="H193" t="str">
        <f>PROPER(TRIM([1]raw_orders!H193))</f>
        <v>Tamil Nadu</v>
      </c>
      <c r="I193" t="str">
        <f>PROPER(TRIM([1]raw_orders!I193))</f>
        <v>Chennai</v>
      </c>
      <c r="J193" t="str">
        <f>PROPER(TRIM([1]raw_orders!J193))</f>
        <v>Furniture</v>
      </c>
      <c r="K193" t="str">
        <f>PROPER(TRIM([1]raw_orders!K193))</f>
        <v>Bookcases</v>
      </c>
      <c r="L193" t="str">
        <f>[1]raw_orders!L193</f>
        <v>Prime Bookcases 602</v>
      </c>
      <c r="M193" t="str">
        <f>IF(TRIM([1]raw_orders!M193)="","Unknown",PROPER(TRIM([1]raw_orders!M193)))</f>
        <v>Second Class</v>
      </c>
      <c r="N193" s="5">
        <f>[1]raw_orders!N193</f>
        <v>6</v>
      </c>
      <c r="O193" s="5">
        <f>[1]raw_orders!O193</f>
        <v>4308.3999999999996</v>
      </c>
      <c r="P193" s="5">
        <f>[1]raw_orders!P193</f>
        <v>0.65</v>
      </c>
      <c r="Q193" t="str">
        <f>PROPER(TRIM([1]raw_orders!T193))</f>
        <v>Paid</v>
      </c>
      <c r="R193" t="str">
        <f>PROPER(TRIM([1]raw_orders!U193))</f>
        <v>Completed</v>
      </c>
      <c r="S193" s="5">
        <f>[1]raw_orders!S193</f>
        <v>6452.72</v>
      </c>
      <c r="T193" s="5">
        <f t="shared" si="16"/>
        <v>64.527200000000008</v>
      </c>
      <c r="U193" s="5">
        <f t="shared" si="17"/>
        <v>-1642203.53088</v>
      </c>
      <c r="V193" s="5">
        <f t="shared" si="18"/>
        <v>-1642204.1808799999</v>
      </c>
      <c r="W193" s="5">
        <f t="shared" si="19"/>
        <v>1.0000003958096471</v>
      </c>
      <c r="X193" s="5">
        <f t="shared" si="20"/>
        <v>5</v>
      </c>
      <c r="Y193" s="5">
        <f t="shared" si="21"/>
        <v>10</v>
      </c>
      <c r="Z193" s="5">
        <f t="shared" si="22"/>
        <v>2024</v>
      </c>
      <c r="AA193" t="str">
        <f t="shared" si="23"/>
        <v>Clean</v>
      </c>
    </row>
    <row r="194" spans="1:27" x14ac:dyDescent="0.3">
      <c r="A194" t="str">
        <f>[1]raw_orders!A194</f>
        <v>ORD-2024-10193</v>
      </c>
      <c r="B194" s="4">
        <f>IFERROR(DATEVALUE([1]raw_orders!B194), "Invalid Date")</f>
        <v>45635</v>
      </c>
      <c r="C194" s="4" t="str">
        <f>IFERROR(DATEVALUE([1]raw_orders!C194), "Invalid Date")</f>
        <v>Invalid Date</v>
      </c>
      <c r="D194" t="str">
        <f>[1]raw_orders!D194</f>
        <v>CUST-7115</v>
      </c>
      <c r="E194" t="str">
        <f>PROPER(TRIM([1]raw_orders!E194))</f>
        <v>Isha Nair</v>
      </c>
      <c r="F194" t="str">
        <f>PROPER(TRIM([1]raw_orders!F194))</f>
        <v>Home Office</v>
      </c>
      <c r="G194" t="str">
        <f>IF(TRIM([1]raw_orders!G194)="","Unknown",PROPER(TRIM([1]raw_orders!G194)))</f>
        <v>West</v>
      </c>
      <c r="H194" t="str">
        <f>PROPER(TRIM([1]raw_orders!H194))</f>
        <v>Gujarat</v>
      </c>
      <c r="I194" t="str">
        <f>PROPER(TRIM([1]raw_orders!I194))</f>
        <v>Ahmedabad</v>
      </c>
      <c r="J194" t="str">
        <f>PROPER(TRIM([1]raw_orders!J194))</f>
        <v>Furniture</v>
      </c>
      <c r="K194" t="str">
        <f>PROPER(TRIM([1]raw_orders!K194))</f>
        <v>Chairs</v>
      </c>
      <c r="L194" t="str">
        <f>[1]raw_orders!L194</f>
        <v>Eco Chairs 438</v>
      </c>
      <c r="M194" t="str">
        <f>IF(TRIM([1]raw_orders!M194)="","Unknown",PROPER(TRIM([1]raw_orders!M194)))</f>
        <v>First Class</v>
      </c>
      <c r="N194" s="5">
        <f>[1]raw_orders!N194</f>
        <v>4</v>
      </c>
      <c r="O194" s="5">
        <f>[1]raw_orders!O194</f>
        <v>2191.0300000000002</v>
      </c>
      <c r="P194" s="5">
        <f>[1]raw_orders!P194</f>
        <v>0</v>
      </c>
      <c r="Q194" t="str">
        <f>PROPER(TRIM([1]raw_orders!T194))</f>
        <v>Paid</v>
      </c>
      <c r="R194" t="str">
        <f>PROPER(TRIM([1]raw_orders!U194))</f>
        <v>Completed</v>
      </c>
      <c r="S194" s="5">
        <f>[1]raw_orders!S194</f>
        <v>1544.07</v>
      </c>
      <c r="T194" s="5">
        <f t="shared" si="16"/>
        <v>15.4407</v>
      </c>
      <c r="U194" s="5">
        <f t="shared" si="17"/>
        <v>-126560.02768400002</v>
      </c>
      <c r="V194" s="5">
        <f t="shared" si="18"/>
        <v>-126560.02768400002</v>
      </c>
      <c r="W194" s="5">
        <f t="shared" si="19"/>
        <v>1</v>
      </c>
      <c r="X194" s="5" t="str">
        <f t="shared" si="20"/>
        <v>Invalid Date</v>
      </c>
      <c r="Y194" s="5">
        <f t="shared" si="21"/>
        <v>12</v>
      </c>
      <c r="Z194" s="5">
        <f t="shared" si="22"/>
        <v>2024</v>
      </c>
      <c r="AA194" t="str">
        <f t="shared" si="23"/>
        <v>Clean</v>
      </c>
    </row>
    <row r="195" spans="1:27" x14ac:dyDescent="0.3">
      <c r="A195" t="str">
        <f>[1]raw_orders!A195</f>
        <v>ORD-2024-10194</v>
      </c>
      <c r="B195" s="4">
        <f>IFERROR(DATEVALUE([1]raw_orders!B195), "Invalid Date")</f>
        <v>45466</v>
      </c>
      <c r="C195" s="4">
        <f>IFERROR(DATEVALUE([1]raw_orders!C195), "Invalid Date")</f>
        <v>45471</v>
      </c>
      <c r="D195" t="str">
        <f>[1]raw_orders!D195</f>
        <v>CUST-9853</v>
      </c>
      <c r="E195" t="str">
        <f>PROPER(TRIM([1]raw_orders!E195))</f>
        <v>Priya Menon</v>
      </c>
      <c r="F195" t="str">
        <f>PROPER(TRIM([1]raw_orders!F195))</f>
        <v>Small Business</v>
      </c>
      <c r="G195" t="str">
        <f>IF(TRIM([1]raw_orders!G195)="","Unknown",PROPER(TRIM([1]raw_orders!G195)))</f>
        <v>North</v>
      </c>
      <c r="H195" t="str">
        <f>PROPER(TRIM([1]raw_orders!H195))</f>
        <v>Punjab</v>
      </c>
      <c r="I195" t="str">
        <f>PROPER(TRIM([1]raw_orders!I195))</f>
        <v>Ludhiana</v>
      </c>
      <c r="J195" t="str">
        <f>PROPER(TRIM([1]raw_orders!J195))</f>
        <v>Technology</v>
      </c>
      <c r="K195" t="str">
        <f>PROPER(TRIM([1]raw_orders!K195))</f>
        <v>Copiers</v>
      </c>
      <c r="L195" t="str">
        <f>[1]raw_orders!L195</f>
        <v>Prime Copiers 142</v>
      </c>
      <c r="M195" t="str">
        <f>IF(TRIM([1]raw_orders!M195)="","Unknown",PROPER(TRIM([1]raw_orders!M195)))</f>
        <v>Same Day</v>
      </c>
      <c r="N195" s="5">
        <f>[1]raw_orders!N195</f>
        <v>6</v>
      </c>
      <c r="O195" s="5">
        <f>[1]raw_orders!O195</f>
        <v>1956.63</v>
      </c>
      <c r="P195" s="5">
        <f>[1]raw_orders!P195</f>
        <v>0.2</v>
      </c>
      <c r="Q195" t="str">
        <f>PROPER(TRIM([1]raw_orders!T195))</f>
        <v>Refunded</v>
      </c>
      <c r="R195" t="str">
        <f>PROPER(TRIM([1]raw_orders!U195))</f>
        <v>Returned</v>
      </c>
      <c r="S195" s="5">
        <f>[1]raw_orders!S195</f>
        <v>3378.6</v>
      </c>
      <c r="T195" s="5">
        <f t="shared" ref="T195:T258" si="24">IF(AND(ISNUMBER(S195),S195&gt;=0,S195&lt;=1),S195,IF(S195="",0,IF(S195&lt;0,"INVALID - Negative",IF(S195&gt;1,S195/100,"INVALID"))))</f>
        <v>33.786000000000001</v>
      </c>
      <c r="U195" s="5">
        <f t="shared" ref="U195:U258" si="25">IF(AND(ISNUMBER(N195),ISNUMBER(O195),OR(ISNUMBER(T195),T195=0)),N195*O195*(1-IF(ISNUMBER(T195),T195,0)),"Calculation Error")</f>
        <v>-384900.42708000005</v>
      </c>
      <c r="V195" s="5">
        <f t="shared" ref="V195:V258" si="26">IF(AND(ISNUMBER(U195),ISNUMBER(P195)),U195-P195,"Calculation Error")</f>
        <v>-384900.62708000006</v>
      </c>
      <c r="W195" s="5">
        <f t="shared" ref="W195:W258" si="27">IF(AND(ISNUMBER(V195),ISNUMBER(U195),U195&lt;&gt;0),V195/U195,IF(U195=0,"N/A","Calculation Error"))</f>
        <v>1.000000519614908</v>
      </c>
      <c r="X195" s="5">
        <f t="shared" ref="X195:X258" si="28">IF(AND(ISNUMBER(B195),ISNUMBER(C195)),C195-B195,"Invalid Date")</f>
        <v>5</v>
      </c>
      <c r="Y195" s="5">
        <f t="shared" ref="Y195:Y258" si="29">MONTH(B195)</f>
        <v>6</v>
      </c>
      <c r="Z195" s="5">
        <f t="shared" ref="Z195:Z258" si="30">YEAR(B195)</f>
        <v>2024</v>
      </c>
      <c r="AA195" t="str">
        <f t="shared" ref="AA195:AA258" si="31">IF(OR(G195="Unknown",M195="Unknown",T195="INVALID - Negative",T195="INVALID",X195&lt;0,R195="Duplicate ID - Review Required"),IF(OR(T195="INVALID - Negative",T195="INVALID",X195&lt;0,R195="Duplicate ID - Review Required"),"Invalid","Warning"),"Clean")</f>
        <v>Clean</v>
      </c>
    </row>
    <row r="196" spans="1:27" x14ac:dyDescent="0.3">
      <c r="A196" t="str">
        <f>[1]raw_orders!A196</f>
        <v>ORD-2025-10195</v>
      </c>
      <c r="B196" s="4">
        <f>IFERROR(DATEVALUE([1]raw_orders!B196), "Invalid Date")</f>
        <v>45685</v>
      </c>
      <c r="C196" s="4" t="str">
        <f>IFERROR(DATEVALUE([1]raw_orders!C196), "Invalid Date")</f>
        <v>Invalid Date</v>
      </c>
      <c r="D196" t="str">
        <f>[1]raw_orders!D196</f>
        <v>CUST-3637</v>
      </c>
      <c r="E196" t="str">
        <f>PROPER(TRIM([1]raw_orders!E196))</f>
        <v>Priya Menon</v>
      </c>
      <c r="F196" t="str">
        <f>PROPER(TRIM([1]raw_orders!F196))</f>
        <v>Consumer</v>
      </c>
      <c r="G196" t="str">
        <f>IF(TRIM([1]raw_orders!G196)="","Unknown",PROPER(TRIM([1]raw_orders!G196)))</f>
        <v>West</v>
      </c>
      <c r="H196" t="str">
        <f>PROPER(TRIM([1]raw_orders!H196))</f>
        <v>Maharashtra</v>
      </c>
      <c r="I196" t="str">
        <f>PROPER(TRIM([1]raw_orders!I196))</f>
        <v>Mumbai</v>
      </c>
      <c r="J196" t="str">
        <f>PROPER(TRIM([1]raw_orders!J196))</f>
        <v>Furniture</v>
      </c>
      <c r="K196" t="str">
        <f>PROPER(TRIM([1]raw_orders!K196))</f>
        <v>Furnishings</v>
      </c>
      <c r="L196" t="str">
        <f>[1]raw_orders!L196</f>
        <v>Prime Furnishings 433</v>
      </c>
      <c r="M196" t="str">
        <f>IF(TRIM([1]raw_orders!M196)="","Unknown",PROPER(TRIM([1]raw_orders!M196)))</f>
        <v>First Class</v>
      </c>
      <c r="N196" s="5">
        <f>[1]raw_orders!N196</f>
        <v>9</v>
      </c>
      <c r="O196" s="5">
        <f>[1]raw_orders!O196</f>
        <v>858.39</v>
      </c>
      <c r="P196" s="5">
        <f>[1]raw_orders!P196</f>
        <v>0.05</v>
      </c>
      <c r="Q196" t="str">
        <f>PROPER(TRIM([1]raw_orders!T196))</f>
        <v>Pending</v>
      </c>
      <c r="R196" t="str">
        <f>PROPER(TRIM([1]raw_orders!U196))</f>
        <v>Returned</v>
      </c>
      <c r="S196" s="5">
        <f>[1]raw_orders!S196</f>
        <v>1905.11</v>
      </c>
      <c r="T196" s="5">
        <f t="shared" si="24"/>
        <v>19.051099999999998</v>
      </c>
      <c r="U196" s="5">
        <f t="shared" si="25"/>
        <v>-139453.953561</v>
      </c>
      <c r="V196" s="5">
        <f t="shared" si="26"/>
        <v>-139454.00356099999</v>
      </c>
      <c r="W196" s="5">
        <f t="shared" si="27"/>
        <v>1.0000003585412871</v>
      </c>
      <c r="X196" s="5" t="str">
        <f t="shared" si="28"/>
        <v>Invalid Date</v>
      </c>
      <c r="Y196" s="5">
        <f t="shared" si="29"/>
        <v>1</v>
      </c>
      <c r="Z196" s="5">
        <f t="shared" si="30"/>
        <v>2025</v>
      </c>
      <c r="AA196" t="str">
        <f t="shared" si="31"/>
        <v>Clean</v>
      </c>
    </row>
    <row r="197" spans="1:27" x14ac:dyDescent="0.3">
      <c r="A197" t="str">
        <f>[1]raw_orders!A197</f>
        <v>ORD-2025-10196</v>
      </c>
      <c r="B197" s="4">
        <f>IFERROR(DATEVALUE([1]raw_orders!B197), "Invalid Date")</f>
        <v>45860</v>
      </c>
      <c r="C197" s="4" t="str">
        <f>IFERROR(DATEVALUE([1]raw_orders!C197), "Invalid Date")</f>
        <v>Invalid Date</v>
      </c>
      <c r="D197" t="str">
        <f>[1]raw_orders!D197</f>
        <v>CUST-4328</v>
      </c>
      <c r="E197" t="str">
        <f>PROPER(TRIM([1]raw_orders!E197))</f>
        <v>Neha Gupta</v>
      </c>
      <c r="F197" t="str">
        <f>PROPER(TRIM([1]raw_orders!F197))</f>
        <v>Home Office</v>
      </c>
      <c r="G197" t="str">
        <f>IF(TRIM([1]raw_orders!G197)="","Unknown",PROPER(TRIM([1]raw_orders!G197)))</f>
        <v>South</v>
      </c>
      <c r="H197" t="str">
        <f>PROPER(TRIM([1]raw_orders!H197))</f>
        <v>Andhra Pradesh</v>
      </c>
      <c r="I197" t="str">
        <f>PROPER(TRIM([1]raw_orders!I197))</f>
        <v>Vijayawada</v>
      </c>
      <c r="J197" t="str">
        <f>PROPER(TRIM([1]raw_orders!J197))</f>
        <v>Furniture</v>
      </c>
      <c r="K197" t="str">
        <f>PROPER(TRIM([1]raw_orders!K197))</f>
        <v>Furnishings</v>
      </c>
      <c r="L197" t="str">
        <f>[1]raw_orders!L197</f>
        <v>Smart Furnishings 685</v>
      </c>
      <c r="M197" t="str">
        <f>IF(TRIM([1]raw_orders!M197)="","Unknown",PROPER(TRIM([1]raw_orders!M197)))</f>
        <v>Same Day</v>
      </c>
      <c r="N197" s="5">
        <f>[1]raw_orders!N197</f>
        <v>5</v>
      </c>
      <c r="O197" s="5">
        <f>[1]raw_orders!O197</f>
        <v>1922.83</v>
      </c>
      <c r="P197" s="5">
        <f>[1]raw_orders!P197</f>
        <v>0</v>
      </c>
      <c r="Q197" t="str">
        <f>PROPER(TRIM([1]raw_orders!T197))</f>
        <v>Paid</v>
      </c>
      <c r="R197" t="str">
        <f>PROPER(TRIM([1]raw_orders!U197))</f>
        <v>Completed</v>
      </c>
      <c r="S197" s="5">
        <f>[1]raw_orders!S197</f>
        <v>2037.31</v>
      </c>
      <c r="T197" s="5">
        <f t="shared" si="24"/>
        <v>20.373100000000001</v>
      </c>
      <c r="U197" s="5">
        <f t="shared" si="25"/>
        <v>-186255.88936500001</v>
      </c>
      <c r="V197" s="5">
        <f t="shared" si="26"/>
        <v>-186255.88936500001</v>
      </c>
      <c r="W197" s="5">
        <f t="shared" si="27"/>
        <v>1</v>
      </c>
      <c r="X197" s="5" t="str">
        <f t="shared" si="28"/>
        <v>Invalid Date</v>
      </c>
      <c r="Y197" s="5">
        <f t="shared" si="29"/>
        <v>7</v>
      </c>
      <c r="Z197" s="5">
        <f t="shared" si="30"/>
        <v>2025</v>
      </c>
      <c r="AA197" t="str">
        <f t="shared" si="31"/>
        <v>Clean</v>
      </c>
    </row>
    <row r="198" spans="1:27" x14ac:dyDescent="0.3">
      <c r="A198" t="str">
        <f>[1]raw_orders!A198</f>
        <v>ORD-2024-10197</v>
      </c>
      <c r="B198" s="4">
        <f>IFERROR(DATEVALUE([1]raw_orders!B198), "Invalid Date")</f>
        <v>45313</v>
      </c>
      <c r="C198" s="4">
        <f>IFERROR(DATEVALUE([1]raw_orders!C198), "Invalid Date")</f>
        <v>45316</v>
      </c>
      <c r="D198" t="str">
        <f>[1]raw_orders!D198</f>
        <v>CUST-8028</v>
      </c>
      <c r="E198" t="str">
        <f>PROPER(TRIM([1]raw_orders!E198))</f>
        <v>Kabir Singh</v>
      </c>
      <c r="F198" t="str">
        <f>PROPER(TRIM([1]raw_orders!F198))</f>
        <v>Home Office</v>
      </c>
      <c r="G198" t="str">
        <f>IF(TRIM([1]raw_orders!G198)="","Unknown",PROPER(TRIM([1]raw_orders!G198)))</f>
        <v>North</v>
      </c>
      <c r="H198" t="str">
        <f>PROPER(TRIM([1]raw_orders!H198))</f>
        <v>Uttar Pradesh</v>
      </c>
      <c r="I198" t="str">
        <f>PROPER(TRIM([1]raw_orders!I198))</f>
        <v>Noida</v>
      </c>
      <c r="J198" t="str">
        <f>PROPER(TRIM([1]raw_orders!J198))</f>
        <v>Office Supplies</v>
      </c>
      <c r="K198" t="str">
        <f>PROPER(TRIM([1]raw_orders!K198))</f>
        <v>Storage</v>
      </c>
      <c r="L198" t="str">
        <f>[1]raw_orders!L198</f>
        <v>Elite Storage 915</v>
      </c>
      <c r="M198" t="str">
        <f>IF(TRIM([1]raw_orders!M198)="","Unknown",PROPER(TRIM([1]raw_orders!M198)))</f>
        <v>First Class</v>
      </c>
      <c r="N198" s="5">
        <f>[1]raw_orders!N198</f>
        <v>3</v>
      </c>
      <c r="O198" s="5">
        <f>[1]raw_orders!O198</f>
        <v>1212.03</v>
      </c>
      <c r="P198" s="5">
        <f>[1]raw_orders!P198</f>
        <v>0.1</v>
      </c>
      <c r="Q198" t="str">
        <f>PROPER(TRIM([1]raw_orders!T198))</f>
        <v>Paid</v>
      </c>
      <c r="R198" t="str">
        <f>PROPER(TRIM([1]raw_orders!U198))</f>
        <v>Completed</v>
      </c>
      <c r="S198" s="5">
        <f>[1]raw_orders!S198</f>
        <v>755.04</v>
      </c>
      <c r="T198" s="5">
        <f t="shared" si="24"/>
        <v>7.5503999999999998</v>
      </c>
      <c r="U198" s="5">
        <f t="shared" si="25"/>
        <v>-23817.843936000001</v>
      </c>
      <c r="V198" s="5">
        <f t="shared" si="26"/>
        <v>-23817.943936</v>
      </c>
      <c r="W198" s="5">
        <f t="shared" si="27"/>
        <v>1.0000041985328423</v>
      </c>
      <c r="X198" s="5">
        <f t="shared" si="28"/>
        <v>3</v>
      </c>
      <c r="Y198" s="5">
        <f t="shared" si="29"/>
        <v>1</v>
      </c>
      <c r="Z198" s="5">
        <f t="shared" si="30"/>
        <v>2024</v>
      </c>
      <c r="AA198" t="str">
        <f t="shared" si="31"/>
        <v>Clean</v>
      </c>
    </row>
    <row r="199" spans="1:27" x14ac:dyDescent="0.3">
      <c r="A199" t="str">
        <f>[1]raw_orders!A199</f>
        <v>ORD-2025-10198</v>
      </c>
      <c r="B199" s="4">
        <f>IFERROR(DATEVALUE([1]raw_orders!B199), "Invalid Date")</f>
        <v>45747</v>
      </c>
      <c r="C199" s="4">
        <f>IFERROR(DATEVALUE([1]raw_orders!C199), "Invalid Date")</f>
        <v>45754</v>
      </c>
      <c r="D199" t="str">
        <f>[1]raw_orders!D199</f>
        <v>CUST-6106</v>
      </c>
      <c r="E199" t="str">
        <f>PROPER(TRIM([1]raw_orders!E199))</f>
        <v>Rahul Verma</v>
      </c>
      <c r="F199" t="str">
        <f>PROPER(TRIM([1]raw_orders!F199))</f>
        <v>Small Business</v>
      </c>
      <c r="G199" t="str">
        <f>IF(TRIM([1]raw_orders!G199)="","Unknown",PROPER(TRIM([1]raw_orders!G199)))</f>
        <v>East</v>
      </c>
      <c r="H199" t="str">
        <f>PROPER(TRIM([1]raw_orders!H199))</f>
        <v>Bihar</v>
      </c>
      <c r="I199" t="str">
        <f>PROPER(TRIM([1]raw_orders!I199))</f>
        <v>Patna</v>
      </c>
      <c r="J199" t="str">
        <f>PROPER(TRIM([1]raw_orders!J199))</f>
        <v>Office Supplies</v>
      </c>
      <c r="K199" t="str">
        <f>PROPER(TRIM([1]raw_orders!K199))</f>
        <v>Storage</v>
      </c>
      <c r="L199" t="str">
        <f>[1]raw_orders!L199</f>
        <v>Basic Storage 961</v>
      </c>
      <c r="M199" t="str">
        <f>IF(TRIM([1]raw_orders!M199)="","Unknown",PROPER(TRIM([1]raw_orders!M199)))</f>
        <v>Second Class</v>
      </c>
      <c r="N199" s="5">
        <f>[1]raw_orders!N199</f>
        <v>5</v>
      </c>
      <c r="O199" s="5">
        <f>[1]raw_orders!O199</f>
        <v>4096.4399999999996</v>
      </c>
      <c r="P199" s="5">
        <f>[1]raw_orders!P199</f>
        <v>0.15</v>
      </c>
      <c r="Q199" t="str">
        <f>PROPER(TRIM([1]raw_orders!T199))</f>
        <v>Paid</v>
      </c>
      <c r="R199" t="str">
        <f>PROPER(TRIM([1]raw_orders!U199))</f>
        <v>Completed</v>
      </c>
      <c r="S199" s="5">
        <f>[1]raw_orders!S199</f>
        <v>3333.62</v>
      </c>
      <c r="T199" s="5">
        <f t="shared" si="24"/>
        <v>33.336199999999998</v>
      </c>
      <c r="U199" s="5">
        <f t="shared" si="25"/>
        <v>-662316.51563999988</v>
      </c>
      <c r="V199" s="5">
        <f t="shared" si="26"/>
        <v>-662316.6656399999</v>
      </c>
      <c r="W199" s="5">
        <f t="shared" si="27"/>
        <v>1.0000002264778192</v>
      </c>
      <c r="X199" s="5">
        <f t="shared" si="28"/>
        <v>7</v>
      </c>
      <c r="Y199" s="5">
        <f t="shared" si="29"/>
        <v>3</v>
      </c>
      <c r="Z199" s="5">
        <f t="shared" si="30"/>
        <v>2025</v>
      </c>
      <c r="AA199" t="str">
        <f t="shared" si="31"/>
        <v>Clean</v>
      </c>
    </row>
    <row r="200" spans="1:27" x14ac:dyDescent="0.3">
      <c r="A200" t="str">
        <f>[1]raw_orders!A200</f>
        <v>ORD-2024-10199</v>
      </c>
      <c r="B200" s="4">
        <f>IFERROR(DATEVALUE([1]raw_orders!B200), "Invalid Date")</f>
        <v>45448</v>
      </c>
      <c r="C200" s="4">
        <f>IFERROR(DATEVALUE([1]raw_orders!C200), "Invalid Date")</f>
        <v>45449</v>
      </c>
      <c r="D200" t="str">
        <f>[1]raw_orders!D200</f>
        <v>CUST-7820</v>
      </c>
      <c r="E200" t="str">
        <f>PROPER(TRIM([1]raw_orders!E200))</f>
        <v>Sneha Kapoor</v>
      </c>
      <c r="F200" t="str">
        <f>PROPER(TRIM([1]raw_orders!F200))</f>
        <v>Consumer</v>
      </c>
      <c r="G200" t="str">
        <f>IF(TRIM([1]raw_orders!G200)="","Unknown",PROPER(TRIM([1]raw_orders!G200)))</f>
        <v>West</v>
      </c>
      <c r="H200" t="str">
        <f>PROPER(TRIM([1]raw_orders!H200))</f>
        <v>Gujarat</v>
      </c>
      <c r="I200" t="str">
        <f>PROPER(TRIM([1]raw_orders!I200))</f>
        <v>Ahmedabad</v>
      </c>
      <c r="J200" t="str">
        <f>PROPER(TRIM([1]raw_orders!J200))</f>
        <v>Office Supplies</v>
      </c>
      <c r="K200" t="str">
        <f>PROPER(TRIM([1]raw_orders!K200))</f>
        <v>Art</v>
      </c>
      <c r="L200" t="str">
        <f>[1]raw_orders!L200</f>
        <v>Classic Art 968</v>
      </c>
      <c r="M200" t="str">
        <f>IF(TRIM([1]raw_orders!M200)="","Unknown",PROPER(TRIM([1]raw_orders!M200)))</f>
        <v>Second Class</v>
      </c>
      <c r="N200" s="5">
        <f>[1]raw_orders!N200</f>
        <v>1</v>
      </c>
      <c r="O200" s="5">
        <f>[1]raw_orders!O200</f>
        <v>1184.58</v>
      </c>
      <c r="P200" s="5">
        <f>[1]raw_orders!P200</f>
        <v>0.05</v>
      </c>
      <c r="Q200" t="str">
        <f>PROPER(TRIM([1]raw_orders!T200))</f>
        <v>Failed</v>
      </c>
      <c r="R200" t="str">
        <f>PROPER(TRIM([1]raw_orders!U200))</f>
        <v>Cancelled</v>
      </c>
      <c r="S200" s="5">
        <f>[1]raw_orders!S200</f>
        <v>448.38</v>
      </c>
      <c r="T200" s="5">
        <f t="shared" si="24"/>
        <v>4.4837999999999996</v>
      </c>
      <c r="U200" s="5">
        <f t="shared" si="25"/>
        <v>-4126.8398039999993</v>
      </c>
      <c r="V200" s="5">
        <f t="shared" si="26"/>
        <v>-4126.8898039999995</v>
      </c>
      <c r="W200" s="5">
        <f t="shared" si="27"/>
        <v>1.0000121158083122</v>
      </c>
      <c r="X200" s="5">
        <f t="shared" si="28"/>
        <v>1</v>
      </c>
      <c r="Y200" s="5">
        <f t="shared" si="29"/>
        <v>6</v>
      </c>
      <c r="Z200" s="5">
        <f t="shared" si="30"/>
        <v>2024</v>
      </c>
      <c r="AA200" t="str">
        <f t="shared" si="31"/>
        <v>Clean</v>
      </c>
    </row>
    <row r="201" spans="1:27" x14ac:dyDescent="0.3">
      <c r="A201" t="str">
        <f>[1]raw_orders!A201</f>
        <v>ORD-2024-10200</v>
      </c>
      <c r="B201" s="4">
        <f>IFERROR(DATEVALUE([1]raw_orders!B201), "Invalid Date")</f>
        <v>45629</v>
      </c>
      <c r="C201" s="4">
        <f>IFERROR(DATEVALUE([1]raw_orders!C201), "Invalid Date")</f>
        <v>45363</v>
      </c>
      <c r="D201" t="str">
        <f>[1]raw_orders!D201</f>
        <v>CUST-4536</v>
      </c>
      <c r="E201" t="str">
        <f>PROPER(TRIM([1]raw_orders!E201))</f>
        <v>Rahul Verma</v>
      </c>
      <c r="F201" t="str">
        <f>PROPER(TRIM([1]raw_orders!F201))</f>
        <v>Home Office</v>
      </c>
      <c r="G201" t="str">
        <f>IF(TRIM([1]raw_orders!G201)="","Unknown",PROPER(TRIM([1]raw_orders!G201)))</f>
        <v>East</v>
      </c>
      <c r="H201" t="str">
        <f>PROPER(TRIM([1]raw_orders!H201))</f>
        <v>Bihar</v>
      </c>
      <c r="I201" t="str">
        <f>PROPER(TRIM([1]raw_orders!I201))</f>
        <v>Patna</v>
      </c>
      <c r="J201" t="str">
        <f>PROPER(TRIM([1]raw_orders!J201))</f>
        <v>Technology</v>
      </c>
      <c r="K201" t="str">
        <f>PROPER(TRIM([1]raw_orders!K201))</f>
        <v>Machines</v>
      </c>
      <c r="L201" t="str">
        <f>[1]raw_orders!L201</f>
        <v>Prime Machines 806</v>
      </c>
      <c r="M201" t="str">
        <f>IF(TRIM([1]raw_orders!M201)="","Unknown",PROPER(TRIM([1]raw_orders!M201)))</f>
        <v>Unknown</v>
      </c>
      <c r="N201" s="5">
        <f>[1]raw_orders!N201</f>
        <v>6</v>
      </c>
      <c r="O201" s="5">
        <f>[1]raw_orders!O201</f>
        <v>2185.58</v>
      </c>
      <c r="P201" s="5">
        <f>[1]raw_orders!P201</f>
        <v>0.25</v>
      </c>
      <c r="Q201" t="str">
        <f>PROPER(TRIM([1]raw_orders!T201))</f>
        <v>Paid</v>
      </c>
      <c r="R201" t="str">
        <f>PROPER(TRIM([1]raw_orders!U201))</f>
        <v>Completed</v>
      </c>
      <c r="S201" s="5">
        <f>[1]raw_orders!S201</f>
        <v>4397.47</v>
      </c>
      <c r="T201" s="5">
        <f t="shared" si="24"/>
        <v>43.974700000000006</v>
      </c>
      <c r="U201" s="5">
        <f t="shared" si="25"/>
        <v>-563547.86895600008</v>
      </c>
      <c r="V201" s="5">
        <f t="shared" si="26"/>
        <v>-563548.11895600008</v>
      </c>
      <c r="W201" s="5">
        <f t="shared" si="27"/>
        <v>1.0000004436180381</v>
      </c>
      <c r="X201" s="5">
        <f t="shared" si="28"/>
        <v>-266</v>
      </c>
      <c r="Y201" s="5">
        <f t="shared" si="29"/>
        <v>12</v>
      </c>
      <c r="Z201" s="5">
        <f t="shared" si="30"/>
        <v>2024</v>
      </c>
      <c r="AA201" t="str">
        <f t="shared" si="31"/>
        <v>Invalid</v>
      </c>
    </row>
    <row r="202" spans="1:27" x14ac:dyDescent="0.3">
      <c r="A202" t="str">
        <f>[1]raw_orders!A202</f>
        <v>ORD-2025-10201</v>
      </c>
      <c r="B202" s="4">
        <f>IFERROR(DATEVALUE([1]raw_orders!B202), "Invalid Date")</f>
        <v>45835</v>
      </c>
      <c r="C202" s="4">
        <f>IFERROR(DATEVALUE([1]raw_orders!C202), "Invalid Date")</f>
        <v>45843</v>
      </c>
      <c r="D202" t="str">
        <f>[1]raw_orders!D202</f>
        <v>CUST-7047</v>
      </c>
      <c r="E202" t="str">
        <f>PROPER(TRIM([1]raw_orders!E202))</f>
        <v>Priya Menon</v>
      </c>
      <c r="F202" t="str">
        <f>PROPER(TRIM([1]raw_orders!F202))</f>
        <v>Small Business</v>
      </c>
      <c r="G202" t="str">
        <f>IF(TRIM([1]raw_orders!G202)="","Unknown",PROPER(TRIM([1]raw_orders!G202)))</f>
        <v>North</v>
      </c>
      <c r="H202" t="str">
        <f>PROPER(TRIM([1]raw_orders!H202))</f>
        <v>Rajasthan</v>
      </c>
      <c r="I202" t="str">
        <f>PROPER(TRIM([1]raw_orders!I202))</f>
        <v>Jaipur</v>
      </c>
      <c r="J202" t="str">
        <f>PROPER(TRIM([1]raw_orders!J202))</f>
        <v>Technology</v>
      </c>
      <c r="K202" t="str">
        <f>PROPER(TRIM([1]raw_orders!K202))</f>
        <v>Copiers</v>
      </c>
      <c r="L202" t="str">
        <f>[1]raw_orders!L202</f>
        <v>Classic Copiers 479</v>
      </c>
      <c r="M202" t="str">
        <f>IF(TRIM([1]raw_orders!M202)="","Unknown",PROPER(TRIM([1]raw_orders!M202)))</f>
        <v>First Class</v>
      </c>
      <c r="N202" s="5">
        <f>[1]raw_orders!N202</f>
        <v>5</v>
      </c>
      <c r="O202" s="5">
        <f>[1]raw_orders!O202</f>
        <v>2868.44</v>
      </c>
      <c r="P202" s="5">
        <f>[1]raw_orders!P202</f>
        <v>0.1</v>
      </c>
      <c r="Q202" t="str">
        <f>PROPER(TRIM([1]raw_orders!T202))</f>
        <v>Pending</v>
      </c>
      <c r="R202" t="str">
        <f>PROPER(TRIM([1]raw_orders!U202))</f>
        <v>Cancelled</v>
      </c>
      <c r="S202" s="5">
        <f>[1]raw_orders!S202</f>
        <v>3710.9</v>
      </c>
      <c r="T202" s="5">
        <f t="shared" si="24"/>
        <v>37.109000000000002</v>
      </c>
      <c r="U202" s="5">
        <f t="shared" si="25"/>
        <v>-517882.49980000005</v>
      </c>
      <c r="V202" s="5">
        <f t="shared" si="26"/>
        <v>-517882.59980000003</v>
      </c>
      <c r="W202" s="5">
        <f t="shared" si="27"/>
        <v>1.0000001930939935</v>
      </c>
      <c r="X202" s="5">
        <f t="shared" si="28"/>
        <v>8</v>
      </c>
      <c r="Y202" s="5">
        <f t="shared" si="29"/>
        <v>6</v>
      </c>
      <c r="Z202" s="5">
        <f t="shared" si="30"/>
        <v>2025</v>
      </c>
      <c r="AA202" t="str">
        <f t="shared" si="31"/>
        <v>Clean</v>
      </c>
    </row>
    <row r="203" spans="1:27" x14ac:dyDescent="0.3">
      <c r="A203" t="str">
        <f>[1]raw_orders!A203</f>
        <v>ORD-2025-10202</v>
      </c>
      <c r="B203" s="4">
        <f>IFERROR(DATEVALUE([1]raw_orders!B203), "Invalid Date")</f>
        <v>45864</v>
      </c>
      <c r="C203" s="4">
        <f>IFERROR(DATEVALUE([1]raw_orders!C203), "Invalid Date")</f>
        <v>45724</v>
      </c>
      <c r="D203" t="str">
        <f>[1]raw_orders!D203</f>
        <v>CUST-8005</v>
      </c>
      <c r="E203" t="str">
        <f>PROPER(TRIM([1]raw_orders!E203))</f>
        <v>Vikram Iyer</v>
      </c>
      <c r="F203" t="str">
        <f>PROPER(TRIM([1]raw_orders!F203))</f>
        <v>Consumer</v>
      </c>
      <c r="G203" t="str">
        <f>IF(TRIM([1]raw_orders!G203)="","Unknown",PROPER(TRIM([1]raw_orders!G203)))</f>
        <v>West</v>
      </c>
      <c r="H203" t="str">
        <f>PROPER(TRIM([1]raw_orders!H203))</f>
        <v>Madhya Pradesh</v>
      </c>
      <c r="I203" t="str">
        <f>PROPER(TRIM([1]raw_orders!I203))</f>
        <v>Indore</v>
      </c>
      <c r="J203" t="str">
        <f>PROPER(TRIM([1]raw_orders!J203))</f>
        <v>Office Supplies</v>
      </c>
      <c r="K203" t="str">
        <f>PROPER(TRIM([1]raw_orders!K203))</f>
        <v>Labels</v>
      </c>
      <c r="L203" t="str">
        <f>[1]raw_orders!L203</f>
        <v>Basic Labels 511</v>
      </c>
      <c r="M203" t="str">
        <f>IF(TRIM([1]raw_orders!M203)="","Unknown",PROPER(TRIM([1]raw_orders!M203)))</f>
        <v>Second Class</v>
      </c>
      <c r="N203" s="5">
        <f>[1]raw_orders!N203</f>
        <v>2</v>
      </c>
      <c r="O203" s="5">
        <f>[1]raw_orders!O203</f>
        <v>2503.5300000000002</v>
      </c>
      <c r="P203" s="5">
        <f>[1]raw_orders!P203</f>
        <v>-0.16</v>
      </c>
      <c r="Q203" t="str">
        <f>PROPER(TRIM([1]raw_orders!T203))</f>
        <v>Refunded</v>
      </c>
      <c r="R203" t="str">
        <f>PROPER(TRIM([1]raw_orders!U203))</f>
        <v>Cancelled</v>
      </c>
      <c r="S203" s="5">
        <f>[1]raw_orders!S203</f>
        <v>1801.85</v>
      </c>
      <c r="T203" s="5">
        <f t="shared" si="24"/>
        <v>18.0185</v>
      </c>
      <c r="U203" s="5">
        <f t="shared" si="25"/>
        <v>-85212.650610000012</v>
      </c>
      <c r="V203" s="5">
        <f t="shared" si="26"/>
        <v>-85212.490610000008</v>
      </c>
      <c r="W203" s="5">
        <f t="shared" si="27"/>
        <v>0.99999812234452445</v>
      </c>
      <c r="X203" s="5">
        <f t="shared" si="28"/>
        <v>-140</v>
      </c>
      <c r="Y203" s="5">
        <f t="shared" si="29"/>
        <v>7</v>
      </c>
      <c r="Z203" s="5">
        <f t="shared" si="30"/>
        <v>2025</v>
      </c>
      <c r="AA203" t="str">
        <f t="shared" si="31"/>
        <v>Invalid</v>
      </c>
    </row>
    <row r="204" spans="1:27" x14ac:dyDescent="0.3">
      <c r="A204" t="str">
        <f>[1]raw_orders!A204</f>
        <v>ORD-2025-10203</v>
      </c>
      <c r="B204" s="4">
        <f>IFERROR(DATEVALUE([1]raw_orders!B204), "Invalid Date")</f>
        <v>45744</v>
      </c>
      <c r="C204" s="4">
        <f>IFERROR(DATEVALUE([1]raw_orders!C204), "Invalid Date")</f>
        <v>45744</v>
      </c>
      <c r="D204" t="str">
        <f>[1]raw_orders!D204</f>
        <v>CUST-9378</v>
      </c>
      <c r="E204" t="str">
        <f>PROPER(TRIM([1]raw_orders!E204))</f>
        <v>Sneha Kapoor</v>
      </c>
      <c r="F204" t="str">
        <f>PROPER(TRIM([1]raw_orders!F204))</f>
        <v>Corporate</v>
      </c>
      <c r="G204" t="str">
        <f>IF(TRIM([1]raw_orders!G204)="","Unknown",PROPER(TRIM([1]raw_orders!G204)))</f>
        <v>West</v>
      </c>
      <c r="H204" t="str">
        <f>PROPER(TRIM([1]raw_orders!H204))</f>
        <v>Goa</v>
      </c>
      <c r="I204" t="str">
        <f>PROPER(TRIM([1]raw_orders!I204))</f>
        <v>Panaji</v>
      </c>
      <c r="J204" t="str">
        <f>PROPER(TRIM([1]raw_orders!J204))</f>
        <v>Technology</v>
      </c>
      <c r="K204" t="str">
        <f>PROPER(TRIM([1]raw_orders!K204))</f>
        <v>Accessories</v>
      </c>
      <c r="L204" t="str">
        <f>[1]raw_orders!L204</f>
        <v>Prime Accessories 733</v>
      </c>
      <c r="M204" t="str">
        <f>IF(TRIM([1]raw_orders!M204)="","Unknown",PROPER(TRIM([1]raw_orders!M204)))</f>
        <v>Standard Class</v>
      </c>
      <c r="N204" s="5">
        <f>[1]raw_orders!N204</f>
        <v>8</v>
      </c>
      <c r="O204" s="5">
        <f>[1]raw_orders!O204</f>
        <v>1740.94</v>
      </c>
      <c r="P204" s="5">
        <f>[1]raw_orders!P204</f>
        <v>0.05</v>
      </c>
      <c r="Q204" t="str">
        <f>PROPER(TRIM([1]raw_orders!T204))</f>
        <v>Paid</v>
      </c>
      <c r="R204" t="str">
        <f>PROPER(TRIM([1]raw_orders!U204))</f>
        <v>Completed</v>
      </c>
      <c r="S204" s="5">
        <f>[1]raw_orders!S204</f>
        <v>1941.08</v>
      </c>
      <c r="T204" s="5">
        <f t="shared" si="24"/>
        <v>19.410799999999998</v>
      </c>
      <c r="U204" s="5">
        <f t="shared" si="25"/>
        <v>-256416.78521599999</v>
      </c>
      <c r="V204" s="5">
        <f t="shared" si="26"/>
        <v>-256416.83521599998</v>
      </c>
      <c r="W204" s="5">
        <f t="shared" si="27"/>
        <v>1.000000194995035</v>
      </c>
      <c r="X204" s="5">
        <f t="shared" si="28"/>
        <v>0</v>
      </c>
      <c r="Y204" s="5">
        <f t="shared" si="29"/>
        <v>3</v>
      </c>
      <c r="Z204" s="5">
        <f t="shared" si="30"/>
        <v>2025</v>
      </c>
      <c r="AA204" t="str">
        <f t="shared" si="31"/>
        <v>Clean</v>
      </c>
    </row>
    <row r="205" spans="1:27" x14ac:dyDescent="0.3">
      <c r="A205" t="str">
        <f>[1]raw_orders!A205</f>
        <v>ORD-2024-10204</v>
      </c>
      <c r="B205" s="4">
        <f>IFERROR(DATEVALUE([1]raw_orders!B205), "Invalid Date")</f>
        <v>45379</v>
      </c>
      <c r="C205" s="4">
        <f>IFERROR(DATEVALUE([1]raw_orders!C205), "Invalid Date")</f>
        <v>45381</v>
      </c>
      <c r="D205" t="str">
        <f>[1]raw_orders!D205</f>
        <v>CUST-3384</v>
      </c>
      <c r="E205" t="str">
        <f>PROPER(TRIM([1]raw_orders!E205))</f>
        <v>Sneha Kapoor</v>
      </c>
      <c r="F205" t="str">
        <f>PROPER(TRIM([1]raw_orders!F205))</f>
        <v>Corporate</v>
      </c>
      <c r="G205" t="str">
        <f>IF(TRIM([1]raw_orders!G205)="","Unknown",PROPER(TRIM([1]raw_orders!G205)))</f>
        <v>West</v>
      </c>
      <c r="H205" t="str">
        <f>PROPER(TRIM([1]raw_orders!H205))</f>
        <v>Rajasthan</v>
      </c>
      <c r="I205" t="str">
        <f>PROPER(TRIM([1]raw_orders!I205))</f>
        <v>Udaipur</v>
      </c>
      <c r="J205" t="str">
        <f>PROPER(TRIM([1]raw_orders!J205))</f>
        <v>Technology</v>
      </c>
      <c r="K205" t="str">
        <f>PROPER(TRIM([1]raw_orders!K205))</f>
        <v>Accessories</v>
      </c>
      <c r="L205" t="str">
        <f>[1]raw_orders!L205</f>
        <v>Max Accessories 186</v>
      </c>
      <c r="M205" t="str">
        <f>IF(TRIM([1]raw_orders!M205)="","Unknown",PROPER(TRIM([1]raw_orders!M205)))</f>
        <v>Second Class</v>
      </c>
      <c r="N205" s="5">
        <f>[1]raw_orders!N205</f>
        <v>1</v>
      </c>
      <c r="O205" s="5">
        <f>[1]raw_orders!O205</f>
        <v>570.34</v>
      </c>
      <c r="P205" s="5">
        <f>[1]raw_orders!P205</f>
        <v>0.15</v>
      </c>
      <c r="Q205" t="str">
        <f>PROPER(TRIM([1]raw_orders!T205))</f>
        <v>Paid</v>
      </c>
      <c r="R205" t="str">
        <f>PROPER(TRIM([1]raw_orders!U205))</f>
        <v>Completed</v>
      </c>
      <c r="S205" s="5">
        <f>[1]raw_orders!S205</f>
        <v>151.25</v>
      </c>
      <c r="T205" s="5">
        <f t="shared" si="24"/>
        <v>1.5125</v>
      </c>
      <c r="U205" s="5">
        <f t="shared" si="25"/>
        <v>-292.29924999999997</v>
      </c>
      <c r="V205" s="5">
        <f t="shared" si="26"/>
        <v>-292.44924999999995</v>
      </c>
      <c r="W205" s="5">
        <f t="shared" si="27"/>
        <v>1.0005131727159751</v>
      </c>
      <c r="X205" s="5">
        <f t="shared" si="28"/>
        <v>2</v>
      </c>
      <c r="Y205" s="5">
        <f t="shared" si="29"/>
        <v>3</v>
      </c>
      <c r="Z205" s="5">
        <f t="shared" si="30"/>
        <v>2024</v>
      </c>
      <c r="AA205" t="str">
        <f t="shared" si="31"/>
        <v>Clean</v>
      </c>
    </row>
    <row r="206" spans="1:27" x14ac:dyDescent="0.3">
      <c r="A206" t="str">
        <f>[1]raw_orders!A206</f>
        <v>ORD-2025-10205</v>
      </c>
      <c r="B206" s="4">
        <f>IFERROR(DATEVALUE([1]raw_orders!B206), "Invalid Date")</f>
        <v>45858</v>
      </c>
      <c r="C206" s="4">
        <f>IFERROR(DATEVALUE([1]raw_orders!C206), "Invalid Date")</f>
        <v>45861</v>
      </c>
      <c r="D206" t="str">
        <f>[1]raw_orders!D206</f>
        <v>CUST-1986</v>
      </c>
      <c r="E206" t="str">
        <f>PROPER(TRIM([1]raw_orders!E206))</f>
        <v>Mira Das</v>
      </c>
      <c r="F206" t="str">
        <f>PROPER(TRIM([1]raw_orders!F206))</f>
        <v>Home Office</v>
      </c>
      <c r="G206" t="str">
        <f>IF(TRIM([1]raw_orders!G206)="","Unknown",PROPER(TRIM([1]raw_orders!G206)))</f>
        <v>East</v>
      </c>
      <c r="H206" t="str">
        <f>PROPER(TRIM([1]raw_orders!H206))</f>
        <v>West Bengal</v>
      </c>
      <c r="I206" t="str">
        <f>PROPER(TRIM([1]raw_orders!I206))</f>
        <v>Kolkata</v>
      </c>
      <c r="J206" t="str">
        <f>PROPER(TRIM([1]raw_orders!J206))</f>
        <v>Furniture</v>
      </c>
      <c r="K206" t="str">
        <f>PROPER(TRIM([1]raw_orders!K206))</f>
        <v>Tables</v>
      </c>
      <c r="L206" t="str">
        <f>[1]raw_orders!L206</f>
        <v>Elite Tables 318</v>
      </c>
      <c r="M206" t="str">
        <f>IF(TRIM([1]raw_orders!M206)="","Unknown",PROPER(TRIM([1]raw_orders!M206)))</f>
        <v>Second Class</v>
      </c>
      <c r="N206" s="5">
        <f>[1]raw_orders!N206</f>
        <v>4</v>
      </c>
      <c r="O206" s="5">
        <f>[1]raw_orders!O206</f>
        <v>477.69</v>
      </c>
      <c r="P206" s="5">
        <f>[1]raw_orders!P206</f>
        <v>0.15</v>
      </c>
      <c r="Q206" t="str">
        <f>PROPER(TRIM([1]raw_orders!T206))</f>
        <v>Paid</v>
      </c>
      <c r="R206" t="str">
        <f>PROPER(TRIM([1]raw_orders!U206))</f>
        <v>Completed</v>
      </c>
      <c r="S206" s="5">
        <f>[1]raw_orders!S206</f>
        <v>406.16</v>
      </c>
      <c r="T206" s="5">
        <f t="shared" si="24"/>
        <v>4.0616000000000003</v>
      </c>
      <c r="U206" s="5">
        <f t="shared" si="25"/>
        <v>-5849.9828160000006</v>
      </c>
      <c r="V206" s="5">
        <f t="shared" si="26"/>
        <v>-5850.1328160000003</v>
      </c>
      <c r="W206" s="5">
        <f t="shared" si="27"/>
        <v>1.00002564110096</v>
      </c>
      <c r="X206" s="5">
        <f t="shared" si="28"/>
        <v>3</v>
      </c>
      <c r="Y206" s="5">
        <f t="shared" si="29"/>
        <v>7</v>
      </c>
      <c r="Z206" s="5">
        <f t="shared" si="30"/>
        <v>2025</v>
      </c>
      <c r="AA206" t="str">
        <f t="shared" si="31"/>
        <v>Clean</v>
      </c>
    </row>
    <row r="207" spans="1:27" x14ac:dyDescent="0.3">
      <c r="A207" t="str">
        <f>[1]raw_orders!A207</f>
        <v>ORD-2025-10206</v>
      </c>
      <c r="B207" s="4">
        <f>IFERROR(DATEVALUE([1]raw_orders!B207), "Invalid Date")</f>
        <v>45768</v>
      </c>
      <c r="C207" s="4" t="str">
        <f>IFERROR(DATEVALUE([1]raw_orders!C207), "Invalid Date")</f>
        <v>Invalid Date</v>
      </c>
      <c r="D207" t="str">
        <f>[1]raw_orders!D207</f>
        <v>CUST-3338</v>
      </c>
      <c r="E207" t="str">
        <f>PROPER(TRIM([1]raw_orders!E207))</f>
        <v>Ananya Rao</v>
      </c>
      <c r="F207" t="str">
        <f>PROPER(TRIM([1]raw_orders!F207))</f>
        <v>Consumer</v>
      </c>
      <c r="G207" t="str">
        <f>IF(TRIM([1]raw_orders!G207)="","Unknown",PROPER(TRIM([1]raw_orders!G207)))</f>
        <v>West</v>
      </c>
      <c r="H207" t="str">
        <f>PROPER(TRIM([1]raw_orders!H207))</f>
        <v>Maharashtra</v>
      </c>
      <c r="I207" t="str">
        <f>PROPER(TRIM([1]raw_orders!I207))</f>
        <v>Mumbai</v>
      </c>
      <c r="J207" t="str">
        <f>PROPER(TRIM([1]raw_orders!J207))</f>
        <v>Office Supplies</v>
      </c>
      <c r="K207" t="str">
        <f>PROPER(TRIM([1]raw_orders!K207))</f>
        <v>Labels</v>
      </c>
      <c r="L207" t="str">
        <f>[1]raw_orders!L207</f>
        <v>Smart Labels 354</v>
      </c>
      <c r="M207" t="str">
        <f>IF(TRIM([1]raw_orders!M207)="","Unknown",PROPER(TRIM([1]raw_orders!M207)))</f>
        <v>Same Day</v>
      </c>
      <c r="N207" s="5">
        <f>[1]raw_orders!N207</f>
        <v>6</v>
      </c>
      <c r="O207" s="5">
        <f>[1]raw_orders!O207</f>
        <v>873.59</v>
      </c>
      <c r="P207" s="5">
        <f>[1]raw_orders!P207</f>
        <v>0.2</v>
      </c>
      <c r="Q207" t="str">
        <f>PROPER(TRIM([1]raw_orders!T207))</f>
        <v>Paid</v>
      </c>
      <c r="R207" t="str">
        <f>PROPER(TRIM([1]raw_orders!U207))</f>
        <v>Completed</v>
      </c>
      <c r="S207" s="5">
        <f>[1]raw_orders!S207</f>
        <v>863.24</v>
      </c>
      <c r="T207" s="5">
        <f t="shared" si="24"/>
        <v>8.6324000000000005</v>
      </c>
      <c r="U207" s="5">
        <f t="shared" si="25"/>
        <v>-40005.529896</v>
      </c>
      <c r="V207" s="5">
        <f t="shared" si="26"/>
        <v>-40005.729895999997</v>
      </c>
      <c r="W207" s="5">
        <f t="shared" si="27"/>
        <v>1.0000049993088584</v>
      </c>
      <c r="X207" s="5" t="str">
        <f t="shared" si="28"/>
        <v>Invalid Date</v>
      </c>
      <c r="Y207" s="5">
        <f t="shared" si="29"/>
        <v>4</v>
      </c>
      <c r="Z207" s="5">
        <f t="shared" si="30"/>
        <v>2025</v>
      </c>
      <c r="AA207" t="str">
        <f t="shared" si="31"/>
        <v>Clean</v>
      </c>
    </row>
    <row r="208" spans="1:27" x14ac:dyDescent="0.3">
      <c r="A208" t="str">
        <f>[1]raw_orders!A208</f>
        <v>ORD-2025-10207</v>
      </c>
      <c r="B208" s="4" t="str">
        <f>IFERROR(DATEVALUE([1]raw_orders!B208), "Invalid Date")</f>
        <v>Invalid Date</v>
      </c>
      <c r="C208" s="4">
        <f>IFERROR(DATEVALUE([1]raw_orders!C208), "Invalid Date")</f>
        <v>45797</v>
      </c>
      <c r="D208" t="str">
        <f>[1]raw_orders!D208</f>
        <v>CUST-2343</v>
      </c>
      <c r="E208" t="str">
        <f>PROPER(TRIM([1]raw_orders!E208))</f>
        <v>Diya Patel</v>
      </c>
      <c r="F208" t="str">
        <f>PROPER(TRIM([1]raw_orders!F208))</f>
        <v>Small Business</v>
      </c>
      <c r="G208" t="str">
        <f>IF(TRIM([1]raw_orders!G208)="","Unknown",PROPER(TRIM([1]raw_orders!G208)))</f>
        <v>North</v>
      </c>
      <c r="H208" t="str">
        <f>PROPER(TRIM([1]raw_orders!H208))</f>
        <v>Uttar Pradesh</v>
      </c>
      <c r="I208" t="str">
        <f>PROPER(TRIM([1]raw_orders!I208))</f>
        <v>Noida</v>
      </c>
      <c r="J208" t="str">
        <f>PROPER(TRIM([1]raw_orders!J208))</f>
        <v>Furniture</v>
      </c>
      <c r="K208" t="str">
        <f>PROPER(TRIM([1]raw_orders!K208))</f>
        <v>Furnishings</v>
      </c>
      <c r="L208" t="str">
        <f>[1]raw_orders!L208</f>
        <v>Pro Furnishings 981</v>
      </c>
      <c r="M208" t="str">
        <f>IF(TRIM([1]raw_orders!M208)="","Unknown",PROPER(TRIM([1]raw_orders!M208)))</f>
        <v>First Class</v>
      </c>
      <c r="N208" s="5">
        <f>[1]raw_orders!N208</f>
        <v>2</v>
      </c>
      <c r="O208" s="5">
        <f>[1]raw_orders!O208</f>
        <v>215.13</v>
      </c>
      <c r="P208" s="5">
        <f>[1]raw_orders!P208</f>
        <v>0</v>
      </c>
      <c r="Q208" t="str">
        <f>PROPER(TRIM([1]raw_orders!T208))</f>
        <v>Paid</v>
      </c>
      <c r="R208" t="str">
        <f>PROPER(TRIM([1]raw_orders!U208))</f>
        <v>Completed</v>
      </c>
      <c r="S208" s="5">
        <f>[1]raw_orders!S208</f>
        <v>143.88</v>
      </c>
      <c r="T208" s="5">
        <f t="shared" si="24"/>
        <v>1.4387999999999999</v>
      </c>
      <c r="U208" s="5">
        <f t="shared" si="25"/>
        <v>-188.79808799999992</v>
      </c>
      <c r="V208" s="5">
        <f t="shared" si="26"/>
        <v>-188.79808799999992</v>
      </c>
      <c r="W208" s="5">
        <f t="shared" si="27"/>
        <v>1</v>
      </c>
      <c r="X208" s="5" t="str">
        <f t="shared" si="28"/>
        <v>Invalid Date</v>
      </c>
      <c r="Y208" s="5" t="e">
        <f t="shared" si="29"/>
        <v>#VALUE!</v>
      </c>
      <c r="Z208" s="5" t="e">
        <f t="shared" si="30"/>
        <v>#VALUE!</v>
      </c>
      <c r="AA208" t="str">
        <f t="shared" si="31"/>
        <v>Clean</v>
      </c>
    </row>
    <row r="209" spans="1:27" x14ac:dyDescent="0.3">
      <c r="A209" t="str">
        <f>[1]raw_orders!A209</f>
        <v>ORD-2024-10208</v>
      </c>
      <c r="B209" s="4">
        <f>IFERROR(DATEVALUE([1]raw_orders!B209), "Invalid Date")</f>
        <v>45483</v>
      </c>
      <c r="C209" s="4">
        <f>IFERROR(DATEVALUE([1]raw_orders!C209), "Invalid Date")</f>
        <v>45489</v>
      </c>
      <c r="D209" t="str">
        <f>[1]raw_orders!D209</f>
        <v>CUST-3362</v>
      </c>
      <c r="E209" t="str">
        <f>PROPER(TRIM([1]raw_orders!E209))</f>
        <v>Aarav Sharma</v>
      </c>
      <c r="F209" t="str">
        <f>PROPER(TRIM([1]raw_orders!F209))</f>
        <v>Home Office</v>
      </c>
      <c r="G209" t="str">
        <f>IF(TRIM([1]raw_orders!G209)="","Unknown",PROPER(TRIM([1]raw_orders!G209)))</f>
        <v>West</v>
      </c>
      <c r="H209" t="str">
        <f>PROPER(TRIM([1]raw_orders!H209))</f>
        <v>Goa</v>
      </c>
      <c r="I209" t="str">
        <f>PROPER(TRIM([1]raw_orders!I209))</f>
        <v>Panaji</v>
      </c>
      <c r="J209" t="str">
        <f>PROPER(TRIM([1]raw_orders!J209))</f>
        <v>Furniture</v>
      </c>
      <c r="K209" t="str">
        <f>PROPER(TRIM([1]raw_orders!K209))</f>
        <v>Bookcases</v>
      </c>
      <c r="L209" t="str">
        <f>[1]raw_orders!L209</f>
        <v>Eco Bookcases 671</v>
      </c>
      <c r="M209" t="str">
        <f>IF(TRIM([1]raw_orders!M209)="","Unknown",PROPER(TRIM([1]raw_orders!M209)))</f>
        <v>Second Class</v>
      </c>
      <c r="N209" s="5">
        <f>[1]raw_orders!N209</f>
        <v>2</v>
      </c>
      <c r="O209" s="5">
        <f>[1]raw_orders!O209</f>
        <v>1095.45</v>
      </c>
      <c r="P209" s="5">
        <f>[1]raw_orders!P209</f>
        <v>0.2</v>
      </c>
      <c r="Q209" t="str">
        <f>PROPER(TRIM([1]raw_orders!T209))</f>
        <v>Paid</v>
      </c>
      <c r="R209" t="str">
        <f>PROPER(TRIM([1]raw_orders!U209))</f>
        <v>Completed</v>
      </c>
      <c r="S209" s="5">
        <f>[1]raw_orders!S209</f>
        <v>756.31</v>
      </c>
      <c r="T209" s="5">
        <f t="shared" si="24"/>
        <v>7.5630999999999995</v>
      </c>
      <c r="U209" s="5">
        <f t="shared" si="25"/>
        <v>-14379.095789999999</v>
      </c>
      <c r="V209" s="5">
        <f t="shared" si="26"/>
        <v>-14379.29579</v>
      </c>
      <c r="W209" s="5">
        <f t="shared" si="27"/>
        <v>1.0000139090804403</v>
      </c>
      <c r="X209" s="5">
        <f t="shared" si="28"/>
        <v>6</v>
      </c>
      <c r="Y209" s="5">
        <f t="shared" si="29"/>
        <v>7</v>
      </c>
      <c r="Z209" s="5">
        <f t="shared" si="30"/>
        <v>2024</v>
      </c>
      <c r="AA209" t="str">
        <f t="shared" si="31"/>
        <v>Clean</v>
      </c>
    </row>
    <row r="210" spans="1:27" x14ac:dyDescent="0.3">
      <c r="A210" t="str">
        <f>[1]raw_orders!A210</f>
        <v>ORD-2025-10209</v>
      </c>
      <c r="B210" s="4" t="str">
        <f>IFERROR(DATEVALUE([1]raw_orders!B210), "Invalid Date")</f>
        <v>Invalid Date</v>
      </c>
      <c r="C210" s="4">
        <f>IFERROR(DATEVALUE([1]raw_orders!C210), "Invalid Date")</f>
        <v>45843</v>
      </c>
      <c r="D210" t="str">
        <f>[1]raw_orders!D210</f>
        <v>CUST-3662</v>
      </c>
      <c r="E210" t="str">
        <f>PROPER(TRIM([1]raw_orders!E210))</f>
        <v>Diya Patel</v>
      </c>
      <c r="F210" t="str">
        <f>PROPER(TRIM([1]raw_orders!F210))</f>
        <v>Consumer</v>
      </c>
      <c r="G210" t="str">
        <f>IF(TRIM([1]raw_orders!G210)="","Unknown",PROPER(TRIM([1]raw_orders!G210)))</f>
        <v>North</v>
      </c>
      <c r="H210" t="str">
        <f>PROPER(TRIM([1]raw_orders!H210))</f>
        <v>Punjab</v>
      </c>
      <c r="I210" t="str">
        <f>PROPER(TRIM([1]raw_orders!I210))</f>
        <v>Ludhiana</v>
      </c>
      <c r="J210" t="str">
        <f>PROPER(TRIM([1]raw_orders!J210))</f>
        <v>Furniture</v>
      </c>
      <c r="K210" t="str">
        <f>PROPER(TRIM([1]raw_orders!K210))</f>
        <v>Chairs</v>
      </c>
      <c r="L210" t="str">
        <f>[1]raw_orders!L210</f>
        <v>Max Chairs 151</v>
      </c>
      <c r="M210" t="str">
        <f>IF(TRIM([1]raw_orders!M210)="","Unknown",PROPER(TRIM([1]raw_orders!M210)))</f>
        <v>Same Day</v>
      </c>
      <c r="N210" s="5">
        <f>[1]raw_orders!N210</f>
        <v>1</v>
      </c>
      <c r="O210" s="5">
        <f>[1]raw_orders!O210</f>
        <v>999.83</v>
      </c>
      <c r="P210" s="5">
        <f>[1]raw_orders!P210</f>
        <v>0</v>
      </c>
      <c r="Q210" t="str">
        <f>PROPER(TRIM([1]raw_orders!T210))</f>
        <v>Paid</v>
      </c>
      <c r="R210" t="str">
        <f>PROPER(TRIM([1]raw_orders!U210))</f>
        <v>Completed</v>
      </c>
      <c r="S210" s="5">
        <f>[1]raw_orders!S210</f>
        <v>364.92</v>
      </c>
      <c r="T210" s="5">
        <f t="shared" si="24"/>
        <v>3.6492</v>
      </c>
      <c r="U210" s="5">
        <f t="shared" si="25"/>
        <v>-2648.749636</v>
      </c>
      <c r="V210" s="5">
        <f t="shared" si="26"/>
        <v>-2648.749636</v>
      </c>
      <c r="W210" s="5">
        <f t="shared" si="27"/>
        <v>1</v>
      </c>
      <c r="X210" s="5" t="str">
        <f t="shared" si="28"/>
        <v>Invalid Date</v>
      </c>
      <c r="Y210" s="5" t="e">
        <f t="shared" si="29"/>
        <v>#VALUE!</v>
      </c>
      <c r="Z210" s="5" t="e">
        <f t="shared" si="30"/>
        <v>#VALUE!</v>
      </c>
      <c r="AA210" t="str">
        <f t="shared" si="31"/>
        <v>Clean</v>
      </c>
    </row>
    <row r="211" spans="1:27" x14ac:dyDescent="0.3">
      <c r="A211" t="str">
        <f>[1]raw_orders!A211</f>
        <v>ORD-2025-10210</v>
      </c>
      <c r="B211" s="4" t="str">
        <f>IFERROR(DATEVALUE([1]raw_orders!B211), "Invalid Date")</f>
        <v>Invalid Date</v>
      </c>
      <c r="C211" s="4" t="str">
        <f>IFERROR(DATEVALUE([1]raw_orders!C211), "Invalid Date")</f>
        <v>Invalid Date</v>
      </c>
      <c r="D211" t="str">
        <f>[1]raw_orders!D211</f>
        <v>CUST-4947</v>
      </c>
      <c r="E211" t="str">
        <f>PROPER(TRIM([1]raw_orders!E211))</f>
        <v>Rohan Mehta</v>
      </c>
      <c r="F211" t="str">
        <f>PROPER(TRIM([1]raw_orders!F211))</f>
        <v>Small Business</v>
      </c>
      <c r="G211" t="str">
        <f>IF(TRIM([1]raw_orders!G211)="","Unknown",PROPER(TRIM([1]raw_orders!G211)))</f>
        <v>South</v>
      </c>
      <c r="H211" t="str">
        <f>PROPER(TRIM([1]raw_orders!H211))</f>
        <v>Andhra Pradesh</v>
      </c>
      <c r="I211" t="str">
        <f>PROPER(TRIM([1]raw_orders!I211))</f>
        <v>Vijayawada</v>
      </c>
      <c r="J211" t="str">
        <f>PROPER(TRIM([1]raw_orders!J211))</f>
        <v>Office Supplies</v>
      </c>
      <c r="K211" t="str">
        <f>PROPER(TRIM([1]raw_orders!K211))</f>
        <v>Paper</v>
      </c>
      <c r="L211" t="str">
        <f>[1]raw_orders!L211</f>
        <v>Prime Paper 903</v>
      </c>
      <c r="M211" t="str">
        <f>IF(TRIM([1]raw_orders!M211)="","Unknown",PROPER(TRIM([1]raw_orders!M211)))</f>
        <v>First Class</v>
      </c>
      <c r="N211" s="5">
        <f>[1]raw_orders!N211</f>
        <v>9</v>
      </c>
      <c r="O211" s="5">
        <f>[1]raw_orders!O211</f>
        <v>864.98</v>
      </c>
      <c r="P211" s="5">
        <f>[1]raw_orders!P211</f>
        <v>0.1</v>
      </c>
      <c r="Q211" t="str">
        <f>PROPER(TRIM([1]raw_orders!T211))</f>
        <v>Paid</v>
      </c>
      <c r="R211" t="str">
        <f>PROPER(TRIM([1]raw_orders!U211))</f>
        <v>Completed</v>
      </c>
      <c r="S211" s="5">
        <f>[1]raw_orders!S211</f>
        <v>2365.46</v>
      </c>
      <c r="T211" s="5">
        <f t="shared" si="24"/>
        <v>23.654600000000002</v>
      </c>
      <c r="U211" s="5">
        <f t="shared" si="25"/>
        <v>-176361.98317200001</v>
      </c>
      <c r="V211" s="5">
        <f t="shared" si="26"/>
        <v>-176362.08317200001</v>
      </c>
      <c r="W211" s="5">
        <f t="shared" si="27"/>
        <v>1.0000005670156245</v>
      </c>
      <c r="X211" s="5" t="str">
        <f t="shared" si="28"/>
        <v>Invalid Date</v>
      </c>
      <c r="Y211" s="5" t="e">
        <f t="shared" si="29"/>
        <v>#VALUE!</v>
      </c>
      <c r="Z211" s="5" t="e">
        <f t="shared" si="30"/>
        <v>#VALUE!</v>
      </c>
      <c r="AA211" t="str">
        <f t="shared" si="31"/>
        <v>Clean</v>
      </c>
    </row>
    <row r="212" spans="1:27" x14ac:dyDescent="0.3">
      <c r="A212" t="str">
        <f>[1]raw_orders!A212</f>
        <v>ORD-2024-10211</v>
      </c>
      <c r="B212" s="4" t="str">
        <f>IFERROR(DATEVALUE([1]raw_orders!B212), "Invalid Date")</f>
        <v>Invalid Date</v>
      </c>
      <c r="C212" s="4">
        <f>IFERROR(DATEVALUE([1]raw_orders!C212), "Invalid Date")</f>
        <v>45369</v>
      </c>
      <c r="D212" t="str">
        <f>[1]raw_orders!D212</f>
        <v>CUST-3076</v>
      </c>
      <c r="E212" t="str">
        <f>PROPER(TRIM([1]raw_orders!E212))</f>
        <v>Kabir Singh</v>
      </c>
      <c r="F212" t="str">
        <f>PROPER(TRIM([1]raw_orders!F212))</f>
        <v>Home Office</v>
      </c>
      <c r="G212" t="str">
        <f>IF(TRIM([1]raw_orders!G212)="","Unknown",PROPER(TRIM([1]raw_orders!G212)))</f>
        <v>South</v>
      </c>
      <c r="H212" t="str">
        <f>PROPER(TRIM([1]raw_orders!H212))</f>
        <v>Karnataka</v>
      </c>
      <c r="I212" t="str">
        <f>PROPER(TRIM([1]raw_orders!I212))</f>
        <v>Bengaluru</v>
      </c>
      <c r="J212" t="str">
        <f>PROPER(TRIM([1]raw_orders!J212))</f>
        <v>Technology</v>
      </c>
      <c r="K212" t="str">
        <f>PROPER(TRIM([1]raw_orders!K212))</f>
        <v>Machines</v>
      </c>
      <c r="L212" t="str">
        <f>[1]raw_orders!L212</f>
        <v>Classic Machines 944</v>
      </c>
      <c r="M212" t="str">
        <f>IF(TRIM([1]raw_orders!M212)="","Unknown",PROPER(TRIM([1]raw_orders!M212)))</f>
        <v>Second Class</v>
      </c>
      <c r="N212" s="5">
        <f>[1]raw_orders!N212</f>
        <v>1</v>
      </c>
      <c r="O212" s="5">
        <f>[1]raw_orders!O212</f>
        <v>4131.3599999999997</v>
      </c>
      <c r="P212" s="5">
        <f>[1]raw_orders!P212</f>
        <v>0</v>
      </c>
      <c r="Q212" t="str">
        <f>PROPER(TRIM([1]raw_orders!T212))</f>
        <v>Failed</v>
      </c>
      <c r="R212" t="str">
        <f>PROPER(TRIM([1]raw_orders!U212))</f>
        <v>Returned</v>
      </c>
      <c r="S212" s="5">
        <f>[1]raw_orders!S212</f>
        <v>1194.29</v>
      </c>
      <c r="T212" s="5">
        <f t="shared" si="24"/>
        <v>11.9429</v>
      </c>
      <c r="U212" s="5">
        <f t="shared" si="25"/>
        <v>-45209.059343999994</v>
      </c>
      <c r="V212" s="5">
        <f t="shared" si="26"/>
        <v>-45209.059343999994</v>
      </c>
      <c r="W212" s="5">
        <f t="shared" si="27"/>
        <v>1</v>
      </c>
      <c r="X212" s="5" t="str">
        <f t="shared" si="28"/>
        <v>Invalid Date</v>
      </c>
      <c r="Y212" s="5" t="e">
        <f t="shared" si="29"/>
        <v>#VALUE!</v>
      </c>
      <c r="Z212" s="5" t="e">
        <f t="shared" si="30"/>
        <v>#VALUE!</v>
      </c>
      <c r="AA212" t="str">
        <f t="shared" si="31"/>
        <v>Clean</v>
      </c>
    </row>
    <row r="213" spans="1:27" x14ac:dyDescent="0.3">
      <c r="A213" t="str">
        <f>[1]raw_orders!A213</f>
        <v>ORD-2024-10212</v>
      </c>
      <c r="B213" s="4" t="str">
        <f>IFERROR(DATEVALUE([1]raw_orders!B213), "Invalid Date")</f>
        <v>Invalid Date</v>
      </c>
      <c r="C213" s="4" t="str">
        <f>IFERROR(DATEVALUE([1]raw_orders!C213), "Invalid Date")</f>
        <v>Invalid Date</v>
      </c>
      <c r="D213" t="str">
        <f>[1]raw_orders!D213</f>
        <v>CUST-2222</v>
      </c>
      <c r="E213" t="str">
        <f>PROPER(TRIM([1]raw_orders!E213))</f>
        <v>Rohan Mehta</v>
      </c>
      <c r="F213" t="str">
        <f>PROPER(TRIM([1]raw_orders!F213))</f>
        <v>Corporate</v>
      </c>
      <c r="G213" t="str">
        <f>IF(TRIM([1]raw_orders!G213)="","Unknown",PROPER(TRIM([1]raw_orders!G213)))</f>
        <v>East</v>
      </c>
      <c r="H213" t="str">
        <f>PROPER(TRIM([1]raw_orders!H213))</f>
        <v>West Bengal</v>
      </c>
      <c r="I213" t="str">
        <f>PROPER(TRIM([1]raw_orders!I213))</f>
        <v>Kolkata</v>
      </c>
      <c r="J213" t="str">
        <f>PROPER(TRIM([1]raw_orders!J213))</f>
        <v>Technology</v>
      </c>
      <c r="K213" t="str">
        <f>PROPER(TRIM([1]raw_orders!K213))</f>
        <v>Copiers</v>
      </c>
      <c r="L213" t="str">
        <f>[1]raw_orders!L213</f>
        <v>Basic Copiers 222</v>
      </c>
      <c r="M213" t="str">
        <f>IF(TRIM([1]raw_orders!M213)="","Unknown",PROPER(TRIM([1]raw_orders!M213)))</f>
        <v>Second Class</v>
      </c>
      <c r="N213" s="5">
        <f>[1]raw_orders!N213</f>
        <v>8</v>
      </c>
      <c r="O213" s="5">
        <f>[1]raw_orders!O213</f>
        <v>4221.95</v>
      </c>
      <c r="P213" s="5">
        <f>[1]raw_orders!P213</f>
        <v>0.2</v>
      </c>
      <c r="Q213" t="str">
        <f>PROPER(TRIM([1]raw_orders!T213))</f>
        <v>Paid</v>
      </c>
      <c r="R213" t="str">
        <f>PROPER(TRIM([1]raw_orders!U213))</f>
        <v>Completed</v>
      </c>
      <c r="S213" s="5">
        <f>[1]raw_orders!S213</f>
        <v>4135.24</v>
      </c>
      <c r="T213" s="5">
        <f t="shared" si="24"/>
        <v>41.352399999999996</v>
      </c>
      <c r="U213" s="5">
        <f t="shared" si="25"/>
        <v>-1362926.5214399998</v>
      </c>
      <c r="V213" s="5">
        <f t="shared" si="26"/>
        <v>-1362926.7214399998</v>
      </c>
      <c r="W213" s="5">
        <f t="shared" si="27"/>
        <v>1.0000001467430539</v>
      </c>
      <c r="X213" s="5" t="str">
        <f t="shared" si="28"/>
        <v>Invalid Date</v>
      </c>
      <c r="Y213" s="5" t="e">
        <f t="shared" si="29"/>
        <v>#VALUE!</v>
      </c>
      <c r="Z213" s="5" t="e">
        <f t="shared" si="30"/>
        <v>#VALUE!</v>
      </c>
      <c r="AA213" t="str">
        <f t="shared" si="31"/>
        <v>Clean</v>
      </c>
    </row>
    <row r="214" spans="1:27" x14ac:dyDescent="0.3">
      <c r="A214" t="str">
        <f>[1]raw_orders!A214</f>
        <v>ORD-2024-10213</v>
      </c>
      <c r="B214" s="4" t="str">
        <f>IFERROR(DATEVALUE([1]raw_orders!B214), "Invalid Date")</f>
        <v>Invalid Date</v>
      </c>
      <c r="C214" s="4">
        <f>IFERROR(DATEVALUE([1]raw_orders!C214), "Invalid Date")</f>
        <v>45556</v>
      </c>
      <c r="D214" t="str">
        <f>[1]raw_orders!D214</f>
        <v>CUST-3610</v>
      </c>
      <c r="E214" t="str">
        <f>PROPER(TRIM([1]raw_orders!E214))</f>
        <v>Ananya Rao</v>
      </c>
      <c r="F214" t="str">
        <f>PROPER(TRIM([1]raw_orders!F214))</f>
        <v>Small Business</v>
      </c>
      <c r="G214" t="str">
        <f>IF(TRIM([1]raw_orders!G214)="","Unknown",PROPER(TRIM([1]raw_orders!G214)))</f>
        <v>East</v>
      </c>
      <c r="H214" t="str">
        <f>PROPER(TRIM([1]raw_orders!H214))</f>
        <v>Odisha</v>
      </c>
      <c r="I214" t="str">
        <f>PROPER(TRIM([1]raw_orders!I214))</f>
        <v>Bhubaneswar</v>
      </c>
      <c r="J214" t="str">
        <f>PROPER(TRIM([1]raw_orders!J214))</f>
        <v>Technology</v>
      </c>
      <c r="K214" t="str">
        <f>PROPER(TRIM([1]raw_orders!K214))</f>
        <v>Phones</v>
      </c>
      <c r="L214" t="str">
        <f>[1]raw_orders!L214</f>
        <v>Max Phones 329</v>
      </c>
      <c r="M214" t="str">
        <f>IF(TRIM([1]raw_orders!M214)="","Unknown",PROPER(TRIM([1]raw_orders!M214)))</f>
        <v>Same Day</v>
      </c>
      <c r="N214" s="5">
        <f>[1]raw_orders!N214</f>
        <v>2</v>
      </c>
      <c r="O214" s="5">
        <f>[1]raw_orders!O214</f>
        <v>214.5</v>
      </c>
      <c r="P214" s="5">
        <f>[1]raw_orders!P214</f>
        <v>0.15</v>
      </c>
      <c r="Q214" t="str">
        <f>PROPER(TRIM([1]raw_orders!T214))</f>
        <v>Paid</v>
      </c>
      <c r="R214" t="str">
        <f>PROPER(TRIM([1]raw_orders!U214))</f>
        <v>Completed</v>
      </c>
      <c r="S214" s="5">
        <f>[1]raw_orders!S214</f>
        <v>83.91</v>
      </c>
      <c r="T214" s="5">
        <f t="shared" si="24"/>
        <v>0.83909999999999996</v>
      </c>
      <c r="U214" s="5">
        <f t="shared" si="25"/>
        <v>69.026100000000014</v>
      </c>
      <c r="V214" s="5">
        <f t="shared" si="26"/>
        <v>68.876100000000008</v>
      </c>
      <c r="W214" s="5">
        <f t="shared" si="27"/>
        <v>0.99782690895183124</v>
      </c>
      <c r="X214" s="5" t="str">
        <f t="shared" si="28"/>
        <v>Invalid Date</v>
      </c>
      <c r="Y214" s="5" t="e">
        <f t="shared" si="29"/>
        <v>#VALUE!</v>
      </c>
      <c r="Z214" s="5" t="e">
        <f t="shared" si="30"/>
        <v>#VALUE!</v>
      </c>
      <c r="AA214" t="str">
        <f t="shared" si="31"/>
        <v>Clean</v>
      </c>
    </row>
    <row r="215" spans="1:27" x14ac:dyDescent="0.3">
      <c r="A215" t="str">
        <f>[1]raw_orders!A215</f>
        <v>ORD-2024-10214</v>
      </c>
      <c r="B215" s="4">
        <f>IFERROR(DATEVALUE([1]raw_orders!B215), "Invalid Date")</f>
        <v>45427</v>
      </c>
      <c r="C215" s="4">
        <f>IFERROR(DATEVALUE([1]raw_orders!C215), "Invalid Date")</f>
        <v>45433</v>
      </c>
      <c r="D215" t="str">
        <f>[1]raw_orders!D215</f>
        <v>CUST-9136</v>
      </c>
      <c r="E215" t="str">
        <f>PROPER(TRIM([1]raw_orders!E215))</f>
        <v>Isha Nair</v>
      </c>
      <c r="F215" t="str">
        <f>PROPER(TRIM([1]raw_orders!F215))</f>
        <v>Small Business</v>
      </c>
      <c r="G215" t="str">
        <f>IF(TRIM([1]raw_orders!G215)="","Unknown",PROPER(TRIM([1]raw_orders!G215)))</f>
        <v>East</v>
      </c>
      <c r="H215" t="str">
        <f>PROPER(TRIM([1]raw_orders!H215))</f>
        <v>Bihar</v>
      </c>
      <c r="I215" t="str">
        <f>PROPER(TRIM([1]raw_orders!I215))</f>
        <v>Patna</v>
      </c>
      <c r="J215" t="str">
        <f>PROPER(TRIM([1]raw_orders!J215))</f>
        <v>Technology</v>
      </c>
      <c r="K215" t="str">
        <f>PROPER(TRIM([1]raw_orders!K215))</f>
        <v>Accessories</v>
      </c>
      <c r="L215" t="str">
        <f>[1]raw_orders!L215</f>
        <v>Classic Accessories 840</v>
      </c>
      <c r="M215" t="str">
        <f>IF(TRIM([1]raw_orders!M215)="","Unknown",PROPER(TRIM([1]raw_orders!M215)))</f>
        <v>Second Class</v>
      </c>
      <c r="N215" s="5">
        <f>[1]raw_orders!N215</f>
        <v>4</v>
      </c>
      <c r="O215" s="5">
        <f>[1]raw_orders!O215</f>
        <v>4332.7299999999996</v>
      </c>
      <c r="P215" s="5">
        <f>[1]raw_orders!P215</f>
        <v>0.2</v>
      </c>
      <c r="Q215" t="str">
        <f>PROPER(TRIM([1]raw_orders!T215))</f>
        <v>Paid</v>
      </c>
      <c r="R215" t="str">
        <f>PROPER(TRIM([1]raw_orders!U215))</f>
        <v>Completed</v>
      </c>
      <c r="S215" s="5">
        <f>[1]raw_orders!S215</f>
        <v>2570.6799999999998</v>
      </c>
      <c r="T215" s="5">
        <f t="shared" si="24"/>
        <v>25.706799999999998</v>
      </c>
      <c r="U215" s="5">
        <f t="shared" si="25"/>
        <v>-428191.57425599993</v>
      </c>
      <c r="V215" s="5">
        <f t="shared" si="26"/>
        <v>-428191.77425599995</v>
      </c>
      <c r="W215" s="5">
        <f t="shared" si="27"/>
        <v>1.0000004670806528</v>
      </c>
      <c r="X215" s="5">
        <f t="shared" si="28"/>
        <v>6</v>
      </c>
      <c r="Y215" s="5">
        <f t="shared" si="29"/>
        <v>5</v>
      </c>
      <c r="Z215" s="5">
        <f t="shared" si="30"/>
        <v>2024</v>
      </c>
      <c r="AA215" t="str">
        <f t="shared" si="31"/>
        <v>Clean</v>
      </c>
    </row>
    <row r="216" spans="1:27" x14ac:dyDescent="0.3">
      <c r="A216" t="str">
        <f>[1]raw_orders!A216</f>
        <v>ORD-2024-10215</v>
      </c>
      <c r="B216" s="4">
        <f>IFERROR(DATEVALUE([1]raw_orders!B216), "Invalid Date")</f>
        <v>45368</v>
      </c>
      <c r="C216" s="4">
        <f>IFERROR(DATEVALUE([1]raw_orders!C216), "Invalid Date")</f>
        <v>45374</v>
      </c>
      <c r="D216" t="str">
        <f>[1]raw_orders!D216</f>
        <v>CUST-1301</v>
      </c>
      <c r="E216" t="str">
        <f>PROPER(TRIM([1]raw_orders!E216))</f>
        <v>Rahul Verma</v>
      </c>
      <c r="F216" t="str">
        <f>PROPER(TRIM([1]raw_orders!F216))</f>
        <v>Consumer</v>
      </c>
      <c r="G216" t="str">
        <f>IF(TRIM([1]raw_orders!G216)="","Unknown",PROPER(TRIM([1]raw_orders!G216)))</f>
        <v>North</v>
      </c>
      <c r="H216" t="str">
        <f>PROPER(TRIM([1]raw_orders!H216))</f>
        <v>Haryana</v>
      </c>
      <c r="I216" t="str">
        <f>PROPER(TRIM([1]raw_orders!I216))</f>
        <v>Gurugram</v>
      </c>
      <c r="J216" t="str">
        <f>PROPER(TRIM([1]raw_orders!J216))</f>
        <v>Technology</v>
      </c>
      <c r="K216" t="str">
        <f>PROPER(TRIM([1]raw_orders!K216))</f>
        <v>Accessories</v>
      </c>
      <c r="L216" t="str">
        <f>[1]raw_orders!L216</f>
        <v>Classic Accessories 757</v>
      </c>
      <c r="M216" t="str">
        <f>IF(TRIM([1]raw_orders!M216)="","Unknown",PROPER(TRIM([1]raw_orders!M216)))</f>
        <v>First Class</v>
      </c>
      <c r="N216" s="5">
        <f>[1]raw_orders!N216</f>
        <v>3</v>
      </c>
      <c r="O216" s="5">
        <f>[1]raw_orders!O216</f>
        <v>248.18</v>
      </c>
      <c r="P216" s="5">
        <f>[1]raw_orders!P216</f>
        <v>0.05</v>
      </c>
      <c r="Q216" t="str">
        <f>PROPER(TRIM([1]raw_orders!T216))</f>
        <v>Paid</v>
      </c>
      <c r="R216" t="str">
        <f>PROPER(TRIM([1]raw_orders!U216))</f>
        <v>Completed</v>
      </c>
      <c r="S216" s="5">
        <f>[1]raw_orders!S216</f>
        <v>138.31</v>
      </c>
      <c r="T216" s="5">
        <f t="shared" si="24"/>
        <v>1.3831</v>
      </c>
      <c r="U216" s="5">
        <f t="shared" si="25"/>
        <v>-285.23327399999999</v>
      </c>
      <c r="V216" s="5">
        <f t="shared" si="26"/>
        <v>-285.28327400000001</v>
      </c>
      <c r="W216" s="5">
        <f t="shared" si="27"/>
        <v>1.0001752951165157</v>
      </c>
      <c r="X216" s="5">
        <f t="shared" si="28"/>
        <v>6</v>
      </c>
      <c r="Y216" s="5">
        <f t="shared" si="29"/>
        <v>3</v>
      </c>
      <c r="Z216" s="5">
        <f t="shared" si="30"/>
        <v>2024</v>
      </c>
      <c r="AA216" t="str">
        <f t="shared" si="31"/>
        <v>Clean</v>
      </c>
    </row>
    <row r="217" spans="1:27" x14ac:dyDescent="0.3">
      <c r="A217" t="str">
        <f>[1]raw_orders!A217</f>
        <v>ORD-2024-10216</v>
      </c>
      <c r="B217" s="4">
        <f>IFERROR(DATEVALUE([1]raw_orders!B217), "Invalid Date")</f>
        <v>45352</v>
      </c>
      <c r="C217" s="4">
        <f>IFERROR(DATEVALUE([1]raw_orders!C217), "Invalid Date")</f>
        <v>45355</v>
      </c>
      <c r="D217" t="str">
        <f>[1]raw_orders!D217</f>
        <v>CUST-8603</v>
      </c>
      <c r="E217" t="str">
        <f>PROPER(TRIM([1]raw_orders!E217))</f>
        <v>Mira Das</v>
      </c>
      <c r="F217" t="str">
        <f>PROPER(TRIM([1]raw_orders!F217))</f>
        <v>Consumer</v>
      </c>
      <c r="G217" t="str">
        <f>IF(TRIM([1]raw_orders!G217)="","Unknown",PROPER(TRIM([1]raw_orders!G217)))</f>
        <v>West</v>
      </c>
      <c r="H217" t="str">
        <f>PROPER(TRIM([1]raw_orders!H217))</f>
        <v>Madhya Pradesh</v>
      </c>
      <c r="I217" t="str">
        <f>PROPER(TRIM([1]raw_orders!I217))</f>
        <v>Indore</v>
      </c>
      <c r="J217" t="str">
        <f>PROPER(TRIM([1]raw_orders!J217))</f>
        <v>Office Supplies</v>
      </c>
      <c r="K217" t="str">
        <f>PROPER(TRIM([1]raw_orders!K217))</f>
        <v>Paper</v>
      </c>
      <c r="L217" t="str">
        <f>[1]raw_orders!L217</f>
        <v>Prime Paper 286</v>
      </c>
      <c r="M217" t="str">
        <f>IF(TRIM([1]raw_orders!M217)="","Unknown",PROPER(TRIM([1]raw_orders!M217)))</f>
        <v>First Class</v>
      </c>
      <c r="N217" s="5">
        <f>[1]raw_orders!N217</f>
        <v>8</v>
      </c>
      <c r="O217" s="5">
        <f>[1]raw_orders!O217</f>
        <v>3202.4</v>
      </c>
      <c r="P217" s="5">
        <f>[1]raw_orders!P217</f>
        <v>0.25</v>
      </c>
      <c r="Q217" t="str">
        <f>PROPER(TRIM([1]raw_orders!T217))</f>
        <v>Paid</v>
      </c>
      <c r="R217" t="str">
        <f>PROPER(TRIM([1]raw_orders!U217))</f>
        <v>Completed</v>
      </c>
      <c r="S217" s="5">
        <f>[1]raw_orders!S217</f>
        <v>8298.39</v>
      </c>
      <c r="T217" s="5">
        <f t="shared" si="24"/>
        <v>82.983899999999991</v>
      </c>
      <c r="U217" s="5">
        <f t="shared" si="25"/>
        <v>-2100361.9308799999</v>
      </c>
      <c r="V217" s="5">
        <f t="shared" si="26"/>
        <v>-2100362.1808799999</v>
      </c>
      <c r="W217" s="5">
        <f t="shared" si="27"/>
        <v>1.0000001190271051</v>
      </c>
      <c r="X217" s="5">
        <f t="shared" si="28"/>
        <v>3</v>
      </c>
      <c r="Y217" s="5">
        <f t="shared" si="29"/>
        <v>3</v>
      </c>
      <c r="Z217" s="5">
        <f t="shared" si="30"/>
        <v>2024</v>
      </c>
      <c r="AA217" t="str">
        <f t="shared" si="31"/>
        <v>Clean</v>
      </c>
    </row>
    <row r="218" spans="1:27" x14ac:dyDescent="0.3">
      <c r="A218" t="str">
        <f>[1]raw_orders!A218</f>
        <v>ORD-2025-10217</v>
      </c>
      <c r="B218" s="4">
        <f>IFERROR(DATEVALUE([1]raw_orders!B218), "Invalid Date")</f>
        <v>45934</v>
      </c>
      <c r="C218" s="4">
        <f>IFERROR(DATEVALUE([1]raw_orders!C218), "Invalid Date")</f>
        <v>45762</v>
      </c>
      <c r="D218" t="str">
        <f>[1]raw_orders!D218</f>
        <v>CUST-4330</v>
      </c>
      <c r="E218" t="str">
        <f>PROPER(TRIM([1]raw_orders!E218))</f>
        <v>Isha Nair</v>
      </c>
      <c r="F218" t="str">
        <f>PROPER(TRIM([1]raw_orders!F218))</f>
        <v>Consumer</v>
      </c>
      <c r="G218" t="str">
        <f>IF(TRIM([1]raw_orders!G218)="","Unknown",PROPER(TRIM([1]raw_orders!G218)))</f>
        <v>West</v>
      </c>
      <c r="H218" t="str">
        <f>PROPER(TRIM([1]raw_orders!H218))</f>
        <v>Gujarat</v>
      </c>
      <c r="I218" t="str">
        <f>PROPER(TRIM([1]raw_orders!I218))</f>
        <v>Ahmedabad</v>
      </c>
      <c r="J218" t="str">
        <f>PROPER(TRIM([1]raw_orders!J218))</f>
        <v>Furniture</v>
      </c>
      <c r="K218" t="str">
        <f>PROPER(TRIM([1]raw_orders!K218))</f>
        <v>Tables</v>
      </c>
      <c r="L218" t="str">
        <f>[1]raw_orders!L218</f>
        <v>Basic Tables 400</v>
      </c>
      <c r="M218" t="str">
        <f>IF(TRIM([1]raw_orders!M218)="","Unknown",PROPER(TRIM([1]raw_orders!M218)))</f>
        <v>Standard Class</v>
      </c>
      <c r="N218" s="5">
        <f>[1]raw_orders!N218</f>
        <v>8</v>
      </c>
      <c r="O218" s="5">
        <f>[1]raw_orders!O218</f>
        <v>1839.87</v>
      </c>
      <c r="P218" s="5">
        <f>[1]raw_orders!P218</f>
        <v>0.25</v>
      </c>
      <c r="Q218" t="str">
        <f>PROPER(TRIM([1]raw_orders!T218))</f>
        <v>Failed</v>
      </c>
      <c r="R218" t="str">
        <f>PROPER(TRIM([1]raw_orders!U218))</f>
        <v>Returned</v>
      </c>
      <c r="S218" s="5">
        <f>[1]raw_orders!S218</f>
        <v>3396.31</v>
      </c>
      <c r="T218" s="5">
        <f t="shared" si="24"/>
        <v>33.963099999999997</v>
      </c>
      <c r="U218" s="5">
        <f t="shared" si="25"/>
        <v>-485182.55037599994</v>
      </c>
      <c r="V218" s="5">
        <f t="shared" si="26"/>
        <v>-485182.80037599994</v>
      </c>
      <c r="W218" s="5">
        <f t="shared" si="27"/>
        <v>1.0000005152699738</v>
      </c>
      <c r="X218" s="5">
        <f t="shared" si="28"/>
        <v>-172</v>
      </c>
      <c r="Y218" s="5">
        <f t="shared" si="29"/>
        <v>10</v>
      </c>
      <c r="Z218" s="5">
        <f t="shared" si="30"/>
        <v>2025</v>
      </c>
      <c r="AA218" t="str">
        <f t="shared" si="31"/>
        <v>Invalid</v>
      </c>
    </row>
    <row r="219" spans="1:27" x14ac:dyDescent="0.3">
      <c r="A219" t="str">
        <f>[1]raw_orders!A219</f>
        <v>ORD-2025-10218</v>
      </c>
      <c r="B219" s="4">
        <f>IFERROR(DATEVALUE([1]raw_orders!B219), "Invalid Date")</f>
        <v>45748</v>
      </c>
      <c r="C219" s="4">
        <f>IFERROR(DATEVALUE([1]raw_orders!C219), "Invalid Date")</f>
        <v>45873</v>
      </c>
      <c r="D219" t="str">
        <f>[1]raw_orders!D219</f>
        <v>CUST-4533</v>
      </c>
      <c r="E219" t="str">
        <f>PROPER(TRIM([1]raw_orders!E219))</f>
        <v>Aditi Sen</v>
      </c>
      <c r="F219" t="str">
        <f>PROPER(TRIM([1]raw_orders!F219))</f>
        <v>Consumer</v>
      </c>
      <c r="G219" t="str">
        <f>IF(TRIM([1]raw_orders!G219)="","Unknown",PROPER(TRIM([1]raw_orders!G219)))</f>
        <v>East</v>
      </c>
      <c r="H219" t="str">
        <f>PROPER(TRIM([1]raw_orders!H219))</f>
        <v>Odisha</v>
      </c>
      <c r="I219" t="str">
        <f>PROPER(TRIM([1]raw_orders!I219))</f>
        <v>Bhubaneswar</v>
      </c>
      <c r="J219" t="str">
        <f>PROPER(TRIM([1]raw_orders!J219))</f>
        <v>Furniture</v>
      </c>
      <c r="K219" t="str">
        <f>PROPER(TRIM([1]raw_orders!K219))</f>
        <v>Bookcases</v>
      </c>
      <c r="L219" t="str">
        <f>[1]raw_orders!L219</f>
        <v>Basic Bookcases 405</v>
      </c>
      <c r="M219" t="str">
        <f>IF(TRIM([1]raw_orders!M219)="","Unknown",PROPER(TRIM([1]raw_orders!M219)))</f>
        <v>Second Class</v>
      </c>
      <c r="N219" s="5">
        <f>[1]raw_orders!N219</f>
        <v>5</v>
      </c>
      <c r="O219" s="5">
        <f>[1]raw_orders!O219</f>
        <v>1021.28</v>
      </c>
      <c r="P219" s="5">
        <f>[1]raw_orders!P219</f>
        <v>0.1</v>
      </c>
      <c r="Q219" t="str">
        <f>PROPER(TRIM([1]raw_orders!T219))</f>
        <v>Refunded</v>
      </c>
      <c r="R219" t="str">
        <f>PROPER(TRIM([1]raw_orders!U219))</f>
        <v>Cancelled</v>
      </c>
      <c r="S219" s="5">
        <f>[1]raw_orders!S219</f>
        <v>1198.96</v>
      </c>
      <c r="T219" s="5">
        <f t="shared" si="24"/>
        <v>11.989600000000001</v>
      </c>
      <c r="U219" s="5">
        <f t="shared" si="25"/>
        <v>-56117.293440000001</v>
      </c>
      <c r="V219" s="5">
        <f t="shared" si="26"/>
        <v>-56117.39344</v>
      </c>
      <c r="W219" s="5">
        <f t="shared" si="27"/>
        <v>1.0000017819818787</v>
      </c>
      <c r="X219" s="5">
        <f t="shared" si="28"/>
        <v>125</v>
      </c>
      <c r="Y219" s="5">
        <f t="shared" si="29"/>
        <v>4</v>
      </c>
      <c r="Z219" s="5">
        <f t="shared" si="30"/>
        <v>2025</v>
      </c>
      <c r="AA219" t="str">
        <f t="shared" si="31"/>
        <v>Clean</v>
      </c>
    </row>
    <row r="220" spans="1:27" x14ac:dyDescent="0.3">
      <c r="A220" t="str">
        <f>[1]raw_orders!A220</f>
        <v>ORD-2025-10219</v>
      </c>
      <c r="B220" s="4">
        <f>IFERROR(DATEVALUE([1]raw_orders!B220), "Invalid Date")</f>
        <v>45714</v>
      </c>
      <c r="C220" s="4">
        <f>IFERROR(DATEVALUE([1]raw_orders!C220), "Invalid Date")</f>
        <v>45715</v>
      </c>
      <c r="D220" t="str">
        <f>[1]raw_orders!D220</f>
        <v>CUST-8270</v>
      </c>
      <c r="E220" t="str">
        <f>PROPER(TRIM([1]raw_orders!E220))</f>
        <v>Priya Menon</v>
      </c>
      <c r="F220" t="str">
        <f>PROPER(TRIM([1]raw_orders!F220))</f>
        <v>Corporate</v>
      </c>
      <c r="G220" t="str">
        <f>IF(TRIM([1]raw_orders!G220)="","Unknown",PROPER(TRIM([1]raw_orders!G220)))</f>
        <v>West</v>
      </c>
      <c r="H220" t="str">
        <f>PROPER(TRIM([1]raw_orders!H220))</f>
        <v>Gujarat</v>
      </c>
      <c r="I220" t="str">
        <f>PROPER(TRIM([1]raw_orders!I220))</f>
        <v>Ahmedabad</v>
      </c>
      <c r="J220" t="str">
        <f>PROPER(TRIM([1]raw_orders!J220))</f>
        <v>Furniture</v>
      </c>
      <c r="K220" t="str">
        <f>PROPER(TRIM([1]raw_orders!K220))</f>
        <v>Bookcases</v>
      </c>
      <c r="L220" t="str">
        <f>[1]raw_orders!L220</f>
        <v>Classic Bookcases 139</v>
      </c>
      <c r="M220" t="str">
        <f>IF(TRIM([1]raw_orders!M220)="","Unknown",PROPER(TRIM([1]raw_orders!M220)))</f>
        <v>Standard Class</v>
      </c>
      <c r="N220" s="5">
        <f>[1]raw_orders!N220</f>
        <v>5</v>
      </c>
      <c r="O220" s="5">
        <f>[1]raw_orders!O220</f>
        <v>258.27999999999997</v>
      </c>
      <c r="P220" s="5">
        <f>[1]raw_orders!P220</f>
        <v>0</v>
      </c>
      <c r="Q220" t="str">
        <f>PROPER(TRIM([1]raw_orders!T220))</f>
        <v>Paid</v>
      </c>
      <c r="R220" t="str">
        <f>PROPER(TRIM([1]raw_orders!U220))</f>
        <v>Completed</v>
      </c>
      <c r="S220" s="5">
        <f>[1]raw_orders!S220</f>
        <v>534.47</v>
      </c>
      <c r="T220" s="5">
        <f t="shared" si="24"/>
        <v>5.3447000000000005</v>
      </c>
      <c r="U220" s="5">
        <f t="shared" si="25"/>
        <v>-5610.7455799999998</v>
      </c>
      <c r="V220" s="5">
        <f t="shared" si="26"/>
        <v>-5610.7455799999998</v>
      </c>
      <c r="W220" s="5">
        <f t="shared" si="27"/>
        <v>1</v>
      </c>
      <c r="X220" s="5">
        <f t="shared" si="28"/>
        <v>1</v>
      </c>
      <c r="Y220" s="5">
        <f t="shared" si="29"/>
        <v>2</v>
      </c>
      <c r="Z220" s="5">
        <f t="shared" si="30"/>
        <v>2025</v>
      </c>
      <c r="AA220" t="str">
        <f t="shared" si="31"/>
        <v>Clean</v>
      </c>
    </row>
    <row r="221" spans="1:27" x14ac:dyDescent="0.3">
      <c r="A221" t="str">
        <f>[1]raw_orders!A221</f>
        <v>ORD-2024-10220</v>
      </c>
      <c r="B221" s="4">
        <f>IFERROR(DATEVALUE([1]raw_orders!B221), "Invalid Date")</f>
        <v>45461</v>
      </c>
      <c r="C221" s="4" t="str">
        <f>IFERROR(DATEVALUE([1]raw_orders!C221), "Invalid Date")</f>
        <v>Invalid Date</v>
      </c>
      <c r="D221" t="str">
        <f>[1]raw_orders!D221</f>
        <v>CUST-1472</v>
      </c>
      <c r="E221" t="str">
        <f>PROPER(TRIM([1]raw_orders!E221))</f>
        <v>Rahul Verma</v>
      </c>
      <c r="F221" t="str">
        <f>PROPER(TRIM([1]raw_orders!F221))</f>
        <v>Consumer</v>
      </c>
      <c r="G221" t="str">
        <f>IF(TRIM([1]raw_orders!G221)="","Unknown",PROPER(TRIM([1]raw_orders!G221)))</f>
        <v>East</v>
      </c>
      <c r="H221" t="str">
        <f>PROPER(TRIM([1]raw_orders!H221))</f>
        <v>Bihar</v>
      </c>
      <c r="I221" t="str">
        <f>PROPER(TRIM([1]raw_orders!I221))</f>
        <v>Patna</v>
      </c>
      <c r="J221" t="str">
        <f>PROPER(TRIM([1]raw_orders!J221))</f>
        <v>Technology</v>
      </c>
      <c r="K221" t="str">
        <f>PROPER(TRIM([1]raw_orders!K221))</f>
        <v>Machines</v>
      </c>
      <c r="L221" t="str">
        <f>[1]raw_orders!L221</f>
        <v>Elite Machines 290</v>
      </c>
      <c r="M221" t="str">
        <f>IF(TRIM([1]raw_orders!M221)="","Unknown",PROPER(TRIM([1]raw_orders!M221)))</f>
        <v>First Class</v>
      </c>
      <c r="N221" s="5">
        <f>[1]raw_orders!N221</f>
        <v>2</v>
      </c>
      <c r="O221" s="5">
        <f>[1]raw_orders!O221</f>
        <v>121.49</v>
      </c>
      <c r="P221" s="5" t="str">
        <f>[1]raw_orders!P221</f>
        <v>85%</v>
      </c>
      <c r="Q221" t="str">
        <f>PROPER(TRIM([1]raw_orders!T221))</f>
        <v>Paid</v>
      </c>
      <c r="R221" t="str">
        <f>PROPER(TRIM([1]raw_orders!U221))</f>
        <v>Completed</v>
      </c>
      <c r="S221" s="5">
        <f>[1]raw_orders!S221</f>
        <v>81.56</v>
      </c>
      <c r="T221" s="5">
        <f t="shared" si="24"/>
        <v>0.81559999999999999</v>
      </c>
      <c r="U221" s="5">
        <f t="shared" si="25"/>
        <v>44.805512</v>
      </c>
      <c r="V221" s="5" t="str">
        <f t="shared" si="26"/>
        <v>Calculation Error</v>
      </c>
      <c r="W221" s="5" t="str">
        <f t="shared" si="27"/>
        <v>Calculation Error</v>
      </c>
      <c r="X221" s="5" t="str">
        <f t="shared" si="28"/>
        <v>Invalid Date</v>
      </c>
      <c r="Y221" s="5">
        <f t="shared" si="29"/>
        <v>6</v>
      </c>
      <c r="Z221" s="5">
        <f t="shared" si="30"/>
        <v>2024</v>
      </c>
      <c r="AA221" t="str">
        <f t="shared" si="31"/>
        <v>Clean</v>
      </c>
    </row>
    <row r="222" spans="1:27" x14ac:dyDescent="0.3">
      <c r="A222" t="str">
        <f>[1]raw_orders!A222</f>
        <v>ORD-2024-10221</v>
      </c>
      <c r="B222" s="4">
        <f>IFERROR(DATEVALUE([1]raw_orders!B222), "Invalid Date")</f>
        <v>45360</v>
      </c>
      <c r="C222" s="4">
        <f>IFERROR(DATEVALUE([1]raw_orders!C222), "Invalid Date")</f>
        <v>45360</v>
      </c>
      <c r="D222" t="str">
        <f>[1]raw_orders!D222</f>
        <v>CUST-1031</v>
      </c>
      <c r="E222" t="str">
        <f>PROPER(TRIM([1]raw_orders!E222))</f>
        <v>Sneha Kapoor</v>
      </c>
      <c r="F222" t="str">
        <f>PROPER(TRIM([1]raw_orders!F222))</f>
        <v>Consumer</v>
      </c>
      <c r="G222" t="str">
        <f>IF(TRIM([1]raw_orders!G222)="","Unknown",PROPER(TRIM([1]raw_orders!G222)))</f>
        <v>South</v>
      </c>
      <c r="H222" t="str">
        <f>PROPER(TRIM([1]raw_orders!H222))</f>
        <v>Kerala</v>
      </c>
      <c r="I222" t="str">
        <f>PROPER(TRIM([1]raw_orders!I222))</f>
        <v>Kochi</v>
      </c>
      <c r="J222" t="str">
        <f>PROPER(TRIM([1]raw_orders!J222))</f>
        <v>Office Supplies</v>
      </c>
      <c r="K222" t="str">
        <f>PROPER(TRIM([1]raw_orders!K222))</f>
        <v>Storage</v>
      </c>
      <c r="L222" t="str">
        <f>[1]raw_orders!L222</f>
        <v>Elite Storage 925</v>
      </c>
      <c r="M222" t="str">
        <f>IF(TRIM([1]raw_orders!M222)="","Unknown",PROPER(TRIM([1]raw_orders!M222)))</f>
        <v>First Class</v>
      </c>
      <c r="N222" s="5">
        <f>[1]raw_orders!N222</f>
        <v>4</v>
      </c>
      <c r="O222" s="5">
        <f>[1]raw_orders!O222</f>
        <v>2810.17</v>
      </c>
      <c r="P222" s="5">
        <f>[1]raw_orders!P222</f>
        <v>0.15</v>
      </c>
      <c r="Q222" t="str">
        <f>PROPER(TRIM([1]raw_orders!T222))</f>
        <v>Refunded</v>
      </c>
      <c r="R222" t="str">
        <f>PROPER(TRIM([1]raw_orders!U222))</f>
        <v>Cancelled</v>
      </c>
      <c r="S222" s="5">
        <f>[1]raw_orders!S222</f>
        <v>3486.11</v>
      </c>
      <c r="T222" s="5">
        <f t="shared" si="24"/>
        <v>34.8611</v>
      </c>
      <c r="U222" s="5">
        <f t="shared" si="25"/>
        <v>-380621.78954800003</v>
      </c>
      <c r="V222" s="5">
        <f t="shared" si="26"/>
        <v>-380621.93954800005</v>
      </c>
      <c r="W222" s="5">
        <f t="shared" si="27"/>
        <v>1.0000003940919941</v>
      </c>
      <c r="X222" s="5">
        <f t="shared" si="28"/>
        <v>0</v>
      </c>
      <c r="Y222" s="5">
        <f t="shared" si="29"/>
        <v>3</v>
      </c>
      <c r="Z222" s="5">
        <f t="shared" si="30"/>
        <v>2024</v>
      </c>
      <c r="AA222" t="str">
        <f t="shared" si="31"/>
        <v>Clean</v>
      </c>
    </row>
    <row r="223" spans="1:27" x14ac:dyDescent="0.3">
      <c r="A223" t="str">
        <f>[1]raw_orders!A223</f>
        <v>ORD-2025-10222</v>
      </c>
      <c r="B223" s="4">
        <f>IFERROR(DATEVALUE([1]raw_orders!B223), "Invalid Date")</f>
        <v>45669</v>
      </c>
      <c r="C223" s="4">
        <f>IFERROR(DATEVALUE([1]raw_orders!C223), "Invalid Date")</f>
        <v>45672</v>
      </c>
      <c r="D223" t="str">
        <f>[1]raw_orders!D223</f>
        <v>CUST-2495</v>
      </c>
      <c r="E223" t="str">
        <f>PROPER(TRIM([1]raw_orders!E223))</f>
        <v>Mira Das</v>
      </c>
      <c r="F223" t="str">
        <f>PROPER(TRIM([1]raw_orders!F223))</f>
        <v>Corporate</v>
      </c>
      <c r="G223" t="str">
        <f>IF(TRIM([1]raw_orders!G223)="","Unknown",PROPER(TRIM([1]raw_orders!G223)))</f>
        <v>South</v>
      </c>
      <c r="H223" t="str">
        <f>PROPER(TRIM([1]raw_orders!H223))</f>
        <v>Karnataka</v>
      </c>
      <c r="I223" t="str">
        <f>PROPER(TRIM([1]raw_orders!I223))</f>
        <v>Bengaluru</v>
      </c>
      <c r="J223" t="str">
        <f>PROPER(TRIM([1]raw_orders!J223))</f>
        <v>Furniture</v>
      </c>
      <c r="K223" t="str">
        <f>PROPER(TRIM([1]raw_orders!K223))</f>
        <v>Chairs</v>
      </c>
      <c r="L223" t="str">
        <f>[1]raw_orders!L223</f>
        <v>Classic Chairs 231</v>
      </c>
      <c r="M223" t="str">
        <f>IF(TRIM([1]raw_orders!M223)="","Unknown",PROPER(TRIM([1]raw_orders!M223)))</f>
        <v>Same Day</v>
      </c>
      <c r="N223" s="5">
        <f>[1]raw_orders!N223</f>
        <v>4</v>
      </c>
      <c r="O223" s="5">
        <f>[1]raw_orders!O223</f>
        <v>1531.53</v>
      </c>
      <c r="P223" s="5">
        <f>[1]raw_orders!P223</f>
        <v>0.2</v>
      </c>
      <c r="Q223" t="str">
        <f>PROPER(TRIM([1]raw_orders!T223))</f>
        <v>Paid</v>
      </c>
      <c r="R223" t="str">
        <f>PROPER(TRIM([1]raw_orders!U223))</f>
        <v>Completed</v>
      </c>
      <c r="S223" s="5">
        <f>[1]raw_orders!S223</f>
        <v>1348.21</v>
      </c>
      <c r="T223" s="5">
        <f t="shared" si="24"/>
        <v>13.482100000000001</v>
      </c>
      <c r="U223" s="5">
        <f t="shared" si="25"/>
        <v>-76466.842451999997</v>
      </c>
      <c r="V223" s="5">
        <f t="shared" si="26"/>
        <v>-76467.042451999994</v>
      </c>
      <c r="W223" s="5">
        <f t="shared" si="27"/>
        <v>1.000002615512732</v>
      </c>
      <c r="X223" s="5">
        <f t="shared" si="28"/>
        <v>3</v>
      </c>
      <c r="Y223" s="5">
        <f t="shared" si="29"/>
        <v>1</v>
      </c>
      <c r="Z223" s="5">
        <f t="shared" si="30"/>
        <v>2025</v>
      </c>
      <c r="AA223" t="str">
        <f t="shared" si="31"/>
        <v>Clean</v>
      </c>
    </row>
    <row r="224" spans="1:27" x14ac:dyDescent="0.3">
      <c r="A224" t="str">
        <f>[1]raw_orders!A224</f>
        <v>ORD-2025-10223</v>
      </c>
      <c r="B224" s="4" t="str">
        <f>IFERROR(DATEVALUE([1]raw_orders!B224), "Invalid Date")</f>
        <v>Invalid Date</v>
      </c>
      <c r="C224" s="4">
        <f>IFERROR(DATEVALUE([1]raw_orders!C224), "Invalid Date")</f>
        <v>45779</v>
      </c>
      <c r="D224" t="str">
        <f>[1]raw_orders!D224</f>
        <v>CUST-4583</v>
      </c>
      <c r="E224" t="str">
        <f>PROPER(TRIM([1]raw_orders!E224))</f>
        <v>Vikram Iyer</v>
      </c>
      <c r="F224" t="str">
        <f>PROPER(TRIM([1]raw_orders!F224))</f>
        <v>Small Business</v>
      </c>
      <c r="G224" t="str">
        <f>IF(TRIM([1]raw_orders!G224)="","Unknown",PROPER(TRIM([1]raw_orders!G224)))</f>
        <v>West</v>
      </c>
      <c r="H224" t="str">
        <f>PROPER(TRIM([1]raw_orders!H224))</f>
        <v>Goa</v>
      </c>
      <c r="I224" t="str">
        <f>PROPER(TRIM([1]raw_orders!I224))</f>
        <v>Panaji</v>
      </c>
      <c r="J224" t="str">
        <f>PROPER(TRIM([1]raw_orders!J224))</f>
        <v>Office Supplies</v>
      </c>
      <c r="K224" t="str">
        <f>PROPER(TRIM([1]raw_orders!K224))</f>
        <v>Storage</v>
      </c>
      <c r="L224" t="str">
        <f>[1]raw_orders!L224</f>
        <v>Prime Storage 818</v>
      </c>
      <c r="M224" t="str">
        <f>IF(TRIM([1]raw_orders!M224)="","Unknown",PROPER(TRIM([1]raw_orders!M224)))</f>
        <v>First Class</v>
      </c>
      <c r="N224" s="5">
        <f>[1]raw_orders!N224</f>
        <v>6</v>
      </c>
      <c r="O224" s="5">
        <f>[1]raw_orders!O224</f>
        <v>4308.09</v>
      </c>
      <c r="P224" s="5">
        <f>[1]raw_orders!P224</f>
        <v>0</v>
      </c>
      <c r="Q224" t="str">
        <f>PROPER(TRIM([1]raw_orders!T224))</f>
        <v>Paid</v>
      </c>
      <c r="R224" t="str">
        <f>PROPER(TRIM([1]raw_orders!U224))</f>
        <v>Completed</v>
      </c>
      <c r="S224" s="5">
        <f>[1]raw_orders!S224</f>
        <v>8119.45</v>
      </c>
      <c r="T224" s="5">
        <f t="shared" si="24"/>
        <v>81.194500000000005</v>
      </c>
      <c r="U224" s="5">
        <f t="shared" si="25"/>
        <v>-2072910.7410300002</v>
      </c>
      <c r="V224" s="5">
        <f t="shared" si="26"/>
        <v>-2072910.7410300002</v>
      </c>
      <c r="W224" s="5">
        <f t="shared" si="27"/>
        <v>1</v>
      </c>
      <c r="X224" s="5" t="str">
        <f t="shared" si="28"/>
        <v>Invalid Date</v>
      </c>
      <c r="Y224" s="5" t="e">
        <f t="shared" si="29"/>
        <v>#VALUE!</v>
      </c>
      <c r="Z224" s="5" t="e">
        <f t="shared" si="30"/>
        <v>#VALUE!</v>
      </c>
      <c r="AA224" t="str">
        <f t="shared" si="31"/>
        <v>Clean</v>
      </c>
    </row>
    <row r="225" spans="1:27" x14ac:dyDescent="0.3">
      <c r="A225" t="str">
        <f>[1]raw_orders!A225</f>
        <v>ORD-2025-10224</v>
      </c>
      <c r="B225" s="4">
        <f>IFERROR(DATEVALUE([1]raw_orders!B225), "Invalid Date")</f>
        <v>45707</v>
      </c>
      <c r="C225" s="4" t="str">
        <f>IFERROR(DATEVALUE([1]raw_orders!C225), "Invalid Date")</f>
        <v>Invalid Date</v>
      </c>
      <c r="D225" t="str">
        <f>[1]raw_orders!D225</f>
        <v>CUST-5319</v>
      </c>
      <c r="E225" t="str">
        <f>PROPER(TRIM([1]raw_orders!E225))</f>
        <v>Mira Das</v>
      </c>
      <c r="F225" t="str">
        <f>PROPER(TRIM([1]raw_orders!F225))</f>
        <v>Corporate</v>
      </c>
      <c r="G225" t="str">
        <f>IF(TRIM([1]raw_orders!G225)="","Unknown",PROPER(TRIM([1]raw_orders!G225)))</f>
        <v>West</v>
      </c>
      <c r="H225" t="str">
        <f>PROPER(TRIM([1]raw_orders!H225))</f>
        <v>Maharashtra</v>
      </c>
      <c r="I225" t="str">
        <f>PROPER(TRIM([1]raw_orders!I225))</f>
        <v>Mumbai</v>
      </c>
      <c r="J225" t="str">
        <f>PROPER(TRIM([1]raw_orders!J225))</f>
        <v>Furniture</v>
      </c>
      <c r="K225" t="str">
        <f>PROPER(TRIM([1]raw_orders!K225))</f>
        <v>Furnishings</v>
      </c>
      <c r="L225" t="str">
        <f>[1]raw_orders!L225</f>
        <v>Elite Furnishings 449</v>
      </c>
      <c r="M225" t="str">
        <f>IF(TRIM([1]raw_orders!M225)="","Unknown",PROPER(TRIM([1]raw_orders!M225)))</f>
        <v>First Class</v>
      </c>
      <c r="N225" s="5">
        <f>[1]raw_orders!N225</f>
        <v>3</v>
      </c>
      <c r="O225" s="5">
        <f>[1]raw_orders!O225</f>
        <v>490.3</v>
      </c>
      <c r="P225" s="5">
        <f>[1]raw_orders!P225</f>
        <v>0.2</v>
      </c>
      <c r="Q225" t="str">
        <f>PROPER(TRIM([1]raw_orders!T225))</f>
        <v>Pending</v>
      </c>
      <c r="R225" t="str">
        <f>PROPER(TRIM([1]raw_orders!U225))</f>
        <v>Returned</v>
      </c>
      <c r="S225" s="5">
        <f>[1]raw_orders!S225</f>
        <v>522.39</v>
      </c>
      <c r="T225" s="5">
        <f t="shared" si="24"/>
        <v>5.2238999999999995</v>
      </c>
      <c r="U225" s="5">
        <f t="shared" si="25"/>
        <v>-6212.93451</v>
      </c>
      <c r="V225" s="5">
        <f t="shared" si="26"/>
        <v>-6213.1345099999999</v>
      </c>
      <c r="W225" s="5">
        <f t="shared" si="27"/>
        <v>1.0000321909074814</v>
      </c>
      <c r="X225" s="5" t="str">
        <f t="shared" si="28"/>
        <v>Invalid Date</v>
      </c>
      <c r="Y225" s="5">
        <f t="shared" si="29"/>
        <v>2</v>
      </c>
      <c r="Z225" s="5">
        <f t="shared" si="30"/>
        <v>2025</v>
      </c>
      <c r="AA225" t="str">
        <f t="shared" si="31"/>
        <v>Clean</v>
      </c>
    </row>
    <row r="226" spans="1:27" x14ac:dyDescent="0.3">
      <c r="A226" t="str">
        <f>[1]raw_orders!A226</f>
        <v>ORD-2025-10225</v>
      </c>
      <c r="B226" s="4">
        <f>IFERROR(DATEVALUE([1]raw_orders!B226), "Invalid Date")</f>
        <v>45698</v>
      </c>
      <c r="C226" s="4">
        <f>IFERROR(DATEVALUE([1]raw_orders!C226), "Invalid Date")</f>
        <v>45938</v>
      </c>
      <c r="D226" t="str">
        <f>[1]raw_orders!D226</f>
        <v>CUST-9871</v>
      </c>
      <c r="E226" t="str">
        <f>PROPER(TRIM([1]raw_orders!E226))</f>
        <v>Isha Nair</v>
      </c>
      <c r="F226" t="str">
        <f>PROPER(TRIM([1]raw_orders!F226))</f>
        <v>Small Business</v>
      </c>
      <c r="G226" t="str">
        <f>IF(TRIM([1]raw_orders!G226)="","Unknown",PROPER(TRIM([1]raw_orders!G226)))</f>
        <v>North</v>
      </c>
      <c r="H226" t="str">
        <f>PROPER(TRIM([1]raw_orders!H226))</f>
        <v>Punjab</v>
      </c>
      <c r="I226" t="str">
        <f>PROPER(TRIM([1]raw_orders!I226))</f>
        <v>Ludhiana</v>
      </c>
      <c r="J226" t="str">
        <f>PROPER(TRIM([1]raw_orders!J226))</f>
        <v>Furniture</v>
      </c>
      <c r="K226" t="str">
        <f>PROPER(TRIM([1]raw_orders!K226))</f>
        <v>Furnishings</v>
      </c>
      <c r="L226" t="str">
        <f>[1]raw_orders!L226</f>
        <v>Classic Furnishings 109</v>
      </c>
      <c r="M226" t="str">
        <f>IF(TRIM([1]raw_orders!M226)="","Unknown",PROPER(TRIM([1]raw_orders!M226)))</f>
        <v>Standard Class</v>
      </c>
      <c r="N226" s="5">
        <f>[1]raw_orders!N226</f>
        <v>4</v>
      </c>
      <c r="O226" s="5">
        <f>[1]raw_orders!O226</f>
        <v>3944.64</v>
      </c>
      <c r="P226" s="5">
        <f>[1]raw_orders!P226</f>
        <v>0.25</v>
      </c>
      <c r="Q226" t="str">
        <f>PROPER(TRIM([1]raw_orders!T226))</f>
        <v>Paid</v>
      </c>
      <c r="R226" t="str">
        <f>PROPER(TRIM([1]raw_orders!U226))</f>
        <v>Cancelled</v>
      </c>
      <c r="S226" s="5">
        <f>[1]raw_orders!S226</f>
        <v>5151</v>
      </c>
      <c r="T226" s="5">
        <f t="shared" si="24"/>
        <v>51.51</v>
      </c>
      <c r="U226" s="5">
        <f t="shared" si="25"/>
        <v>-796975.06559999997</v>
      </c>
      <c r="V226" s="5">
        <f t="shared" si="26"/>
        <v>-796975.31559999997</v>
      </c>
      <c r="W226" s="5">
        <f t="shared" si="27"/>
        <v>1.0000003136860998</v>
      </c>
      <c r="X226" s="5">
        <f t="shared" si="28"/>
        <v>240</v>
      </c>
      <c r="Y226" s="5">
        <f t="shared" si="29"/>
        <v>2</v>
      </c>
      <c r="Z226" s="5">
        <f t="shared" si="30"/>
        <v>2025</v>
      </c>
      <c r="AA226" t="str">
        <f t="shared" si="31"/>
        <v>Clean</v>
      </c>
    </row>
    <row r="227" spans="1:27" x14ac:dyDescent="0.3">
      <c r="A227" t="str">
        <f>[1]raw_orders!A227</f>
        <v>ORD-2024-10226</v>
      </c>
      <c r="B227" s="4">
        <f>IFERROR(DATEVALUE([1]raw_orders!B227), "Invalid Date")</f>
        <v>45537</v>
      </c>
      <c r="C227" s="4">
        <f>IFERROR(DATEVALUE([1]raw_orders!C227), "Invalid Date")</f>
        <v>45545</v>
      </c>
      <c r="D227" t="str">
        <f>[1]raw_orders!D227</f>
        <v>CUST-1266</v>
      </c>
      <c r="E227" t="str">
        <f>PROPER(TRIM([1]raw_orders!E227))</f>
        <v>Mira Das</v>
      </c>
      <c r="F227" t="str">
        <f>PROPER(TRIM([1]raw_orders!F227))</f>
        <v>Corporate</v>
      </c>
      <c r="G227" t="str">
        <f>IF(TRIM([1]raw_orders!G227)="","Unknown",PROPER(TRIM([1]raw_orders!G227)))</f>
        <v>West</v>
      </c>
      <c r="H227" t="str">
        <f>PROPER(TRIM([1]raw_orders!H227))</f>
        <v>Goa</v>
      </c>
      <c r="I227" t="str">
        <f>PROPER(TRIM([1]raw_orders!I227))</f>
        <v>Panaji</v>
      </c>
      <c r="J227" t="str">
        <f>PROPER(TRIM([1]raw_orders!J227))</f>
        <v>Technology</v>
      </c>
      <c r="K227" t="str">
        <f>PROPER(TRIM([1]raw_orders!K227))</f>
        <v>Phones</v>
      </c>
      <c r="L227" t="str">
        <f>[1]raw_orders!L227</f>
        <v>Classic Phones 548</v>
      </c>
      <c r="M227" t="str">
        <f>IF(TRIM([1]raw_orders!M227)="","Unknown",PROPER(TRIM([1]raw_orders!M227)))</f>
        <v>Standard Class</v>
      </c>
      <c r="N227" s="5">
        <f>[1]raw_orders!N227</f>
        <v>6</v>
      </c>
      <c r="O227" s="5">
        <f>[1]raw_orders!O227</f>
        <v>1032.47</v>
      </c>
      <c r="P227" s="5">
        <f>[1]raw_orders!P227</f>
        <v>0.15</v>
      </c>
      <c r="Q227" t="str">
        <f>PROPER(TRIM([1]raw_orders!T227))</f>
        <v>Paid</v>
      </c>
      <c r="R227" t="str">
        <f>PROPER(TRIM([1]raw_orders!U227))</f>
        <v>Completed</v>
      </c>
      <c r="S227" s="5">
        <f>[1]raw_orders!S227</f>
        <v>787.57</v>
      </c>
      <c r="T227" s="5">
        <f t="shared" si="24"/>
        <v>7.8757000000000001</v>
      </c>
      <c r="U227" s="5">
        <f t="shared" si="25"/>
        <v>-42593.723873999996</v>
      </c>
      <c r="V227" s="5">
        <f t="shared" si="26"/>
        <v>-42593.873873999997</v>
      </c>
      <c r="W227" s="5">
        <f t="shared" si="27"/>
        <v>1.0000035216455938</v>
      </c>
      <c r="X227" s="5">
        <f t="shared" si="28"/>
        <v>8</v>
      </c>
      <c r="Y227" s="5">
        <f t="shared" si="29"/>
        <v>9</v>
      </c>
      <c r="Z227" s="5">
        <f t="shared" si="30"/>
        <v>2024</v>
      </c>
      <c r="AA227" t="str">
        <f t="shared" si="31"/>
        <v>Clean</v>
      </c>
    </row>
    <row r="228" spans="1:27" x14ac:dyDescent="0.3">
      <c r="A228" t="str">
        <f>[1]raw_orders!A228</f>
        <v>ORD-2025-10227</v>
      </c>
      <c r="B228" s="4">
        <f>IFERROR(DATEVALUE([1]raw_orders!B228), "Invalid Date")</f>
        <v>45757</v>
      </c>
      <c r="C228" s="4">
        <f>IFERROR(DATEVALUE([1]raw_orders!C228), "Invalid Date")</f>
        <v>45762</v>
      </c>
      <c r="D228" t="str">
        <f>[1]raw_orders!D228</f>
        <v>CUST-2545</v>
      </c>
      <c r="E228" t="str">
        <f>PROPER(TRIM([1]raw_orders!E228))</f>
        <v>Diya Patel</v>
      </c>
      <c r="F228" t="str">
        <f>PROPER(TRIM([1]raw_orders!F228))</f>
        <v>Home Office</v>
      </c>
      <c r="G228" t="str">
        <f>IF(TRIM([1]raw_orders!G228)="","Unknown",PROPER(TRIM([1]raw_orders!G228)))</f>
        <v>Unknown</v>
      </c>
      <c r="H228" t="str">
        <f>PROPER(TRIM([1]raw_orders!H228))</f>
        <v>Kerala</v>
      </c>
      <c r="I228" t="str">
        <f>PROPER(TRIM([1]raw_orders!I228))</f>
        <v>Kochi</v>
      </c>
      <c r="J228" t="str">
        <f>PROPER(TRIM([1]raw_orders!J228))</f>
        <v>Technology</v>
      </c>
      <c r="K228" t="str">
        <f>PROPER(TRIM([1]raw_orders!K228))</f>
        <v>Copiers</v>
      </c>
      <c r="L228" t="str">
        <f>[1]raw_orders!L228</f>
        <v>Max Copiers 363</v>
      </c>
      <c r="M228" t="str">
        <f>IF(TRIM([1]raw_orders!M228)="","Unknown",PROPER(TRIM([1]raw_orders!M228)))</f>
        <v>Same Day</v>
      </c>
      <c r="N228" s="5">
        <f>[1]raw_orders!N228</f>
        <v>1</v>
      </c>
      <c r="O228" s="5">
        <f>[1]raw_orders!O228</f>
        <v>2208.27</v>
      </c>
      <c r="P228" s="5">
        <f>[1]raw_orders!P228</f>
        <v>0.1</v>
      </c>
      <c r="Q228" t="str">
        <f>PROPER(TRIM([1]raw_orders!T228))</f>
        <v>Paid</v>
      </c>
      <c r="R228" t="str">
        <f>PROPER(TRIM([1]raw_orders!U228))</f>
        <v>Completed</v>
      </c>
      <c r="S228" s="5">
        <f>[1]raw_orders!S228</f>
        <v>877.21</v>
      </c>
      <c r="T228" s="5">
        <f t="shared" si="24"/>
        <v>8.7721</v>
      </c>
      <c r="U228" s="5">
        <f t="shared" si="25"/>
        <v>-17162.895267</v>
      </c>
      <c r="V228" s="5">
        <f t="shared" si="26"/>
        <v>-17162.995266999998</v>
      </c>
      <c r="W228" s="5">
        <f t="shared" si="27"/>
        <v>1.0000058265227656</v>
      </c>
      <c r="X228" s="5">
        <f t="shared" si="28"/>
        <v>5</v>
      </c>
      <c r="Y228" s="5">
        <f t="shared" si="29"/>
        <v>4</v>
      </c>
      <c r="Z228" s="5">
        <f t="shared" si="30"/>
        <v>2025</v>
      </c>
      <c r="AA228" t="str">
        <f t="shared" si="31"/>
        <v>Warning</v>
      </c>
    </row>
    <row r="229" spans="1:27" x14ac:dyDescent="0.3">
      <c r="A229" t="str">
        <f>[1]raw_orders!A229</f>
        <v>ORD-2024-10228</v>
      </c>
      <c r="B229" s="4">
        <f>IFERROR(DATEVALUE([1]raw_orders!B229), "Invalid Date")</f>
        <v>45478</v>
      </c>
      <c r="C229" s="4">
        <f>IFERROR(DATEVALUE([1]raw_orders!C229), "Invalid Date")</f>
        <v>45485</v>
      </c>
      <c r="D229" t="str">
        <f>[1]raw_orders!D229</f>
        <v>CUST-2819</v>
      </c>
      <c r="E229" t="str">
        <f>PROPER(TRIM([1]raw_orders!E229))</f>
        <v>Ananya Rao</v>
      </c>
      <c r="F229" t="str">
        <f>PROPER(TRIM([1]raw_orders!F229))</f>
        <v>Small Business</v>
      </c>
      <c r="G229" t="str">
        <f>IF(TRIM([1]raw_orders!G229)="","Unknown",PROPER(TRIM([1]raw_orders!G229)))</f>
        <v>West</v>
      </c>
      <c r="H229" t="str">
        <f>PROPER(TRIM([1]raw_orders!H229))</f>
        <v>Goa</v>
      </c>
      <c r="I229" t="str">
        <f>PROPER(TRIM([1]raw_orders!I229))</f>
        <v>Panaji</v>
      </c>
      <c r="J229" t="str">
        <f>PROPER(TRIM([1]raw_orders!J229))</f>
        <v>Office Supplies</v>
      </c>
      <c r="K229" t="str">
        <f>PROPER(TRIM([1]raw_orders!K229))</f>
        <v>Binders</v>
      </c>
      <c r="L229" t="str">
        <f>[1]raw_orders!L229</f>
        <v>Prime Binders 507</v>
      </c>
      <c r="M229" t="str">
        <f>IF(TRIM([1]raw_orders!M229)="","Unknown",PROPER(TRIM([1]raw_orders!M229)))</f>
        <v>First Class</v>
      </c>
      <c r="N229" s="5">
        <f>[1]raw_orders!N229</f>
        <v>3</v>
      </c>
      <c r="O229" s="5">
        <f>[1]raw_orders!O229</f>
        <v>577.75</v>
      </c>
      <c r="P229" s="5">
        <f>[1]raw_orders!P229</f>
        <v>0.15</v>
      </c>
      <c r="Q229" t="str">
        <f>PROPER(TRIM([1]raw_orders!T229))</f>
        <v>Paid</v>
      </c>
      <c r="R229" t="str">
        <f>PROPER(TRIM([1]raw_orders!U229))</f>
        <v>Completed</v>
      </c>
      <c r="S229" s="5">
        <f>[1]raw_orders!S229</f>
        <v>573.4</v>
      </c>
      <c r="T229" s="5">
        <f t="shared" si="24"/>
        <v>5.734</v>
      </c>
      <c r="U229" s="5">
        <f t="shared" si="25"/>
        <v>-8205.2055</v>
      </c>
      <c r="V229" s="5">
        <f t="shared" si="26"/>
        <v>-8205.3554999999997</v>
      </c>
      <c r="W229" s="5">
        <f t="shared" si="27"/>
        <v>1.0000182810777865</v>
      </c>
      <c r="X229" s="5">
        <f t="shared" si="28"/>
        <v>7</v>
      </c>
      <c r="Y229" s="5">
        <f t="shared" si="29"/>
        <v>7</v>
      </c>
      <c r="Z229" s="5">
        <f t="shared" si="30"/>
        <v>2024</v>
      </c>
      <c r="AA229" t="str">
        <f t="shared" si="31"/>
        <v>Clean</v>
      </c>
    </row>
    <row r="230" spans="1:27" x14ac:dyDescent="0.3">
      <c r="A230" t="str">
        <f>[1]raw_orders!A230</f>
        <v>ORD-2024-10229</v>
      </c>
      <c r="B230" s="4">
        <f>IFERROR(DATEVALUE([1]raw_orders!B230), "Invalid Date")</f>
        <v>45406</v>
      </c>
      <c r="C230" s="4">
        <f>IFERROR(DATEVALUE([1]raw_orders!C230), "Invalid Date")</f>
        <v>45410</v>
      </c>
      <c r="D230" t="str">
        <f>[1]raw_orders!D230</f>
        <v>CUST-1076</v>
      </c>
      <c r="E230" t="str">
        <f>PROPER(TRIM([1]raw_orders!E230))</f>
        <v>Karan Malhotra</v>
      </c>
      <c r="F230" t="str">
        <f>PROPER(TRIM([1]raw_orders!F230))</f>
        <v>Small Business</v>
      </c>
      <c r="G230" t="str">
        <f>IF(TRIM([1]raw_orders!G230)="","Unknown",PROPER(TRIM([1]raw_orders!G230)))</f>
        <v>South</v>
      </c>
      <c r="H230" t="str">
        <f>PROPER(TRIM([1]raw_orders!H230))</f>
        <v>Telangana</v>
      </c>
      <c r="I230" t="str">
        <f>PROPER(TRIM([1]raw_orders!I230))</f>
        <v>Hyderabad</v>
      </c>
      <c r="J230" t="str">
        <f>PROPER(TRIM([1]raw_orders!J230))</f>
        <v>Office Supplies</v>
      </c>
      <c r="K230" t="str">
        <f>PROPER(TRIM([1]raw_orders!K230))</f>
        <v>Labels</v>
      </c>
      <c r="L230" t="str">
        <f>[1]raw_orders!L230</f>
        <v>Smart Labels 914</v>
      </c>
      <c r="M230" t="str">
        <f>IF(TRIM([1]raw_orders!M230)="","Unknown",PROPER(TRIM([1]raw_orders!M230)))</f>
        <v>Second Class</v>
      </c>
      <c r="N230" s="5">
        <f>[1]raw_orders!N230</f>
        <v>1</v>
      </c>
      <c r="O230" s="5">
        <f>[1]raw_orders!O230</f>
        <v>3194.37</v>
      </c>
      <c r="P230" s="5">
        <f>[1]raw_orders!P230</f>
        <v>0.15</v>
      </c>
      <c r="Q230" t="str">
        <f>PROPER(TRIM([1]raw_orders!T230))</f>
        <v>Paid</v>
      </c>
      <c r="R230" t="str">
        <f>PROPER(TRIM([1]raw_orders!U230))</f>
        <v>Completed</v>
      </c>
      <c r="S230" s="5">
        <f>[1]raw_orders!S230</f>
        <v>1163.6600000000001</v>
      </c>
      <c r="T230" s="5">
        <f t="shared" si="24"/>
        <v>11.636600000000001</v>
      </c>
      <c r="U230" s="5">
        <f t="shared" si="25"/>
        <v>-33977.235942000007</v>
      </c>
      <c r="V230" s="5">
        <f t="shared" si="26"/>
        <v>-33977.385942000008</v>
      </c>
      <c r="W230" s="5">
        <f t="shared" si="27"/>
        <v>1.0000044147204987</v>
      </c>
      <c r="X230" s="5">
        <f t="shared" si="28"/>
        <v>4</v>
      </c>
      <c r="Y230" s="5">
        <f t="shared" si="29"/>
        <v>4</v>
      </c>
      <c r="Z230" s="5">
        <f t="shared" si="30"/>
        <v>2024</v>
      </c>
      <c r="AA230" t="str">
        <f t="shared" si="31"/>
        <v>Clean</v>
      </c>
    </row>
    <row r="231" spans="1:27" x14ac:dyDescent="0.3">
      <c r="A231" t="str">
        <f>[1]raw_orders!A231</f>
        <v>ORD-2025-10230</v>
      </c>
      <c r="B231" s="4">
        <f>IFERROR(DATEVALUE([1]raw_orders!B231), "Invalid Date")</f>
        <v>45836</v>
      </c>
      <c r="C231" s="4">
        <f>IFERROR(DATEVALUE([1]raw_orders!C231), "Invalid Date")</f>
        <v>45754</v>
      </c>
      <c r="D231" t="str">
        <f>[1]raw_orders!D231</f>
        <v>CUST-1943</v>
      </c>
      <c r="E231" t="str">
        <f>PROPER(TRIM([1]raw_orders!E231))</f>
        <v>Rohan Mehta</v>
      </c>
      <c r="F231" t="str">
        <f>PROPER(TRIM([1]raw_orders!F231))</f>
        <v>Consumer</v>
      </c>
      <c r="G231" t="str">
        <f>IF(TRIM([1]raw_orders!G231)="","Unknown",PROPER(TRIM([1]raw_orders!G231)))</f>
        <v>South</v>
      </c>
      <c r="H231" t="str">
        <f>PROPER(TRIM([1]raw_orders!H231))</f>
        <v>Telangana</v>
      </c>
      <c r="I231" t="str">
        <f>PROPER(TRIM([1]raw_orders!I231))</f>
        <v>Hyderabad</v>
      </c>
      <c r="J231" t="str">
        <f>PROPER(TRIM([1]raw_orders!J231))</f>
        <v>Furniture</v>
      </c>
      <c r="K231" t="str">
        <f>PROPER(TRIM([1]raw_orders!K231))</f>
        <v>Bookcases</v>
      </c>
      <c r="L231" t="str">
        <f>[1]raw_orders!L231</f>
        <v>Smart Bookcases 662</v>
      </c>
      <c r="M231" t="str">
        <f>IF(TRIM([1]raw_orders!M231)="","Unknown",PROPER(TRIM([1]raw_orders!M231)))</f>
        <v>First Class</v>
      </c>
      <c r="N231" s="5">
        <f>[1]raw_orders!N231</f>
        <v>3</v>
      </c>
      <c r="O231" s="5">
        <f>[1]raw_orders!O231</f>
        <v>2886.23</v>
      </c>
      <c r="P231" s="5">
        <f>[1]raw_orders!P231</f>
        <v>0</v>
      </c>
      <c r="Q231" t="str">
        <f>PROPER(TRIM([1]raw_orders!T231))</f>
        <v>Refunded</v>
      </c>
      <c r="R231" t="str">
        <f>PROPER(TRIM([1]raw_orders!U231))</f>
        <v>Returned</v>
      </c>
      <c r="S231" s="5">
        <f>[1]raw_orders!S231</f>
        <v>3122.75</v>
      </c>
      <c r="T231" s="5">
        <f t="shared" si="24"/>
        <v>31.227499999999999</v>
      </c>
      <c r="U231" s="5">
        <f t="shared" si="25"/>
        <v>-261730.55197500001</v>
      </c>
      <c r="V231" s="5">
        <f t="shared" si="26"/>
        <v>-261730.55197500001</v>
      </c>
      <c r="W231" s="5">
        <f t="shared" si="27"/>
        <v>1</v>
      </c>
      <c r="X231" s="5">
        <f t="shared" si="28"/>
        <v>-82</v>
      </c>
      <c r="Y231" s="5">
        <f t="shared" si="29"/>
        <v>6</v>
      </c>
      <c r="Z231" s="5">
        <f t="shared" si="30"/>
        <v>2025</v>
      </c>
      <c r="AA231" t="str">
        <f t="shared" si="31"/>
        <v>Invalid</v>
      </c>
    </row>
    <row r="232" spans="1:27" x14ac:dyDescent="0.3">
      <c r="A232" t="str">
        <f>[1]raw_orders!A232</f>
        <v>ORD-2024-10231</v>
      </c>
      <c r="B232" s="4">
        <f>IFERROR(DATEVALUE([1]raw_orders!B232), "Invalid Date")</f>
        <v>45440</v>
      </c>
      <c r="C232" s="4">
        <f>IFERROR(DATEVALUE([1]raw_orders!C232), "Invalid Date")</f>
        <v>45446</v>
      </c>
      <c r="D232" t="str">
        <f>[1]raw_orders!D232</f>
        <v>CUST-3434</v>
      </c>
      <c r="E232" t="str">
        <f>PROPER(TRIM([1]raw_orders!E232))</f>
        <v>Neha Gupta</v>
      </c>
      <c r="F232" t="str">
        <f>PROPER(TRIM([1]raw_orders!F232))</f>
        <v>Small Business</v>
      </c>
      <c r="G232" t="str">
        <f>IF(TRIM([1]raw_orders!G232)="","Unknown",PROPER(TRIM([1]raw_orders!G232)))</f>
        <v>North</v>
      </c>
      <c r="H232" t="str">
        <f>PROPER(TRIM([1]raw_orders!H232))</f>
        <v>Rajasthan</v>
      </c>
      <c r="I232" t="str">
        <f>PROPER(TRIM([1]raw_orders!I232))</f>
        <v>Jaipur</v>
      </c>
      <c r="J232" t="str">
        <f>PROPER(TRIM([1]raw_orders!J232))</f>
        <v>Office Supplies</v>
      </c>
      <c r="K232" t="str">
        <f>PROPER(TRIM([1]raw_orders!K232))</f>
        <v>Paper</v>
      </c>
      <c r="L232" t="str">
        <f>[1]raw_orders!L232</f>
        <v>Eco Paper 937</v>
      </c>
      <c r="M232" t="str">
        <f>IF(TRIM([1]raw_orders!M232)="","Unknown",PROPER(TRIM([1]raw_orders!M232)))</f>
        <v>Standard Class</v>
      </c>
      <c r="N232" s="5">
        <f>[1]raw_orders!N232</f>
        <v>8</v>
      </c>
      <c r="O232" s="5">
        <f>[1]raw_orders!O232</f>
        <v>1540.33</v>
      </c>
      <c r="P232" s="5">
        <f>[1]raw_orders!P232</f>
        <v>0.1</v>
      </c>
      <c r="Q232" t="str">
        <f>PROPER(TRIM([1]raw_orders!T232))</f>
        <v>Paid</v>
      </c>
      <c r="R232" t="str">
        <f>PROPER(TRIM([1]raw_orders!U232))</f>
        <v>Completed</v>
      </c>
      <c r="S232" s="5">
        <f>[1]raw_orders!S232</f>
        <v>2249.4299999999998</v>
      </c>
      <c r="T232" s="5">
        <f t="shared" si="24"/>
        <v>22.494299999999999</v>
      </c>
      <c r="U232" s="5">
        <f t="shared" si="25"/>
        <v>-264866.52095199999</v>
      </c>
      <c r="V232" s="5">
        <f t="shared" si="26"/>
        <v>-264866.62095199997</v>
      </c>
      <c r="W232" s="5">
        <f t="shared" si="27"/>
        <v>1.0000003775486597</v>
      </c>
      <c r="X232" s="5">
        <f t="shared" si="28"/>
        <v>6</v>
      </c>
      <c r="Y232" s="5">
        <f t="shared" si="29"/>
        <v>5</v>
      </c>
      <c r="Z232" s="5">
        <f t="shared" si="30"/>
        <v>2024</v>
      </c>
      <c r="AA232" t="str">
        <f t="shared" si="31"/>
        <v>Clean</v>
      </c>
    </row>
    <row r="233" spans="1:27" x14ac:dyDescent="0.3">
      <c r="A233" t="str">
        <f>[1]raw_orders!A233</f>
        <v>ORD-2024-10232</v>
      </c>
      <c r="B233" s="4">
        <f>IFERROR(DATEVALUE([1]raw_orders!B233), "Invalid Date")</f>
        <v>45414</v>
      </c>
      <c r="C233" s="4">
        <f>IFERROR(DATEVALUE([1]raw_orders!C233), "Invalid Date")</f>
        <v>45327</v>
      </c>
      <c r="D233" t="str">
        <f>[1]raw_orders!D233</f>
        <v>CUST-9139</v>
      </c>
      <c r="E233" t="str">
        <f>PROPER(TRIM([1]raw_orders!E233))</f>
        <v>Ananya Rao</v>
      </c>
      <c r="F233" t="str">
        <f>PROPER(TRIM([1]raw_orders!F233))</f>
        <v>Corporate</v>
      </c>
      <c r="G233" t="str">
        <f>IF(TRIM([1]raw_orders!G233)="","Unknown",PROPER(TRIM([1]raw_orders!G233)))</f>
        <v>North</v>
      </c>
      <c r="H233" t="str">
        <f>PROPER(TRIM([1]raw_orders!H233))</f>
        <v>Rajasthan</v>
      </c>
      <c r="I233" t="str">
        <f>PROPER(TRIM([1]raw_orders!I233))</f>
        <v>Jaipur</v>
      </c>
      <c r="J233" t="str">
        <f>PROPER(TRIM([1]raw_orders!J233))</f>
        <v>Office Supplies</v>
      </c>
      <c r="K233" t="str">
        <f>PROPER(TRIM([1]raw_orders!K233))</f>
        <v>Labels</v>
      </c>
      <c r="L233" t="str">
        <f>[1]raw_orders!L233</f>
        <v>Max Labels 370</v>
      </c>
      <c r="M233" t="str">
        <f>IF(TRIM([1]raw_orders!M233)="","Unknown",PROPER(TRIM([1]raw_orders!M233)))</f>
        <v>First Class</v>
      </c>
      <c r="N233" s="5">
        <f>[1]raw_orders!N233</f>
        <v>7</v>
      </c>
      <c r="O233" s="5">
        <f>[1]raw_orders!O233</f>
        <v>2183.38</v>
      </c>
      <c r="P233" s="5">
        <f>[1]raw_orders!P233</f>
        <v>0.25</v>
      </c>
      <c r="Q233" t="str">
        <f>PROPER(TRIM([1]raw_orders!T233))</f>
        <v>Refunded</v>
      </c>
      <c r="R233" t="str">
        <f>PROPER(TRIM([1]raw_orders!U233))</f>
        <v>Cancelled</v>
      </c>
      <c r="S233" s="5">
        <f>[1]raw_orders!S233</f>
        <v>4299.2</v>
      </c>
      <c r="T233" s="5">
        <f t="shared" si="24"/>
        <v>42.991999999999997</v>
      </c>
      <c r="U233" s="5">
        <f t="shared" si="25"/>
        <v>-641791.45071999996</v>
      </c>
      <c r="V233" s="5">
        <f t="shared" si="26"/>
        <v>-641791.70071999996</v>
      </c>
      <c r="W233" s="5">
        <f t="shared" si="27"/>
        <v>1.0000003895346374</v>
      </c>
      <c r="X233" s="5">
        <f t="shared" si="28"/>
        <v>-87</v>
      </c>
      <c r="Y233" s="5">
        <f t="shared" si="29"/>
        <v>5</v>
      </c>
      <c r="Z233" s="5">
        <f t="shared" si="30"/>
        <v>2024</v>
      </c>
      <c r="AA233" t="str">
        <f t="shared" si="31"/>
        <v>Invalid</v>
      </c>
    </row>
    <row r="234" spans="1:27" x14ac:dyDescent="0.3">
      <c r="A234" t="str">
        <f>[1]raw_orders!A234</f>
        <v>ORD-2025-10233</v>
      </c>
      <c r="B234" s="4">
        <f>IFERROR(DATEVALUE([1]raw_orders!B234), "Invalid Date")</f>
        <v>45812</v>
      </c>
      <c r="C234" s="4">
        <f>IFERROR(DATEVALUE([1]raw_orders!C234), "Invalid Date")</f>
        <v>45818</v>
      </c>
      <c r="D234" t="str">
        <f>[1]raw_orders!D234</f>
        <v>CUST-5341</v>
      </c>
      <c r="E234" t="str">
        <f>PROPER(TRIM([1]raw_orders!E234))</f>
        <v>Rahul Verma</v>
      </c>
      <c r="F234" t="str">
        <f>PROPER(TRIM([1]raw_orders!F234))</f>
        <v>Consumer</v>
      </c>
      <c r="G234" t="str">
        <f>IF(TRIM([1]raw_orders!G234)="","Unknown",PROPER(TRIM([1]raw_orders!G234)))</f>
        <v>South</v>
      </c>
      <c r="H234" t="str">
        <f>PROPER(TRIM([1]raw_orders!H234))</f>
        <v>Andhra Pradesh</v>
      </c>
      <c r="I234" t="str">
        <f>PROPER(TRIM([1]raw_orders!I234))</f>
        <v>Vijayawada</v>
      </c>
      <c r="J234" t="str">
        <f>PROPER(TRIM([1]raw_orders!J234))</f>
        <v>Technology</v>
      </c>
      <c r="K234" t="str">
        <f>PROPER(TRIM([1]raw_orders!K234))</f>
        <v>Phones</v>
      </c>
      <c r="L234" t="str">
        <f>[1]raw_orders!L234</f>
        <v>Classic Phones 530</v>
      </c>
      <c r="M234" t="str">
        <f>IF(TRIM([1]raw_orders!M234)="","Unknown",PROPER(TRIM([1]raw_orders!M234)))</f>
        <v>Standard Class</v>
      </c>
      <c r="N234" s="5">
        <f>[1]raw_orders!N234</f>
        <v>4</v>
      </c>
      <c r="O234" s="5">
        <f>[1]raw_orders!O234</f>
        <v>223.37</v>
      </c>
      <c r="P234" s="5">
        <f>[1]raw_orders!P234</f>
        <v>0.25</v>
      </c>
      <c r="Q234" t="str">
        <f>PROPER(TRIM([1]raw_orders!T234))</f>
        <v>Paid</v>
      </c>
      <c r="R234" t="str">
        <f>PROPER(TRIM([1]raw_orders!U234))</f>
        <v>Completed</v>
      </c>
      <c r="S234" s="5">
        <f>[1]raw_orders!S234</f>
        <v>110.54</v>
      </c>
      <c r="T234" s="5">
        <f t="shared" si="24"/>
        <v>1.1054000000000002</v>
      </c>
      <c r="U234" s="5">
        <f t="shared" si="25"/>
        <v>-94.172792000000143</v>
      </c>
      <c r="V234" s="5">
        <f t="shared" si="26"/>
        <v>-94.422792000000143</v>
      </c>
      <c r="W234" s="5">
        <f t="shared" si="27"/>
        <v>1.0026546945746284</v>
      </c>
      <c r="X234" s="5">
        <f t="shared" si="28"/>
        <v>6</v>
      </c>
      <c r="Y234" s="5">
        <f t="shared" si="29"/>
        <v>6</v>
      </c>
      <c r="Z234" s="5">
        <f t="shared" si="30"/>
        <v>2025</v>
      </c>
      <c r="AA234" t="str">
        <f t="shared" si="31"/>
        <v>Clean</v>
      </c>
    </row>
    <row r="235" spans="1:27" x14ac:dyDescent="0.3">
      <c r="A235" t="str">
        <f>[1]raw_orders!A235</f>
        <v>ORD-2024-10234</v>
      </c>
      <c r="B235" s="4">
        <f>IFERROR(DATEVALUE([1]raw_orders!B235), "Invalid Date")</f>
        <v>45579</v>
      </c>
      <c r="C235" s="4" t="str">
        <f>IFERROR(DATEVALUE([1]raw_orders!C235), "Invalid Date")</f>
        <v>Invalid Date</v>
      </c>
      <c r="D235" t="str">
        <f>[1]raw_orders!D235</f>
        <v>CUST-3710</v>
      </c>
      <c r="E235" t="str">
        <f>PROPER(TRIM([1]raw_orders!E235))</f>
        <v>Vikram Iyer</v>
      </c>
      <c r="F235" t="str">
        <f>PROPER(TRIM([1]raw_orders!F235))</f>
        <v>Corporate</v>
      </c>
      <c r="G235" t="str">
        <f>IF(TRIM([1]raw_orders!G235)="","Unknown",PROPER(TRIM([1]raw_orders!G235)))</f>
        <v>South</v>
      </c>
      <c r="H235" t="str">
        <f>PROPER(TRIM([1]raw_orders!H235))</f>
        <v>Karnataka</v>
      </c>
      <c r="I235" t="str">
        <f>PROPER(TRIM([1]raw_orders!I235))</f>
        <v>Bengaluru</v>
      </c>
      <c r="J235" t="str">
        <f>PROPER(TRIM([1]raw_orders!J235))</f>
        <v>Furniture</v>
      </c>
      <c r="K235" t="str">
        <f>PROPER(TRIM([1]raw_orders!K235))</f>
        <v>Bookcases</v>
      </c>
      <c r="L235" t="str">
        <f>[1]raw_orders!L235</f>
        <v>Smart Bookcases 328</v>
      </c>
      <c r="M235" t="str">
        <f>IF(TRIM([1]raw_orders!M235)="","Unknown",PROPER(TRIM([1]raw_orders!M235)))</f>
        <v>Unknown</v>
      </c>
      <c r="N235" s="5">
        <f>[1]raw_orders!N235</f>
        <v>8</v>
      </c>
      <c r="O235" s="5">
        <f>[1]raw_orders!O235</f>
        <v>3904.59</v>
      </c>
      <c r="P235" s="5">
        <f>[1]raw_orders!P235</f>
        <v>0</v>
      </c>
      <c r="Q235" t="str">
        <f>PROPER(TRIM([1]raw_orders!T235))</f>
        <v>Paid</v>
      </c>
      <c r="R235" t="str">
        <f>PROPER(TRIM([1]raw_orders!U235))</f>
        <v>Completed</v>
      </c>
      <c r="S235" s="5">
        <f>[1]raw_orders!S235</f>
        <v>4859.0200000000004</v>
      </c>
      <c r="T235" s="5">
        <f t="shared" si="24"/>
        <v>48.590200000000003</v>
      </c>
      <c r="U235" s="5">
        <f t="shared" si="25"/>
        <v>-1486561.7521440003</v>
      </c>
      <c r="V235" s="5">
        <f t="shared" si="26"/>
        <v>-1486561.7521440003</v>
      </c>
      <c r="W235" s="5">
        <f t="shared" si="27"/>
        <v>1</v>
      </c>
      <c r="X235" s="5" t="str">
        <f t="shared" si="28"/>
        <v>Invalid Date</v>
      </c>
      <c r="Y235" s="5">
        <f t="shared" si="29"/>
        <v>10</v>
      </c>
      <c r="Z235" s="5">
        <f t="shared" si="30"/>
        <v>2024</v>
      </c>
      <c r="AA235" t="str">
        <f t="shared" si="31"/>
        <v>Warning</v>
      </c>
    </row>
    <row r="236" spans="1:27" x14ac:dyDescent="0.3">
      <c r="A236" t="str">
        <f>[1]raw_orders!A236</f>
        <v>ORD-2024-10235</v>
      </c>
      <c r="B236" s="4">
        <f>IFERROR(DATEVALUE([1]raw_orders!B236), "Invalid Date")</f>
        <v>45331</v>
      </c>
      <c r="C236" s="4">
        <f>IFERROR(DATEVALUE([1]raw_orders!C236), "Invalid Date")</f>
        <v>45538</v>
      </c>
      <c r="D236" t="str">
        <f>[1]raw_orders!D236</f>
        <v>CUST-9754</v>
      </c>
      <c r="E236" t="str">
        <f>PROPER(TRIM([1]raw_orders!E236))</f>
        <v>Kabir Singh</v>
      </c>
      <c r="F236" t="str">
        <f>PROPER(TRIM([1]raw_orders!F236))</f>
        <v>Home Office</v>
      </c>
      <c r="G236" t="str">
        <f>IF(TRIM([1]raw_orders!G236)="","Unknown",PROPER(TRIM([1]raw_orders!G236)))</f>
        <v>North</v>
      </c>
      <c r="H236" t="str">
        <f>PROPER(TRIM([1]raw_orders!H236))</f>
        <v>Delhi</v>
      </c>
      <c r="I236" t="str">
        <f>PROPER(TRIM([1]raw_orders!I236))</f>
        <v>New Delhi</v>
      </c>
      <c r="J236" t="str">
        <f>PROPER(TRIM([1]raw_orders!J236))</f>
        <v>Furniture</v>
      </c>
      <c r="K236" t="str">
        <f>PROPER(TRIM([1]raw_orders!K236))</f>
        <v>Furnishings</v>
      </c>
      <c r="L236" t="str">
        <f>[1]raw_orders!L236</f>
        <v>Eco Furnishings 981</v>
      </c>
      <c r="M236" t="str">
        <f>IF(TRIM([1]raw_orders!M236)="","Unknown",PROPER(TRIM([1]raw_orders!M236)))</f>
        <v>First Class</v>
      </c>
      <c r="N236" s="5">
        <f>[1]raw_orders!N236</f>
        <v>9</v>
      </c>
      <c r="O236" s="5">
        <f>[1]raw_orders!O236</f>
        <v>1353.61</v>
      </c>
      <c r="P236" s="5">
        <f>[1]raw_orders!P236</f>
        <v>0.1</v>
      </c>
      <c r="Q236" t="str">
        <f>PROPER(TRIM([1]raw_orders!T236))</f>
        <v>Paid</v>
      </c>
      <c r="R236" t="str">
        <f>PROPER(TRIM([1]raw_orders!U236))</f>
        <v>Completed</v>
      </c>
      <c r="S236" s="5">
        <f>[1]raw_orders!S236</f>
        <v>1701.77</v>
      </c>
      <c r="T236" s="5">
        <f t="shared" si="24"/>
        <v>17.017700000000001</v>
      </c>
      <c r="U236" s="5">
        <f t="shared" si="25"/>
        <v>-195135.470073</v>
      </c>
      <c r="V236" s="5">
        <f t="shared" si="26"/>
        <v>-195135.57007300001</v>
      </c>
      <c r="W236" s="5">
        <f t="shared" si="27"/>
        <v>1.0000005124644944</v>
      </c>
      <c r="X236" s="5">
        <f t="shared" si="28"/>
        <v>207</v>
      </c>
      <c r="Y236" s="5">
        <f t="shared" si="29"/>
        <v>2</v>
      </c>
      <c r="Z236" s="5">
        <f t="shared" si="30"/>
        <v>2024</v>
      </c>
      <c r="AA236" t="str">
        <f t="shared" si="31"/>
        <v>Clean</v>
      </c>
    </row>
    <row r="237" spans="1:27" x14ac:dyDescent="0.3">
      <c r="A237" t="str">
        <f>[1]raw_orders!A237</f>
        <v>ORD-2024-10236</v>
      </c>
      <c r="B237" s="4">
        <f>IFERROR(DATEVALUE([1]raw_orders!B237), "Invalid Date")</f>
        <v>45333</v>
      </c>
      <c r="C237" s="4">
        <f>IFERROR(DATEVALUE([1]raw_orders!C237), "Invalid Date")</f>
        <v>45362</v>
      </c>
      <c r="D237" t="str">
        <f>[1]raw_orders!D237</f>
        <v>CUST-6256</v>
      </c>
      <c r="E237" t="str">
        <f>PROPER(TRIM([1]raw_orders!E237))</f>
        <v>Rahul Verma</v>
      </c>
      <c r="F237" t="str">
        <f>PROPER(TRIM([1]raw_orders!F237))</f>
        <v>Small Business</v>
      </c>
      <c r="G237" t="str">
        <f>IF(TRIM([1]raw_orders!G237)="","Unknown",PROPER(TRIM([1]raw_orders!G237)))</f>
        <v>West</v>
      </c>
      <c r="H237" t="str">
        <f>PROPER(TRIM([1]raw_orders!H237))</f>
        <v>Rajasthan</v>
      </c>
      <c r="I237" t="str">
        <f>PROPER(TRIM([1]raw_orders!I237))</f>
        <v>Udaipur</v>
      </c>
      <c r="J237" t="str">
        <f>PROPER(TRIM([1]raw_orders!J237))</f>
        <v>Office Supplies</v>
      </c>
      <c r="K237" t="str">
        <f>PROPER(TRIM([1]raw_orders!K237))</f>
        <v>Storage</v>
      </c>
      <c r="L237" t="str">
        <f>[1]raw_orders!L237</f>
        <v>Basic Storage 195</v>
      </c>
      <c r="M237" t="str">
        <f>IF(TRIM([1]raw_orders!M237)="","Unknown",PROPER(TRIM([1]raw_orders!M237)))</f>
        <v>Standard Class</v>
      </c>
      <c r="N237" s="5">
        <f>[1]raw_orders!N237</f>
        <v>6</v>
      </c>
      <c r="O237" s="5">
        <f>[1]raw_orders!O237</f>
        <v>2671.29</v>
      </c>
      <c r="P237" s="5">
        <f>[1]raw_orders!P237</f>
        <v>0.05</v>
      </c>
      <c r="Q237" t="str">
        <f>PROPER(TRIM([1]raw_orders!T237))</f>
        <v>Paid</v>
      </c>
      <c r="R237" t="str">
        <f>PROPER(TRIM([1]raw_orders!U237))</f>
        <v>Completed</v>
      </c>
      <c r="S237" s="5">
        <f>[1]raw_orders!S237</f>
        <v>4081.07</v>
      </c>
      <c r="T237" s="5">
        <f t="shared" si="24"/>
        <v>40.810700000000004</v>
      </c>
      <c r="U237" s="5">
        <f t="shared" si="25"/>
        <v>-638075.54881800001</v>
      </c>
      <c r="V237" s="5">
        <f t="shared" si="26"/>
        <v>-638075.59881800006</v>
      </c>
      <c r="W237" s="5">
        <f t="shared" si="27"/>
        <v>1.0000000783606269</v>
      </c>
      <c r="X237" s="5">
        <f t="shared" si="28"/>
        <v>29</v>
      </c>
      <c r="Y237" s="5">
        <f t="shared" si="29"/>
        <v>2</v>
      </c>
      <c r="Z237" s="5">
        <f t="shared" si="30"/>
        <v>2024</v>
      </c>
      <c r="AA237" t="str">
        <f t="shared" si="31"/>
        <v>Clean</v>
      </c>
    </row>
    <row r="238" spans="1:27" x14ac:dyDescent="0.3">
      <c r="A238" t="str">
        <f>[1]raw_orders!A238</f>
        <v>ORD-2024-10237</v>
      </c>
      <c r="B238" s="4" t="str">
        <f>IFERROR(DATEVALUE([1]raw_orders!B238), "Invalid Date")</f>
        <v>Invalid Date</v>
      </c>
      <c r="C238" s="4">
        <f>IFERROR(DATEVALUE([1]raw_orders!C238), "Invalid Date")</f>
        <v>45586</v>
      </c>
      <c r="D238" t="str">
        <f>[1]raw_orders!D238</f>
        <v>CUST-7113</v>
      </c>
      <c r="E238" t="str">
        <f>PROPER(TRIM([1]raw_orders!E238))</f>
        <v>Priya Menon</v>
      </c>
      <c r="F238" t="str">
        <f>PROPER(TRIM([1]raw_orders!F238))</f>
        <v>Corporate</v>
      </c>
      <c r="G238" t="str">
        <f>IF(TRIM([1]raw_orders!G238)="","Unknown",PROPER(TRIM([1]raw_orders!G238)))</f>
        <v>North</v>
      </c>
      <c r="H238" t="str">
        <f>PROPER(TRIM([1]raw_orders!H238))</f>
        <v>Uttar Pradesh</v>
      </c>
      <c r="I238" t="str">
        <f>PROPER(TRIM([1]raw_orders!I238))</f>
        <v>Noida</v>
      </c>
      <c r="J238" t="str">
        <f>PROPER(TRIM([1]raw_orders!J238))</f>
        <v>Furniture</v>
      </c>
      <c r="K238" t="str">
        <f>PROPER(TRIM([1]raw_orders!K238))</f>
        <v>Bookcases</v>
      </c>
      <c r="L238" t="str">
        <f>[1]raw_orders!L238</f>
        <v>Elite Bookcases 907</v>
      </c>
      <c r="M238" t="str">
        <f>IF(TRIM([1]raw_orders!M238)="","Unknown",PROPER(TRIM([1]raw_orders!M238)))</f>
        <v>First Class</v>
      </c>
      <c r="N238" s="5">
        <f>[1]raw_orders!N238</f>
        <v>6</v>
      </c>
      <c r="O238" s="5">
        <f>[1]raw_orders!O238</f>
        <v>4062.78</v>
      </c>
      <c r="P238" s="5">
        <f>[1]raw_orders!P238</f>
        <v>0</v>
      </c>
      <c r="Q238" t="str">
        <f>PROPER(TRIM([1]raw_orders!T238))</f>
        <v>Paid</v>
      </c>
      <c r="R238" t="str">
        <f>PROPER(TRIM([1]raw_orders!U238))</f>
        <v>Completed</v>
      </c>
      <c r="S238" s="5">
        <f>[1]raw_orders!S238</f>
        <v>5843.29</v>
      </c>
      <c r="T238" s="5">
        <f t="shared" si="24"/>
        <v>58.432899999999997</v>
      </c>
      <c r="U238" s="5">
        <f t="shared" si="25"/>
        <v>-1400023.4247719999</v>
      </c>
      <c r="V238" s="5">
        <f t="shared" si="26"/>
        <v>-1400023.4247719999</v>
      </c>
      <c r="W238" s="5">
        <f t="shared" si="27"/>
        <v>1</v>
      </c>
      <c r="X238" s="5" t="str">
        <f t="shared" si="28"/>
        <v>Invalid Date</v>
      </c>
      <c r="Y238" s="5" t="e">
        <f t="shared" si="29"/>
        <v>#VALUE!</v>
      </c>
      <c r="Z238" s="5" t="e">
        <f t="shared" si="30"/>
        <v>#VALUE!</v>
      </c>
      <c r="AA238" t="str">
        <f t="shared" si="31"/>
        <v>Clean</v>
      </c>
    </row>
    <row r="239" spans="1:27" x14ac:dyDescent="0.3">
      <c r="A239" t="str">
        <f>[1]raw_orders!A239</f>
        <v>ORD-2024-10238</v>
      </c>
      <c r="B239" s="4">
        <f>IFERROR(DATEVALUE([1]raw_orders!B239), "Invalid Date")</f>
        <v>45531</v>
      </c>
      <c r="C239" s="4">
        <f>IFERROR(DATEVALUE([1]raw_orders!C239), "Invalid Date")</f>
        <v>45531</v>
      </c>
      <c r="D239" t="str">
        <f>[1]raw_orders!D239</f>
        <v>CUST-3827</v>
      </c>
      <c r="E239" t="str">
        <f>PROPER(TRIM([1]raw_orders!E239))</f>
        <v>Mira Das</v>
      </c>
      <c r="F239" t="str">
        <f>PROPER(TRIM([1]raw_orders!F239))</f>
        <v>Consumer</v>
      </c>
      <c r="G239" t="str">
        <f>IF(TRIM([1]raw_orders!G239)="","Unknown",PROPER(TRIM([1]raw_orders!G239)))</f>
        <v>North</v>
      </c>
      <c r="H239" t="str">
        <f>PROPER(TRIM([1]raw_orders!H239))</f>
        <v>Haryana</v>
      </c>
      <c r="I239" t="str">
        <f>PROPER(TRIM([1]raw_orders!I239))</f>
        <v>Gurugram</v>
      </c>
      <c r="J239" t="str">
        <f>PROPER(TRIM([1]raw_orders!J239))</f>
        <v>Technology</v>
      </c>
      <c r="K239" t="str">
        <f>PROPER(TRIM([1]raw_orders!K239))</f>
        <v>Copiers</v>
      </c>
      <c r="L239" t="str">
        <f>[1]raw_orders!L239</f>
        <v>Smart Copiers 471</v>
      </c>
      <c r="M239" t="str">
        <f>IF(TRIM([1]raw_orders!M239)="","Unknown",PROPER(TRIM([1]raw_orders!M239)))</f>
        <v>Standard Class</v>
      </c>
      <c r="N239" s="5">
        <f>[1]raw_orders!N239</f>
        <v>9</v>
      </c>
      <c r="O239" s="5">
        <f>[1]raw_orders!O239</f>
        <v>2330.3000000000002</v>
      </c>
      <c r="P239" s="5">
        <f>[1]raw_orders!P239</f>
        <v>0</v>
      </c>
      <c r="Q239" t="str">
        <f>PROPER(TRIM([1]raw_orders!T239))</f>
        <v>Paid</v>
      </c>
      <c r="R239" t="str">
        <f>PROPER(TRIM([1]raw_orders!U239))</f>
        <v>Completed</v>
      </c>
      <c r="S239" s="5">
        <f>[1]raw_orders!S239</f>
        <v>7467.82</v>
      </c>
      <c r="T239" s="5">
        <f t="shared" si="24"/>
        <v>74.678200000000004</v>
      </c>
      <c r="U239" s="5">
        <f t="shared" si="25"/>
        <v>-1545230.7851400001</v>
      </c>
      <c r="V239" s="5">
        <f t="shared" si="26"/>
        <v>-1545230.7851400001</v>
      </c>
      <c r="W239" s="5">
        <f t="shared" si="27"/>
        <v>1</v>
      </c>
      <c r="X239" s="5">
        <f t="shared" si="28"/>
        <v>0</v>
      </c>
      <c r="Y239" s="5">
        <f t="shared" si="29"/>
        <v>8</v>
      </c>
      <c r="Z239" s="5">
        <f t="shared" si="30"/>
        <v>2024</v>
      </c>
      <c r="AA239" t="str">
        <f t="shared" si="31"/>
        <v>Clean</v>
      </c>
    </row>
    <row r="240" spans="1:27" x14ac:dyDescent="0.3">
      <c r="A240" t="str">
        <f>[1]raw_orders!A240</f>
        <v>ORD-2024-10239</v>
      </c>
      <c r="B240" s="4">
        <f>IFERROR(DATEVALUE([1]raw_orders!B240), "Invalid Date")</f>
        <v>45627</v>
      </c>
      <c r="C240" s="4" t="str">
        <f>IFERROR(DATEVALUE([1]raw_orders!C240), "Invalid Date")</f>
        <v>Invalid Date</v>
      </c>
      <c r="D240" t="str">
        <f>[1]raw_orders!D240</f>
        <v>CUST-2375</v>
      </c>
      <c r="E240" t="str">
        <f>PROPER(TRIM([1]raw_orders!E240))</f>
        <v>Arjun Bose</v>
      </c>
      <c r="F240" t="str">
        <f>PROPER(TRIM([1]raw_orders!F240))</f>
        <v>Consumer</v>
      </c>
      <c r="G240" t="str">
        <f>IF(TRIM([1]raw_orders!G240)="","Unknown",PROPER(TRIM([1]raw_orders!G240)))</f>
        <v>South</v>
      </c>
      <c r="H240" t="str">
        <f>PROPER(TRIM([1]raw_orders!H240))</f>
        <v>Andhra Pradesh</v>
      </c>
      <c r="I240" t="str">
        <f>PROPER(TRIM([1]raw_orders!I240))</f>
        <v>Vijayawada</v>
      </c>
      <c r="J240" t="str">
        <f>PROPER(TRIM([1]raw_orders!J240))</f>
        <v>Office Supplies</v>
      </c>
      <c r="K240" t="str">
        <f>PROPER(TRIM([1]raw_orders!K240))</f>
        <v>Storage</v>
      </c>
      <c r="L240" t="str">
        <f>[1]raw_orders!L240</f>
        <v>Prime Storage 625</v>
      </c>
      <c r="M240" t="str">
        <f>IF(TRIM([1]raw_orders!M240)="","Unknown",PROPER(TRIM([1]raw_orders!M240)))</f>
        <v>First Class</v>
      </c>
      <c r="N240" s="5">
        <f>[1]raw_orders!N240</f>
        <v>7</v>
      </c>
      <c r="O240" s="5">
        <f>[1]raw_orders!O240</f>
        <v>4005.05</v>
      </c>
      <c r="P240" s="5">
        <f>[1]raw_orders!P240</f>
        <v>0.55000000000000004</v>
      </c>
      <c r="Q240" t="str">
        <f>PROPER(TRIM([1]raw_orders!T240))</f>
        <v>Paid</v>
      </c>
      <c r="R240" t="str">
        <f>PROPER(TRIM([1]raw_orders!U240))</f>
        <v>Completed</v>
      </c>
      <c r="S240" s="5">
        <f>[1]raw_orders!S240</f>
        <v>7794.83</v>
      </c>
      <c r="T240" s="5">
        <f t="shared" si="24"/>
        <v>77.948300000000003</v>
      </c>
      <c r="U240" s="5">
        <f t="shared" si="25"/>
        <v>-2157272.5224050004</v>
      </c>
      <c r="V240" s="5">
        <f t="shared" si="26"/>
        <v>-2157273.0724050002</v>
      </c>
      <c r="W240" s="5">
        <f t="shared" si="27"/>
        <v>1.0000002549515623</v>
      </c>
      <c r="X240" s="5" t="str">
        <f t="shared" si="28"/>
        <v>Invalid Date</v>
      </c>
      <c r="Y240" s="5">
        <f t="shared" si="29"/>
        <v>12</v>
      </c>
      <c r="Z240" s="5">
        <f t="shared" si="30"/>
        <v>2024</v>
      </c>
      <c r="AA240" t="str">
        <f t="shared" si="31"/>
        <v>Clean</v>
      </c>
    </row>
    <row r="241" spans="1:27" x14ac:dyDescent="0.3">
      <c r="A241" t="str">
        <f>[1]raw_orders!A241</f>
        <v>ORD-2024-10240</v>
      </c>
      <c r="B241" s="4">
        <f>IFERROR(DATEVALUE([1]raw_orders!B241), "Invalid Date")</f>
        <v>45556</v>
      </c>
      <c r="C241" s="4" t="str">
        <f>IFERROR(DATEVALUE([1]raw_orders!C241), "Invalid Date")</f>
        <v>Invalid Date</v>
      </c>
      <c r="D241" t="str">
        <f>[1]raw_orders!D241</f>
        <v>CUST-2233</v>
      </c>
      <c r="E241" t="str">
        <f>PROPER(TRIM([1]raw_orders!E241))</f>
        <v>Kabir Singh</v>
      </c>
      <c r="F241" t="str">
        <f>PROPER(TRIM([1]raw_orders!F241))</f>
        <v>Corporate</v>
      </c>
      <c r="G241" t="str">
        <f>IF(TRIM([1]raw_orders!G241)="","Unknown",PROPER(TRIM([1]raw_orders!G241)))</f>
        <v>South</v>
      </c>
      <c r="H241" t="str">
        <f>PROPER(TRIM([1]raw_orders!H241))</f>
        <v>Karnataka</v>
      </c>
      <c r="I241" t="str">
        <f>PROPER(TRIM([1]raw_orders!I241))</f>
        <v>Bengaluru</v>
      </c>
      <c r="J241" t="str">
        <f>PROPER(TRIM([1]raw_orders!J241))</f>
        <v>Technology</v>
      </c>
      <c r="K241" t="str">
        <f>PROPER(TRIM([1]raw_orders!K241))</f>
        <v>Machines</v>
      </c>
      <c r="L241" t="str">
        <f>[1]raw_orders!L241</f>
        <v>Smart Machines 801</v>
      </c>
      <c r="M241" t="str">
        <f>IF(TRIM([1]raw_orders!M241)="","Unknown",PROPER(TRIM([1]raw_orders!M241)))</f>
        <v>First Class</v>
      </c>
      <c r="N241" s="5">
        <f>[1]raw_orders!N241</f>
        <v>2</v>
      </c>
      <c r="O241" s="5">
        <f>[1]raw_orders!O241</f>
        <v>1960.06</v>
      </c>
      <c r="P241" s="5">
        <f>[1]raw_orders!P241</f>
        <v>0.2</v>
      </c>
      <c r="Q241" t="str">
        <f>PROPER(TRIM([1]raw_orders!T241))</f>
        <v>Paid</v>
      </c>
      <c r="R241" t="str">
        <f>PROPER(TRIM([1]raw_orders!U241))</f>
        <v>Completed</v>
      </c>
      <c r="S241" s="5">
        <f>[1]raw_orders!S241</f>
        <v>856.61</v>
      </c>
      <c r="T241" s="5">
        <f t="shared" si="24"/>
        <v>8.5661000000000005</v>
      </c>
      <c r="U241" s="5">
        <f t="shared" si="25"/>
        <v>-29660.019932000003</v>
      </c>
      <c r="V241" s="5">
        <f t="shared" si="26"/>
        <v>-29660.219932000004</v>
      </c>
      <c r="W241" s="5">
        <f t="shared" si="27"/>
        <v>1.0000067430838031</v>
      </c>
      <c r="X241" s="5" t="str">
        <f t="shared" si="28"/>
        <v>Invalid Date</v>
      </c>
      <c r="Y241" s="5">
        <f t="shared" si="29"/>
        <v>9</v>
      </c>
      <c r="Z241" s="5">
        <f t="shared" si="30"/>
        <v>2024</v>
      </c>
      <c r="AA241" t="str">
        <f t="shared" si="31"/>
        <v>Clean</v>
      </c>
    </row>
    <row r="242" spans="1:27" x14ac:dyDescent="0.3">
      <c r="A242" t="str">
        <f>[1]raw_orders!A242</f>
        <v>ORD-2024-10241</v>
      </c>
      <c r="B242" s="4">
        <f>IFERROR(DATEVALUE([1]raw_orders!B242), "Invalid Date")</f>
        <v>45643</v>
      </c>
      <c r="C242" s="4">
        <f>IFERROR(DATEVALUE([1]raw_orders!C242), "Invalid Date")</f>
        <v>45649</v>
      </c>
      <c r="D242" t="str">
        <f>[1]raw_orders!D242</f>
        <v>CUST-9778</v>
      </c>
      <c r="E242" t="str">
        <f>PROPER(TRIM([1]raw_orders!E242))</f>
        <v>Aarav Sharma</v>
      </c>
      <c r="F242" t="str">
        <f>PROPER(TRIM([1]raw_orders!F242))</f>
        <v>Corporate</v>
      </c>
      <c r="G242" t="str">
        <f>IF(TRIM([1]raw_orders!G242)="","Unknown",PROPER(TRIM([1]raw_orders!G242)))</f>
        <v>South</v>
      </c>
      <c r="H242" t="str">
        <f>PROPER(TRIM([1]raw_orders!H242))</f>
        <v>Telangana</v>
      </c>
      <c r="I242" t="str">
        <f>PROPER(TRIM([1]raw_orders!I242))</f>
        <v>Hyderabad</v>
      </c>
      <c r="J242" t="str">
        <f>PROPER(TRIM([1]raw_orders!J242))</f>
        <v>Office Supplies</v>
      </c>
      <c r="K242" t="str">
        <f>PROPER(TRIM([1]raw_orders!K242))</f>
        <v>Binders</v>
      </c>
      <c r="L242" t="str">
        <f>[1]raw_orders!L242</f>
        <v>Max Binders 170</v>
      </c>
      <c r="M242" t="str">
        <f>IF(TRIM([1]raw_orders!M242)="","Unknown",PROPER(TRIM([1]raw_orders!M242)))</f>
        <v>First Class</v>
      </c>
      <c r="N242" s="5">
        <f>[1]raw_orders!N242</f>
        <v>9</v>
      </c>
      <c r="O242" s="5">
        <f>[1]raw_orders!O242</f>
        <v>2315.1</v>
      </c>
      <c r="P242" s="5">
        <f>[1]raw_orders!P242</f>
        <v>0</v>
      </c>
      <c r="Q242" t="str">
        <f>PROPER(TRIM([1]raw_orders!T242))</f>
        <v>Paid</v>
      </c>
      <c r="R242" t="str">
        <f>PROPER(TRIM([1]raw_orders!U242))</f>
        <v>Completed</v>
      </c>
      <c r="S242" s="5">
        <f>[1]raw_orders!S242</f>
        <v>6907.71</v>
      </c>
      <c r="T242" s="5">
        <f t="shared" si="24"/>
        <v>69.077100000000002</v>
      </c>
      <c r="U242" s="5">
        <f t="shared" si="25"/>
        <v>-1418447.6478899999</v>
      </c>
      <c r="V242" s="5">
        <f t="shared" si="26"/>
        <v>-1418447.6478899999</v>
      </c>
      <c r="W242" s="5">
        <f t="shared" si="27"/>
        <v>1</v>
      </c>
      <c r="X242" s="5">
        <f t="shared" si="28"/>
        <v>6</v>
      </c>
      <c r="Y242" s="5">
        <f t="shared" si="29"/>
        <v>12</v>
      </c>
      <c r="Z242" s="5">
        <f t="shared" si="30"/>
        <v>2024</v>
      </c>
      <c r="AA242" t="str">
        <f t="shared" si="31"/>
        <v>Clean</v>
      </c>
    </row>
    <row r="243" spans="1:27" x14ac:dyDescent="0.3">
      <c r="A243" t="str">
        <f>[1]raw_orders!A243</f>
        <v>ORD-2025-10242</v>
      </c>
      <c r="B243" s="4">
        <f>IFERROR(DATEVALUE([1]raw_orders!B243), "Invalid Date")</f>
        <v>45815</v>
      </c>
      <c r="C243" s="4">
        <f>IFERROR(DATEVALUE([1]raw_orders!C243), "Invalid Date")</f>
        <v>45844</v>
      </c>
      <c r="D243" t="str">
        <f>[1]raw_orders!D243</f>
        <v>CUST-6949</v>
      </c>
      <c r="E243" t="str">
        <f>PROPER(TRIM([1]raw_orders!E243))</f>
        <v>Sneha Kapoor</v>
      </c>
      <c r="F243" t="str">
        <f>PROPER(TRIM([1]raw_orders!F243))</f>
        <v>Corporate</v>
      </c>
      <c r="G243" t="str">
        <f>IF(TRIM([1]raw_orders!G243)="","Unknown",PROPER(TRIM([1]raw_orders!G243)))</f>
        <v>North</v>
      </c>
      <c r="H243" t="str">
        <f>PROPER(TRIM([1]raw_orders!H243))</f>
        <v>Haryana</v>
      </c>
      <c r="I243" t="str">
        <f>PROPER(TRIM([1]raw_orders!I243))</f>
        <v>Gurugram</v>
      </c>
      <c r="J243" t="str">
        <f>PROPER(TRIM([1]raw_orders!J243))</f>
        <v>Office Supplies</v>
      </c>
      <c r="K243" t="str">
        <f>PROPER(TRIM([1]raw_orders!K243))</f>
        <v>Storage</v>
      </c>
      <c r="L243" t="str">
        <f>[1]raw_orders!L243</f>
        <v>Basic Storage 737</v>
      </c>
      <c r="M243" t="str">
        <f>IF(TRIM([1]raw_orders!M243)="","Unknown",PROPER(TRIM([1]raw_orders!M243)))</f>
        <v>Standard Class</v>
      </c>
      <c r="N243" s="5">
        <f>[1]raw_orders!N243</f>
        <v>1</v>
      </c>
      <c r="O243" s="5">
        <f>[1]raw_orders!O243</f>
        <v>1617.2</v>
      </c>
      <c r="P243" s="5">
        <f>[1]raw_orders!P243</f>
        <v>0.25</v>
      </c>
      <c r="Q243" t="str">
        <f>PROPER(TRIM([1]raw_orders!T243))</f>
        <v>Pending</v>
      </c>
      <c r="R243" t="str">
        <f>PROPER(TRIM([1]raw_orders!U243))</f>
        <v>Returned</v>
      </c>
      <c r="S243" s="5">
        <f>[1]raw_orders!S243</f>
        <v>522.38</v>
      </c>
      <c r="T243" s="5">
        <f t="shared" si="24"/>
        <v>5.2237999999999998</v>
      </c>
      <c r="U243" s="5">
        <f t="shared" si="25"/>
        <v>-6830.7293600000003</v>
      </c>
      <c r="V243" s="5">
        <f t="shared" si="26"/>
        <v>-6830.9793600000003</v>
      </c>
      <c r="W243" s="5">
        <f t="shared" si="27"/>
        <v>1.0000365993127269</v>
      </c>
      <c r="X243" s="5">
        <f t="shared" si="28"/>
        <v>29</v>
      </c>
      <c r="Y243" s="5">
        <f t="shared" si="29"/>
        <v>6</v>
      </c>
      <c r="Z243" s="5">
        <f t="shared" si="30"/>
        <v>2025</v>
      </c>
      <c r="AA243" t="str">
        <f t="shared" si="31"/>
        <v>Clean</v>
      </c>
    </row>
    <row r="244" spans="1:27" x14ac:dyDescent="0.3">
      <c r="A244" t="str">
        <f>[1]raw_orders!A244</f>
        <v>ORD-2025-10243</v>
      </c>
      <c r="B244" s="4">
        <f>IFERROR(DATEVALUE([1]raw_orders!B244), "Invalid Date")</f>
        <v>45695</v>
      </c>
      <c r="C244" s="4">
        <f>IFERROR(DATEVALUE([1]raw_orders!C244), "Invalid Date")</f>
        <v>45695</v>
      </c>
      <c r="D244" t="str">
        <f>[1]raw_orders!D244</f>
        <v>CUST-3430</v>
      </c>
      <c r="E244" t="str">
        <f>PROPER(TRIM([1]raw_orders!E244))</f>
        <v>Arjun Bose</v>
      </c>
      <c r="F244" t="str">
        <f>PROPER(TRIM([1]raw_orders!F244))</f>
        <v>Consumer</v>
      </c>
      <c r="G244" t="str">
        <f>IF(TRIM([1]raw_orders!G244)="","Unknown",PROPER(TRIM([1]raw_orders!G244)))</f>
        <v>North</v>
      </c>
      <c r="H244" t="str">
        <f>PROPER(TRIM([1]raw_orders!H244))</f>
        <v>Uttar Pradesh</v>
      </c>
      <c r="I244" t="str">
        <f>PROPER(TRIM([1]raw_orders!I244))</f>
        <v>Noida</v>
      </c>
      <c r="J244" t="str">
        <f>PROPER(TRIM([1]raw_orders!J244))</f>
        <v>Office Supplies</v>
      </c>
      <c r="K244" t="str">
        <f>PROPER(TRIM([1]raw_orders!K244))</f>
        <v>Art</v>
      </c>
      <c r="L244" t="str">
        <f>[1]raw_orders!L244</f>
        <v>Classic Art 126</v>
      </c>
      <c r="M244" t="str">
        <f>IF(TRIM([1]raw_orders!M244)="","Unknown",PROPER(TRIM([1]raw_orders!M244)))</f>
        <v>Second Class</v>
      </c>
      <c r="N244" s="5">
        <f>[1]raw_orders!N244</f>
        <v>3</v>
      </c>
      <c r="O244" s="5">
        <f>[1]raw_orders!O244</f>
        <v>1999.24</v>
      </c>
      <c r="P244" s="5">
        <f>[1]raw_orders!P244</f>
        <v>0.05</v>
      </c>
      <c r="Q244" t="str">
        <f>PROPER(TRIM([1]raw_orders!T244))</f>
        <v>Paid</v>
      </c>
      <c r="R244" t="str">
        <f>PROPER(TRIM([1]raw_orders!U244))</f>
        <v>Completed</v>
      </c>
      <c r="S244" s="5">
        <f>[1]raw_orders!S244</f>
        <v>1446.33</v>
      </c>
      <c r="T244" s="5">
        <f t="shared" si="24"/>
        <v>14.463299999999998</v>
      </c>
      <c r="U244" s="5">
        <f t="shared" si="25"/>
        <v>-80749.103675999999</v>
      </c>
      <c r="V244" s="5">
        <f t="shared" si="26"/>
        <v>-80749.153676000002</v>
      </c>
      <c r="W244" s="5">
        <f t="shared" si="27"/>
        <v>1.0000006192019195</v>
      </c>
      <c r="X244" s="5">
        <f t="shared" si="28"/>
        <v>0</v>
      </c>
      <c r="Y244" s="5">
        <f t="shared" si="29"/>
        <v>2</v>
      </c>
      <c r="Z244" s="5">
        <f t="shared" si="30"/>
        <v>2025</v>
      </c>
      <c r="AA244" t="str">
        <f t="shared" si="31"/>
        <v>Clean</v>
      </c>
    </row>
    <row r="245" spans="1:27" x14ac:dyDescent="0.3">
      <c r="A245" t="str">
        <f>[1]raw_orders!A245</f>
        <v>ORD-2025-10244</v>
      </c>
      <c r="B245" s="4">
        <f>IFERROR(DATEVALUE([1]raw_orders!B245), "Invalid Date")</f>
        <v>45867</v>
      </c>
      <c r="C245" s="4">
        <f>IFERROR(DATEVALUE([1]raw_orders!C245), "Invalid Date")</f>
        <v>45871</v>
      </c>
      <c r="D245" t="str">
        <f>[1]raw_orders!D245</f>
        <v>CUST-6310</v>
      </c>
      <c r="E245" t="str">
        <f>PROPER(TRIM([1]raw_orders!E245))</f>
        <v>Sneha Kapoor</v>
      </c>
      <c r="F245" t="str">
        <f>PROPER(TRIM([1]raw_orders!F245))</f>
        <v>Small Business</v>
      </c>
      <c r="G245" t="str">
        <f>IF(TRIM([1]raw_orders!G245)="","Unknown",PROPER(TRIM([1]raw_orders!G245)))</f>
        <v>Unknown</v>
      </c>
      <c r="H245" t="str">
        <f>PROPER(TRIM([1]raw_orders!H245))</f>
        <v>Madhya Pradesh</v>
      </c>
      <c r="I245" t="str">
        <f>PROPER(TRIM([1]raw_orders!I245))</f>
        <v>Indore</v>
      </c>
      <c r="J245" t="str">
        <f>PROPER(TRIM([1]raw_orders!J245))</f>
        <v>Technology</v>
      </c>
      <c r="K245" t="str">
        <f>PROPER(TRIM([1]raw_orders!K245))</f>
        <v>Accessories</v>
      </c>
      <c r="L245" t="str">
        <f>[1]raw_orders!L245</f>
        <v>Prime Accessories 243</v>
      </c>
      <c r="M245" t="str">
        <f>IF(TRIM([1]raw_orders!M245)="","Unknown",PROPER(TRIM([1]raw_orders!M245)))</f>
        <v>First Class</v>
      </c>
      <c r="N245" s="5">
        <f>[1]raw_orders!N245</f>
        <v>1</v>
      </c>
      <c r="O245" s="5">
        <f>[1]raw_orders!O245</f>
        <v>4499.46</v>
      </c>
      <c r="P245" s="5">
        <f>[1]raw_orders!P245</f>
        <v>0.1</v>
      </c>
      <c r="Q245" t="str">
        <f>PROPER(TRIM([1]raw_orders!T245))</f>
        <v>Paid</v>
      </c>
      <c r="R245" t="str">
        <f>PROPER(TRIM([1]raw_orders!U245))</f>
        <v>Completed</v>
      </c>
      <c r="S245" s="5">
        <f>[1]raw_orders!S245</f>
        <v>1540.31</v>
      </c>
      <c r="T245" s="5">
        <f t="shared" si="24"/>
        <v>15.4031</v>
      </c>
      <c r="U245" s="5">
        <f t="shared" si="25"/>
        <v>-64806.172326</v>
      </c>
      <c r="V245" s="5">
        <f t="shared" si="26"/>
        <v>-64806.272325999998</v>
      </c>
      <c r="W245" s="5">
        <f t="shared" si="27"/>
        <v>1.0000015430628968</v>
      </c>
      <c r="X245" s="5">
        <f t="shared" si="28"/>
        <v>4</v>
      </c>
      <c r="Y245" s="5">
        <f t="shared" si="29"/>
        <v>7</v>
      </c>
      <c r="Z245" s="5">
        <f t="shared" si="30"/>
        <v>2025</v>
      </c>
      <c r="AA245" t="str">
        <f t="shared" si="31"/>
        <v>Warning</v>
      </c>
    </row>
    <row r="246" spans="1:27" x14ac:dyDescent="0.3">
      <c r="A246" t="str">
        <f>[1]raw_orders!A246</f>
        <v>ORD-2024-10245</v>
      </c>
      <c r="B246" s="4" t="str">
        <f>IFERROR(DATEVALUE([1]raw_orders!B246), "Invalid Date")</f>
        <v>Invalid Date</v>
      </c>
      <c r="C246" s="4">
        <f>IFERROR(DATEVALUE([1]raw_orders!C246), "Invalid Date")</f>
        <v>45528</v>
      </c>
      <c r="D246" t="str">
        <f>[1]raw_orders!D246</f>
        <v>CUST-6008</v>
      </c>
      <c r="E246" t="str">
        <f>PROPER(TRIM([1]raw_orders!E246))</f>
        <v>Neha Gupta</v>
      </c>
      <c r="F246" t="str">
        <f>PROPER(TRIM([1]raw_orders!F246))</f>
        <v>Consumer</v>
      </c>
      <c r="G246" t="str">
        <f>IF(TRIM([1]raw_orders!G246)="","Unknown",PROPER(TRIM([1]raw_orders!G246)))</f>
        <v>South</v>
      </c>
      <c r="H246" t="str">
        <f>PROPER(TRIM([1]raw_orders!H246))</f>
        <v>Telangana</v>
      </c>
      <c r="I246" t="str">
        <f>PROPER(TRIM([1]raw_orders!I246))</f>
        <v>Hyderabad</v>
      </c>
      <c r="J246" t="str">
        <f>PROPER(TRIM([1]raw_orders!J246))</f>
        <v>Furniture</v>
      </c>
      <c r="K246" t="str">
        <f>PROPER(TRIM([1]raw_orders!K246))</f>
        <v>Bookcases</v>
      </c>
      <c r="L246" t="str">
        <f>[1]raw_orders!L246</f>
        <v>Eco Bookcases 768</v>
      </c>
      <c r="M246" t="str">
        <f>IF(TRIM([1]raw_orders!M246)="","Unknown",PROPER(TRIM([1]raw_orders!M246)))</f>
        <v>Same Day</v>
      </c>
      <c r="N246" s="5">
        <f>[1]raw_orders!N246</f>
        <v>6</v>
      </c>
      <c r="O246" s="5">
        <f>[1]raw_orders!O246</f>
        <v>1021.89</v>
      </c>
      <c r="P246" s="5">
        <f>[1]raw_orders!P246</f>
        <v>0</v>
      </c>
      <c r="Q246" t="str">
        <f>PROPER(TRIM([1]raw_orders!T246))</f>
        <v>Paid</v>
      </c>
      <c r="R246" t="str">
        <f>PROPER(TRIM([1]raw_orders!U246))</f>
        <v>Completed</v>
      </c>
      <c r="S246" s="5">
        <f>[1]raw_orders!S246</f>
        <v>2070.46</v>
      </c>
      <c r="T246" s="5">
        <f t="shared" si="24"/>
        <v>20.704599999999999</v>
      </c>
      <c r="U246" s="5">
        <f t="shared" si="25"/>
        <v>-120815.602164</v>
      </c>
      <c r="V246" s="5">
        <f t="shared" si="26"/>
        <v>-120815.602164</v>
      </c>
      <c r="W246" s="5">
        <f t="shared" si="27"/>
        <v>1</v>
      </c>
      <c r="X246" s="5" t="str">
        <f t="shared" si="28"/>
        <v>Invalid Date</v>
      </c>
      <c r="Y246" s="5" t="e">
        <f t="shared" si="29"/>
        <v>#VALUE!</v>
      </c>
      <c r="Z246" s="5" t="e">
        <f t="shared" si="30"/>
        <v>#VALUE!</v>
      </c>
      <c r="AA246" t="str">
        <f t="shared" si="31"/>
        <v>Clean</v>
      </c>
    </row>
    <row r="247" spans="1:27" x14ac:dyDescent="0.3">
      <c r="A247" t="str">
        <f>[1]raw_orders!A247</f>
        <v>ORD-2024-10246</v>
      </c>
      <c r="B247" s="4" t="str">
        <f>IFERROR(DATEVALUE([1]raw_orders!B247), "Invalid Date")</f>
        <v>Invalid Date</v>
      </c>
      <c r="C247" s="4">
        <f>IFERROR(DATEVALUE([1]raw_orders!C247), "Invalid Date")</f>
        <v>45589</v>
      </c>
      <c r="D247" t="str">
        <f>[1]raw_orders!D247</f>
        <v>CUST-1704</v>
      </c>
      <c r="E247" t="str">
        <f>PROPER(TRIM([1]raw_orders!E247))</f>
        <v>Neha Gupta</v>
      </c>
      <c r="F247" t="str">
        <f>PROPER(TRIM([1]raw_orders!F247))</f>
        <v>Home Office</v>
      </c>
      <c r="G247" t="str">
        <f>IF(TRIM([1]raw_orders!G247)="","Unknown",PROPER(TRIM([1]raw_orders!G247)))</f>
        <v>South</v>
      </c>
      <c r="H247" t="str">
        <f>PROPER(TRIM([1]raw_orders!H247))</f>
        <v>Kerala</v>
      </c>
      <c r="I247" t="str">
        <f>PROPER(TRIM([1]raw_orders!I247))</f>
        <v>Kochi</v>
      </c>
      <c r="J247" t="str">
        <f>PROPER(TRIM([1]raw_orders!J247))</f>
        <v>Furniture</v>
      </c>
      <c r="K247" t="str">
        <f>PROPER(TRIM([1]raw_orders!K247))</f>
        <v>Chairs</v>
      </c>
      <c r="L247" t="str">
        <f>[1]raw_orders!L247</f>
        <v>Pro Chairs 316</v>
      </c>
      <c r="M247" t="str">
        <f>IF(TRIM([1]raw_orders!M247)="","Unknown",PROPER(TRIM([1]raw_orders!M247)))</f>
        <v>Second Class</v>
      </c>
      <c r="N247" s="5">
        <f>[1]raw_orders!N247</f>
        <v>3</v>
      </c>
      <c r="O247" s="5">
        <f>[1]raw_orders!O247</f>
        <v>3275.93</v>
      </c>
      <c r="P247" s="5">
        <f>[1]raw_orders!P247</f>
        <v>0</v>
      </c>
      <c r="Q247" t="str">
        <f>PROPER(TRIM([1]raw_orders!T247))</f>
        <v>Paid</v>
      </c>
      <c r="R247" t="str">
        <f>PROPER(TRIM([1]raw_orders!U247))</f>
        <v>Completed</v>
      </c>
      <c r="S247" s="5">
        <f>[1]raw_orders!S247</f>
        <v>4349.51</v>
      </c>
      <c r="T247" s="5">
        <f t="shared" si="24"/>
        <v>43.495100000000001</v>
      </c>
      <c r="U247" s="5">
        <f t="shared" si="25"/>
        <v>-417632.91882899997</v>
      </c>
      <c r="V247" s="5">
        <f t="shared" si="26"/>
        <v>-417632.91882899997</v>
      </c>
      <c r="W247" s="5">
        <f t="shared" si="27"/>
        <v>1</v>
      </c>
      <c r="X247" s="5" t="str">
        <f t="shared" si="28"/>
        <v>Invalid Date</v>
      </c>
      <c r="Y247" s="5" t="e">
        <f t="shared" si="29"/>
        <v>#VALUE!</v>
      </c>
      <c r="Z247" s="5" t="e">
        <f t="shared" si="30"/>
        <v>#VALUE!</v>
      </c>
      <c r="AA247" t="str">
        <f t="shared" si="31"/>
        <v>Clean</v>
      </c>
    </row>
    <row r="248" spans="1:27" x14ac:dyDescent="0.3">
      <c r="A248" t="str">
        <f>[1]raw_orders!A248</f>
        <v>ORD-2024-10247</v>
      </c>
      <c r="B248" s="4">
        <f>IFERROR(DATEVALUE([1]raw_orders!B248), "Invalid Date")</f>
        <v>45416</v>
      </c>
      <c r="C248" s="4">
        <f>IFERROR(DATEVALUE([1]raw_orders!C248), "Invalid Date")</f>
        <v>45421</v>
      </c>
      <c r="D248" t="str">
        <f>[1]raw_orders!D248</f>
        <v>CUST-1827</v>
      </c>
      <c r="E248" t="str">
        <f>PROPER(TRIM([1]raw_orders!E248))</f>
        <v>Ananya Rao</v>
      </c>
      <c r="F248" t="str">
        <f>PROPER(TRIM([1]raw_orders!F248))</f>
        <v>Corporate</v>
      </c>
      <c r="G248" t="str">
        <f>IF(TRIM([1]raw_orders!G248)="","Unknown",PROPER(TRIM([1]raw_orders!G248)))</f>
        <v>North</v>
      </c>
      <c r="H248" t="str">
        <f>PROPER(TRIM([1]raw_orders!H248))</f>
        <v>Punjab</v>
      </c>
      <c r="I248" t="str">
        <f>PROPER(TRIM([1]raw_orders!I248))</f>
        <v>Ludhiana</v>
      </c>
      <c r="J248" t="str">
        <f>PROPER(TRIM([1]raw_orders!J248))</f>
        <v>Technology</v>
      </c>
      <c r="K248" t="str">
        <f>PROPER(TRIM([1]raw_orders!K248))</f>
        <v>Machines</v>
      </c>
      <c r="L248" t="str">
        <f>[1]raw_orders!L248</f>
        <v>Classic Machines 819</v>
      </c>
      <c r="M248" t="str">
        <f>IF(TRIM([1]raw_orders!M248)="","Unknown",PROPER(TRIM([1]raw_orders!M248)))</f>
        <v>Same Day</v>
      </c>
      <c r="N248" s="5">
        <f>[1]raw_orders!N248</f>
        <v>3</v>
      </c>
      <c r="O248" s="5">
        <f>[1]raw_orders!O248</f>
        <v>231.95</v>
      </c>
      <c r="P248" s="5">
        <f>[1]raw_orders!P248</f>
        <v>0.25</v>
      </c>
      <c r="Q248" t="str">
        <f>PROPER(TRIM([1]raw_orders!T248))</f>
        <v>Refunded</v>
      </c>
      <c r="R248" t="str">
        <f>PROPER(TRIM([1]raw_orders!U248))</f>
        <v>Cancelled</v>
      </c>
      <c r="S248" s="5">
        <f>[1]raw_orders!S248</f>
        <v>77.37</v>
      </c>
      <c r="T248" s="5">
        <f t="shared" si="24"/>
        <v>0.77370000000000005</v>
      </c>
      <c r="U248" s="5">
        <f t="shared" si="25"/>
        <v>157.47085499999994</v>
      </c>
      <c r="V248" s="5">
        <f t="shared" si="26"/>
        <v>157.22085499999994</v>
      </c>
      <c r="W248" s="5">
        <f t="shared" si="27"/>
        <v>0.99841240463195557</v>
      </c>
      <c r="X248" s="5">
        <f t="shared" si="28"/>
        <v>5</v>
      </c>
      <c r="Y248" s="5">
        <f t="shared" si="29"/>
        <v>5</v>
      </c>
      <c r="Z248" s="5">
        <f t="shared" si="30"/>
        <v>2024</v>
      </c>
      <c r="AA248" t="str">
        <f t="shared" si="31"/>
        <v>Clean</v>
      </c>
    </row>
    <row r="249" spans="1:27" x14ac:dyDescent="0.3">
      <c r="A249" t="str">
        <f>[1]raw_orders!A249</f>
        <v>ORD-2024-10248</v>
      </c>
      <c r="B249" s="4" t="str">
        <f>IFERROR(DATEVALUE([1]raw_orders!B249), "Invalid Date")</f>
        <v>Invalid Date</v>
      </c>
      <c r="C249" s="4">
        <f>IFERROR(DATEVALUE([1]raw_orders!C249), "Invalid Date")</f>
        <v>45505</v>
      </c>
      <c r="D249" t="str">
        <f>[1]raw_orders!D249</f>
        <v>CUST-6663</v>
      </c>
      <c r="E249" t="str">
        <f>PROPER(TRIM([1]raw_orders!E249))</f>
        <v>Rahul Verma</v>
      </c>
      <c r="F249" t="str">
        <f>PROPER(TRIM([1]raw_orders!F249))</f>
        <v>Corporate</v>
      </c>
      <c r="G249" t="str">
        <f>IF(TRIM([1]raw_orders!G249)="","Unknown",PROPER(TRIM([1]raw_orders!G249)))</f>
        <v>North</v>
      </c>
      <c r="H249" t="str">
        <f>PROPER(TRIM([1]raw_orders!H249))</f>
        <v>Rajasthan</v>
      </c>
      <c r="I249" t="str">
        <f>PROPER(TRIM([1]raw_orders!I249))</f>
        <v>Jaipur</v>
      </c>
      <c r="J249" t="str">
        <f>PROPER(TRIM([1]raw_orders!J249))</f>
        <v>Technology</v>
      </c>
      <c r="K249" t="str">
        <f>PROPER(TRIM([1]raw_orders!K249))</f>
        <v>Accessories</v>
      </c>
      <c r="L249" t="str">
        <f>[1]raw_orders!L249</f>
        <v>Smart Accessories 572</v>
      </c>
      <c r="M249" t="str">
        <f>IF(TRIM([1]raw_orders!M249)="","Unknown",PROPER(TRIM([1]raw_orders!M249)))</f>
        <v>Second Class</v>
      </c>
      <c r="N249" s="5">
        <f>[1]raw_orders!N249</f>
        <v>8</v>
      </c>
      <c r="O249" s="5">
        <f>[1]raw_orders!O249</f>
        <v>2493.4</v>
      </c>
      <c r="P249" s="5">
        <f>[1]raw_orders!P249</f>
        <v>0.25</v>
      </c>
      <c r="Q249" t="str">
        <f>PROPER(TRIM([1]raw_orders!T249))</f>
        <v>Paid</v>
      </c>
      <c r="R249" t="str">
        <f>PROPER(TRIM([1]raw_orders!U249))</f>
        <v>Completed</v>
      </c>
      <c r="S249" s="5">
        <f>[1]raw_orders!S249</f>
        <v>2459.56</v>
      </c>
      <c r="T249" s="5">
        <f t="shared" si="24"/>
        <v>24.595600000000001</v>
      </c>
      <c r="U249" s="5">
        <f t="shared" si="25"/>
        <v>-470666.15232000005</v>
      </c>
      <c r="V249" s="5">
        <f t="shared" si="26"/>
        <v>-470666.40232000005</v>
      </c>
      <c r="W249" s="5">
        <f t="shared" si="27"/>
        <v>1.0000005311620535</v>
      </c>
      <c r="X249" s="5" t="str">
        <f t="shared" si="28"/>
        <v>Invalid Date</v>
      </c>
      <c r="Y249" s="5" t="e">
        <f t="shared" si="29"/>
        <v>#VALUE!</v>
      </c>
      <c r="Z249" s="5" t="e">
        <f t="shared" si="30"/>
        <v>#VALUE!</v>
      </c>
      <c r="AA249" t="str">
        <f t="shared" si="31"/>
        <v>Clean</v>
      </c>
    </row>
    <row r="250" spans="1:27" x14ac:dyDescent="0.3">
      <c r="A250" t="str">
        <f>[1]raw_orders!A250</f>
        <v>ORD-2024-10249</v>
      </c>
      <c r="B250" s="4">
        <f>IFERROR(DATEVALUE([1]raw_orders!B250), "Invalid Date")</f>
        <v>45328</v>
      </c>
      <c r="C250" s="4">
        <f>IFERROR(DATEVALUE([1]raw_orders!C250), "Invalid Date")</f>
        <v>45450</v>
      </c>
      <c r="D250" t="str">
        <f>[1]raw_orders!D250</f>
        <v>CUST-6278</v>
      </c>
      <c r="E250" t="str">
        <f>PROPER(TRIM([1]raw_orders!E250))</f>
        <v>Rohan Mehta</v>
      </c>
      <c r="F250" t="str">
        <f>PROPER(TRIM([1]raw_orders!F250))</f>
        <v>Home Office</v>
      </c>
      <c r="G250" t="str">
        <f>IF(TRIM([1]raw_orders!G250)="","Unknown",PROPER(TRIM([1]raw_orders!G250)))</f>
        <v>East</v>
      </c>
      <c r="H250" t="str">
        <f>PROPER(TRIM([1]raw_orders!H250))</f>
        <v>Odisha</v>
      </c>
      <c r="I250" t="str">
        <f>PROPER(TRIM([1]raw_orders!I250))</f>
        <v>Bhubaneswar</v>
      </c>
      <c r="J250" t="str">
        <f>PROPER(TRIM([1]raw_orders!J250))</f>
        <v>Office Supplies</v>
      </c>
      <c r="K250" t="str">
        <f>PROPER(TRIM([1]raw_orders!K250))</f>
        <v>Labels</v>
      </c>
      <c r="L250" t="str">
        <f>[1]raw_orders!L250</f>
        <v>Basic Labels 432</v>
      </c>
      <c r="M250" t="str">
        <f>IF(TRIM([1]raw_orders!M250)="","Unknown",PROPER(TRIM([1]raw_orders!M250)))</f>
        <v>Second Class</v>
      </c>
      <c r="N250" s="5">
        <f>[1]raw_orders!N250</f>
        <v>9</v>
      </c>
      <c r="O250" s="5">
        <f>[1]raw_orders!O250</f>
        <v>787.91</v>
      </c>
      <c r="P250" s="5">
        <f>[1]raw_orders!P250</f>
        <v>0.15</v>
      </c>
      <c r="Q250" t="str">
        <f>PROPER(TRIM([1]raw_orders!T250))</f>
        <v>Paid</v>
      </c>
      <c r="R250" t="str">
        <f>PROPER(TRIM([1]raw_orders!U250))</f>
        <v>Completed</v>
      </c>
      <c r="S250" s="5">
        <f>[1]raw_orders!S250</f>
        <v>1143.69</v>
      </c>
      <c r="T250" s="5">
        <f t="shared" si="24"/>
        <v>11.436900000000001</v>
      </c>
      <c r="U250" s="5">
        <f t="shared" si="25"/>
        <v>-74010.040911000004</v>
      </c>
      <c r="V250" s="5">
        <f t="shared" si="26"/>
        <v>-74010.190910999998</v>
      </c>
      <c r="W250" s="5">
        <f t="shared" si="27"/>
        <v>1.0000020267520211</v>
      </c>
      <c r="X250" s="5">
        <f t="shared" si="28"/>
        <v>122</v>
      </c>
      <c r="Y250" s="5">
        <f t="shared" si="29"/>
        <v>2</v>
      </c>
      <c r="Z250" s="5">
        <f t="shared" si="30"/>
        <v>2024</v>
      </c>
      <c r="AA250" t="str">
        <f t="shared" si="31"/>
        <v>Clean</v>
      </c>
    </row>
    <row r="251" spans="1:27" x14ac:dyDescent="0.3">
      <c r="A251" t="str">
        <f>[1]raw_orders!A251</f>
        <v>ORD-2025-10250</v>
      </c>
      <c r="B251" s="4">
        <f>IFERROR(DATEVALUE([1]raw_orders!B251), "Invalid Date")</f>
        <v>45665</v>
      </c>
      <c r="C251" s="4">
        <f>IFERROR(DATEVALUE([1]raw_orders!C251), "Invalid Date")</f>
        <v>45696</v>
      </c>
      <c r="D251" t="str">
        <f>[1]raw_orders!D251</f>
        <v>CUST-2305</v>
      </c>
      <c r="E251" t="str">
        <f>PROPER(TRIM([1]raw_orders!E251))</f>
        <v>Mira Das</v>
      </c>
      <c r="F251" t="str">
        <f>PROPER(TRIM([1]raw_orders!F251))</f>
        <v>Corporate</v>
      </c>
      <c r="G251" t="str">
        <f>IF(TRIM([1]raw_orders!G251)="","Unknown",PROPER(TRIM([1]raw_orders!G251)))</f>
        <v>North</v>
      </c>
      <c r="H251" t="str">
        <f>PROPER(TRIM([1]raw_orders!H251))</f>
        <v>Rajasthan</v>
      </c>
      <c r="I251" t="str">
        <f>PROPER(TRIM([1]raw_orders!I251))</f>
        <v>Jaipur</v>
      </c>
      <c r="J251" t="str">
        <f>PROPER(TRIM([1]raw_orders!J251))</f>
        <v>Furniture</v>
      </c>
      <c r="K251" t="str">
        <f>PROPER(TRIM([1]raw_orders!K251))</f>
        <v>Furnishings</v>
      </c>
      <c r="L251" t="str">
        <f>[1]raw_orders!L251</f>
        <v>Classic Furnishings 378</v>
      </c>
      <c r="M251" t="str">
        <f>IF(TRIM([1]raw_orders!M251)="","Unknown",PROPER(TRIM([1]raw_orders!M251)))</f>
        <v>First Class</v>
      </c>
      <c r="N251" s="5">
        <f>[1]raw_orders!N251</f>
        <v>4</v>
      </c>
      <c r="O251" s="5">
        <f>[1]raw_orders!O251</f>
        <v>2790.29</v>
      </c>
      <c r="P251" s="5">
        <f>[1]raw_orders!P251</f>
        <v>0.2</v>
      </c>
      <c r="Q251" t="str">
        <f>PROPER(TRIM([1]raw_orders!T251))</f>
        <v>Paid</v>
      </c>
      <c r="R251" t="str">
        <f>PROPER(TRIM([1]raw_orders!U251))</f>
        <v>Completed</v>
      </c>
      <c r="S251" s="5">
        <f>[1]raw_orders!S251</f>
        <v>3294.55</v>
      </c>
      <c r="T251" s="5">
        <f t="shared" si="24"/>
        <v>32.945500000000003</v>
      </c>
      <c r="U251" s="5">
        <f t="shared" si="25"/>
        <v>-356548.83678000001</v>
      </c>
      <c r="V251" s="5">
        <f t="shared" si="26"/>
        <v>-356549.03678000002</v>
      </c>
      <c r="W251" s="5">
        <f t="shared" si="27"/>
        <v>1.0000005609329758</v>
      </c>
      <c r="X251" s="5">
        <f t="shared" si="28"/>
        <v>31</v>
      </c>
      <c r="Y251" s="5">
        <f t="shared" si="29"/>
        <v>1</v>
      </c>
      <c r="Z251" s="5">
        <f t="shared" si="30"/>
        <v>2025</v>
      </c>
      <c r="AA251" t="str">
        <f t="shared" si="31"/>
        <v>Clean</v>
      </c>
    </row>
    <row r="252" spans="1:27" x14ac:dyDescent="0.3">
      <c r="A252" t="str">
        <f>[1]raw_orders!A252</f>
        <v>ORD-2024-10251</v>
      </c>
      <c r="B252" s="4" t="str">
        <f>IFERROR(DATEVALUE([1]raw_orders!B252), "Invalid Date")</f>
        <v>Invalid Date</v>
      </c>
      <c r="C252" s="4" t="str">
        <f>IFERROR(DATEVALUE([1]raw_orders!C252), "Invalid Date")</f>
        <v>Invalid Date</v>
      </c>
      <c r="D252" t="str">
        <f>[1]raw_orders!D252</f>
        <v>CUST-5351</v>
      </c>
      <c r="E252" t="str">
        <f>PROPER(TRIM([1]raw_orders!E252))</f>
        <v>Arjun Bose</v>
      </c>
      <c r="F252" t="str">
        <f>PROPER(TRIM([1]raw_orders!F252))</f>
        <v>Small Business</v>
      </c>
      <c r="G252" t="str">
        <f>IF(TRIM([1]raw_orders!G252)="","Unknown",PROPER(TRIM([1]raw_orders!G252)))</f>
        <v>East</v>
      </c>
      <c r="H252" t="str">
        <f>PROPER(TRIM([1]raw_orders!H252))</f>
        <v>West Bengal</v>
      </c>
      <c r="I252" t="str">
        <f>PROPER(TRIM([1]raw_orders!I252))</f>
        <v>Kolkata</v>
      </c>
      <c r="J252" t="str">
        <f>PROPER(TRIM([1]raw_orders!J252))</f>
        <v>Furniture</v>
      </c>
      <c r="K252" t="str">
        <f>PROPER(TRIM([1]raw_orders!K252))</f>
        <v>Furnishings</v>
      </c>
      <c r="L252" t="str">
        <f>[1]raw_orders!L252</f>
        <v>Prime Furnishings 781</v>
      </c>
      <c r="M252" t="str">
        <f>IF(TRIM([1]raw_orders!M252)="","Unknown",PROPER(TRIM([1]raw_orders!M252)))</f>
        <v>Standard Class</v>
      </c>
      <c r="N252" s="5">
        <f>[1]raw_orders!N252</f>
        <v>5</v>
      </c>
      <c r="O252" s="5">
        <f>[1]raw_orders!O252</f>
        <v>3373.86</v>
      </c>
      <c r="P252" s="5">
        <f>[1]raw_orders!P252</f>
        <v>0.15</v>
      </c>
      <c r="Q252" t="str">
        <f>PROPER(TRIM([1]raw_orders!T252))</f>
        <v>Pending</v>
      </c>
      <c r="R252" t="str">
        <f>PROPER(TRIM([1]raw_orders!U252))</f>
        <v>Returned</v>
      </c>
      <c r="S252" s="5">
        <f>[1]raw_orders!S252</f>
        <v>2441.25</v>
      </c>
      <c r="T252" s="5">
        <f t="shared" si="24"/>
        <v>24.412500000000001</v>
      </c>
      <c r="U252" s="5">
        <f t="shared" si="25"/>
        <v>-394952.48625000002</v>
      </c>
      <c r="V252" s="5">
        <f t="shared" si="26"/>
        <v>-394952.63625000004</v>
      </c>
      <c r="W252" s="5">
        <f t="shared" si="27"/>
        <v>1.0000003797925199</v>
      </c>
      <c r="X252" s="5" t="str">
        <f t="shared" si="28"/>
        <v>Invalid Date</v>
      </c>
      <c r="Y252" s="5" t="e">
        <f t="shared" si="29"/>
        <v>#VALUE!</v>
      </c>
      <c r="Z252" s="5" t="e">
        <f t="shared" si="30"/>
        <v>#VALUE!</v>
      </c>
      <c r="AA252" t="str">
        <f t="shared" si="31"/>
        <v>Clean</v>
      </c>
    </row>
    <row r="253" spans="1:27" x14ac:dyDescent="0.3">
      <c r="A253" t="str">
        <f>[1]raw_orders!A253</f>
        <v>ORD-2025-10252</v>
      </c>
      <c r="B253" s="4">
        <f>IFERROR(DATEVALUE([1]raw_orders!B253), "Invalid Date")</f>
        <v>45753</v>
      </c>
      <c r="C253" s="4">
        <f>IFERROR(DATEVALUE([1]raw_orders!C253), "Invalid Date")</f>
        <v>45934</v>
      </c>
      <c r="D253" t="str">
        <f>[1]raw_orders!D253</f>
        <v>CUST-6268</v>
      </c>
      <c r="E253" t="str">
        <f>PROPER(TRIM([1]raw_orders!E253))</f>
        <v>Ananya Rao</v>
      </c>
      <c r="F253" t="str">
        <f>PROPER(TRIM([1]raw_orders!F253))</f>
        <v>Corporate</v>
      </c>
      <c r="G253" t="str">
        <f>IF(TRIM([1]raw_orders!G253)="","Unknown",PROPER(TRIM([1]raw_orders!G253)))</f>
        <v>West</v>
      </c>
      <c r="H253" t="str">
        <f>PROPER(TRIM([1]raw_orders!H253))</f>
        <v>Gujarat</v>
      </c>
      <c r="I253" t="str">
        <f>PROPER(TRIM([1]raw_orders!I253))</f>
        <v>Ahmedabad</v>
      </c>
      <c r="J253" t="str">
        <f>PROPER(TRIM([1]raw_orders!J253))</f>
        <v>Furniture</v>
      </c>
      <c r="K253" t="str">
        <f>PROPER(TRIM([1]raw_orders!K253))</f>
        <v>Tables</v>
      </c>
      <c r="L253" t="str">
        <f>[1]raw_orders!L253</f>
        <v>Prime Tables 263</v>
      </c>
      <c r="M253" t="str">
        <f>IF(TRIM([1]raw_orders!M253)="","Unknown",PROPER(TRIM([1]raw_orders!M253)))</f>
        <v>Second Class</v>
      </c>
      <c r="N253" s="5">
        <f>[1]raw_orders!N253</f>
        <v>6</v>
      </c>
      <c r="O253" s="5">
        <f>[1]raw_orders!O253</f>
        <v>1022.16</v>
      </c>
      <c r="P253" s="5">
        <f>[1]raw_orders!P253</f>
        <v>0</v>
      </c>
      <c r="Q253" t="str">
        <f>PROPER(TRIM([1]raw_orders!T253))</f>
        <v>Paid</v>
      </c>
      <c r="R253" t="str">
        <f>PROPER(TRIM([1]raw_orders!U253))</f>
        <v>Completed</v>
      </c>
      <c r="S253" s="5">
        <f>[1]raw_orders!S253</f>
        <v>1251.8599999999999</v>
      </c>
      <c r="T253" s="5">
        <f t="shared" si="24"/>
        <v>12.518599999999999</v>
      </c>
      <c r="U253" s="5">
        <f t="shared" si="25"/>
        <v>-70643.113056000002</v>
      </c>
      <c r="V253" s="5">
        <f t="shared" si="26"/>
        <v>-70643.113056000002</v>
      </c>
      <c r="W253" s="5">
        <f t="shared" si="27"/>
        <v>1</v>
      </c>
      <c r="X253" s="5">
        <f t="shared" si="28"/>
        <v>181</v>
      </c>
      <c r="Y253" s="5">
        <f t="shared" si="29"/>
        <v>4</v>
      </c>
      <c r="Z253" s="5">
        <f t="shared" si="30"/>
        <v>2025</v>
      </c>
      <c r="AA253" t="str">
        <f t="shared" si="31"/>
        <v>Clean</v>
      </c>
    </row>
    <row r="254" spans="1:27" x14ac:dyDescent="0.3">
      <c r="A254" t="str">
        <f>[1]raw_orders!A254</f>
        <v>ORD-2025-10253</v>
      </c>
      <c r="B254" s="4">
        <f>IFERROR(DATEVALUE([1]raw_orders!B254), "Invalid Date")</f>
        <v>45833</v>
      </c>
      <c r="C254" s="4">
        <f>IFERROR(DATEVALUE([1]raw_orders!C254), "Invalid Date")</f>
        <v>45836</v>
      </c>
      <c r="D254" t="str">
        <f>[1]raw_orders!D254</f>
        <v>CUST-2103</v>
      </c>
      <c r="E254" t="str">
        <f>PROPER(TRIM([1]raw_orders!E254))</f>
        <v>Arjun Bose</v>
      </c>
      <c r="F254" t="str">
        <f>PROPER(TRIM([1]raw_orders!F254))</f>
        <v>Corporate</v>
      </c>
      <c r="G254" t="str">
        <f>IF(TRIM([1]raw_orders!G254)="","Unknown",PROPER(TRIM([1]raw_orders!G254)))</f>
        <v>North</v>
      </c>
      <c r="H254" t="str">
        <f>PROPER(TRIM([1]raw_orders!H254))</f>
        <v>Haryana</v>
      </c>
      <c r="I254" t="str">
        <f>PROPER(TRIM([1]raw_orders!I254))</f>
        <v>Gurugram</v>
      </c>
      <c r="J254" t="str">
        <f>PROPER(TRIM([1]raw_orders!J254))</f>
        <v>Office Supplies</v>
      </c>
      <c r="K254" t="str">
        <f>PROPER(TRIM([1]raw_orders!K254))</f>
        <v>Storage</v>
      </c>
      <c r="L254" t="str">
        <f>[1]raw_orders!L254</f>
        <v>Basic Storage 269</v>
      </c>
      <c r="M254" t="str">
        <f>IF(TRIM([1]raw_orders!M254)="","Unknown",PROPER(TRIM([1]raw_orders!M254)))</f>
        <v>First Class</v>
      </c>
      <c r="N254" s="5">
        <f>[1]raw_orders!N254</f>
        <v>2</v>
      </c>
      <c r="O254" s="5">
        <f>[1]raw_orders!O254</f>
        <v>1455.92</v>
      </c>
      <c r="P254" s="5">
        <f>[1]raw_orders!P254</f>
        <v>0.2</v>
      </c>
      <c r="Q254" t="str">
        <f>PROPER(TRIM([1]raw_orders!T254))</f>
        <v>Pending</v>
      </c>
      <c r="R254" t="str">
        <f>PROPER(TRIM([1]raw_orders!U254))</f>
        <v>Returned</v>
      </c>
      <c r="S254" s="5">
        <f>[1]raw_orders!S254</f>
        <v>725.85</v>
      </c>
      <c r="T254" s="5">
        <f t="shared" si="24"/>
        <v>7.2585000000000006</v>
      </c>
      <c r="U254" s="5">
        <f t="shared" si="25"/>
        <v>-18223.750640000002</v>
      </c>
      <c r="V254" s="5">
        <f t="shared" si="26"/>
        <v>-18223.950640000003</v>
      </c>
      <c r="W254" s="5">
        <f t="shared" si="27"/>
        <v>1.0000109746892367</v>
      </c>
      <c r="X254" s="5">
        <f t="shared" si="28"/>
        <v>3</v>
      </c>
      <c r="Y254" s="5">
        <f t="shared" si="29"/>
        <v>6</v>
      </c>
      <c r="Z254" s="5">
        <f t="shared" si="30"/>
        <v>2025</v>
      </c>
      <c r="AA254" t="str">
        <f t="shared" si="31"/>
        <v>Clean</v>
      </c>
    </row>
    <row r="255" spans="1:27" x14ac:dyDescent="0.3">
      <c r="A255" t="str">
        <f>[1]raw_orders!A255</f>
        <v>ORD-2024-10254</v>
      </c>
      <c r="B255" s="4">
        <f>IFERROR(DATEVALUE([1]raw_orders!B255), "Invalid Date")</f>
        <v>45547</v>
      </c>
      <c r="C255" s="4" t="str">
        <f>IFERROR(DATEVALUE([1]raw_orders!C255), "Invalid Date")</f>
        <v>Invalid Date</v>
      </c>
      <c r="D255" t="str">
        <f>[1]raw_orders!D255</f>
        <v>CUST-5394</v>
      </c>
      <c r="E255" t="str">
        <f>PROPER(TRIM([1]raw_orders!E255))</f>
        <v>Priya Menon</v>
      </c>
      <c r="F255" t="str">
        <f>PROPER(TRIM([1]raw_orders!F255))</f>
        <v>Small Business</v>
      </c>
      <c r="G255" t="str">
        <f>IF(TRIM([1]raw_orders!G255)="","Unknown",PROPER(TRIM([1]raw_orders!G255)))</f>
        <v>North</v>
      </c>
      <c r="H255" t="str">
        <f>PROPER(TRIM([1]raw_orders!H255))</f>
        <v>Rajasthan</v>
      </c>
      <c r="I255" t="str">
        <f>PROPER(TRIM([1]raw_orders!I255))</f>
        <v>Jaipur</v>
      </c>
      <c r="J255" t="str">
        <f>PROPER(TRIM([1]raw_orders!J255))</f>
        <v>Technology</v>
      </c>
      <c r="K255" t="str">
        <f>PROPER(TRIM([1]raw_orders!K255))</f>
        <v>Phones</v>
      </c>
      <c r="L255" t="str">
        <f>[1]raw_orders!L255</f>
        <v>Classic Phones 442</v>
      </c>
      <c r="M255" t="str">
        <f>IF(TRIM([1]raw_orders!M255)="","Unknown",PROPER(TRIM([1]raw_orders!M255)))</f>
        <v>Same Day</v>
      </c>
      <c r="N255" s="5">
        <f>[1]raw_orders!N255</f>
        <v>6</v>
      </c>
      <c r="O255" s="5">
        <f>[1]raw_orders!O255</f>
        <v>832.79</v>
      </c>
      <c r="P255" s="5">
        <f>[1]raw_orders!P255</f>
        <v>0.05</v>
      </c>
      <c r="Q255" t="str">
        <f>PROPER(TRIM([1]raw_orders!T255))</f>
        <v>Refunded</v>
      </c>
      <c r="R255" t="str">
        <f>PROPER(TRIM([1]raw_orders!U255))</f>
        <v>Cancelled</v>
      </c>
      <c r="S255" s="5">
        <f>[1]raw_orders!S255</f>
        <v>1472.89</v>
      </c>
      <c r="T255" s="5">
        <f t="shared" si="24"/>
        <v>14.728900000000001</v>
      </c>
      <c r="U255" s="5">
        <f t="shared" si="25"/>
        <v>-68599.743786000006</v>
      </c>
      <c r="V255" s="5">
        <f t="shared" si="26"/>
        <v>-68599.793786000009</v>
      </c>
      <c r="W255" s="5">
        <f t="shared" si="27"/>
        <v>1.000000728865696</v>
      </c>
      <c r="X255" s="5" t="str">
        <f t="shared" si="28"/>
        <v>Invalid Date</v>
      </c>
      <c r="Y255" s="5">
        <f t="shared" si="29"/>
        <v>9</v>
      </c>
      <c r="Z255" s="5">
        <f t="shared" si="30"/>
        <v>2024</v>
      </c>
      <c r="AA255" t="str">
        <f t="shared" si="31"/>
        <v>Clean</v>
      </c>
    </row>
    <row r="256" spans="1:27" x14ac:dyDescent="0.3">
      <c r="A256" t="str">
        <f>[1]raw_orders!A256</f>
        <v>ORD-2025-10255</v>
      </c>
      <c r="B256" s="4">
        <f>IFERROR(DATEVALUE([1]raw_orders!B256), "Invalid Date")</f>
        <v>45658</v>
      </c>
      <c r="C256" s="4">
        <f>IFERROR(DATEVALUE([1]raw_orders!C256), "Invalid Date")</f>
        <v>45660</v>
      </c>
      <c r="D256" t="str">
        <f>[1]raw_orders!D256</f>
        <v>CUST-6853</v>
      </c>
      <c r="E256" t="str">
        <f>PROPER(TRIM([1]raw_orders!E256))</f>
        <v>Ananya Rao</v>
      </c>
      <c r="F256" t="str">
        <f>PROPER(TRIM([1]raw_orders!F256))</f>
        <v>Consumer</v>
      </c>
      <c r="G256" t="str">
        <f>IF(TRIM([1]raw_orders!G256)="","Unknown",PROPER(TRIM([1]raw_orders!G256)))</f>
        <v>West</v>
      </c>
      <c r="H256" t="str">
        <f>PROPER(TRIM([1]raw_orders!H256))</f>
        <v>Madhya Pradesh</v>
      </c>
      <c r="I256" t="str">
        <f>PROPER(TRIM([1]raw_orders!I256))</f>
        <v>Indore</v>
      </c>
      <c r="J256" t="str">
        <f>PROPER(TRIM([1]raw_orders!J256))</f>
        <v>Technology</v>
      </c>
      <c r="K256" t="str">
        <f>PROPER(TRIM([1]raw_orders!K256))</f>
        <v>Accessories</v>
      </c>
      <c r="L256" t="str">
        <f>[1]raw_orders!L256</f>
        <v>Elite Accessories 978</v>
      </c>
      <c r="M256" t="str">
        <f>IF(TRIM([1]raw_orders!M256)="","Unknown",PROPER(TRIM([1]raw_orders!M256)))</f>
        <v>Same Day</v>
      </c>
      <c r="N256" s="5">
        <f>[1]raw_orders!N256</f>
        <v>7</v>
      </c>
      <c r="O256" s="5">
        <f>[1]raw_orders!O256</f>
        <v>1000.55</v>
      </c>
      <c r="P256" s="5">
        <f>[1]raw_orders!P256</f>
        <v>0.2</v>
      </c>
      <c r="Q256" t="str">
        <f>PROPER(TRIM([1]raw_orders!T256))</f>
        <v>Paid</v>
      </c>
      <c r="R256" t="str">
        <f>PROPER(TRIM([1]raw_orders!U256))</f>
        <v>Returned</v>
      </c>
      <c r="S256" s="5">
        <f>[1]raw_orders!S256</f>
        <v>2470.56</v>
      </c>
      <c r="T256" s="5">
        <f t="shared" si="24"/>
        <v>24.7056</v>
      </c>
      <c r="U256" s="5">
        <f t="shared" si="25"/>
        <v>-166030.46656</v>
      </c>
      <c r="V256" s="5">
        <f t="shared" si="26"/>
        <v>-166030.66656000001</v>
      </c>
      <c r="W256" s="5">
        <f t="shared" si="27"/>
        <v>1.000001204598193</v>
      </c>
      <c r="X256" s="5">
        <f t="shared" si="28"/>
        <v>2</v>
      </c>
      <c r="Y256" s="5">
        <f t="shared" si="29"/>
        <v>1</v>
      </c>
      <c r="Z256" s="5">
        <f t="shared" si="30"/>
        <v>2025</v>
      </c>
      <c r="AA256" t="str">
        <f t="shared" si="31"/>
        <v>Clean</v>
      </c>
    </row>
    <row r="257" spans="1:27" x14ac:dyDescent="0.3">
      <c r="A257" t="str">
        <f>[1]raw_orders!A257</f>
        <v>ORD-2025-10256</v>
      </c>
      <c r="B257" s="4">
        <f>IFERROR(DATEVALUE([1]raw_orders!B257), "Invalid Date")</f>
        <v>45692</v>
      </c>
      <c r="C257" s="4">
        <f>IFERROR(DATEVALUE([1]raw_orders!C257), "Invalid Date")</f>
        <v>45932</v>
      </c>
      <c r="D257" t="str">
        <f>[1]raw_orders!D257</f>
        <v>CUST-1549</v>
      </c>
      <c r="E257" t="str">
        <f>PROPER(TRIM([1]raw_orders!E257))</f>
        <v>Isha Nair</v>
      </c>
      <c r="F257" t="str">
        <f>PROPER(TRIM([1]raw_orders!F257))</f>
        <v>Corporate</v>
      </c>
      <c r="G257" t="str">
        <f>IF(TRIM([1]raw_orders!G257)="","Unknown",PROPER(TRIM([1]raw_orders!G257)))</f>
        <v>West</v>
      </c>
      <c r="H257" t="str">
        <f>PROPER(TRIM([1]raw_orders!H257))</f>
        <v>Maharashtra</v>
      </c>
      <c r="I257" t="str">
        <f>PROPER(TRIM([1]raw_orders!I257))</f>
        <v>Mumbai</v>
      </c>
      <c r="J257" t="str">
        <f>PROPER(TRIM([1]raw_orders!J257))</f>
        <v>Technology</v>
      </c>
      <c r="K257" t="str">
        <f>PROPER(TRIM([1]raw_orders!K257))</f>
        <v>Phones</v>
      </c>
      <c r="L257" t="str">
        <f>[1]raw_orders!L257</f>
        <v>Eco Phones 132</v>
      </c>
      <c r="M257" t="str">
        <f>IF(TRIM([1]raw_orders!M257)="","Unknown",PROPER(TRIM([1]raw_orders!M257)))</f>
        <v>First Class</v>
      </c>
      <c r="N257" s="5">
        <f>[1]raw_orders!N257</f>
        <v>7</v>
      </c>
      <c r="O257" s="5">
        <f>[1]raw_orders!O257</f>
        <v>1830</v>
      </c>
      <c r="P257" s="5">
        <f>[1]raw_orders!P257</f>
        <v>0</v>
      </c>
      <c r="Q257" t="str">
        <f>PROPER(TRIM([1]raw_orders!T257))</f>
        <v>Paid</v>
      </c>
      <c r="R257" t="str">
        <f>PROPER(TRIM([1]raw_orders!U257))</f>
        <v>Completed</v>
      </c>
      <c r="S257" s="5">
        <f>[1]raw_orders!S257</f>
        <v>3475.88</v>
      </c>
      <c r="T257" s="5">
        <f t="shared" si="24"/>
        <v>34.758800000000001</v>
      </c>
      <c r="U257" s="5">
        <f t="shared" si="25"/>
        <v>-432450.228</v>
      </c>
      <c r="V257" s="5">
        <f t="shared" si="26"/>
        <v>-432450.228</v>
      </c>
      <c r="W257" s="5">
        <f t="shared" si="27"/>
        <v>1</v>
      </c>
      <c r="X257" s="5">
        <f t="shared" si="28"/>
        <v>240</v>
      </c>
      <c r="Y257" s="5">
        <f t="shared" si="29"/>
        <v>2</v>
      </c>
      <c r="Z257" s="5">
        <f t="shared" si="30"/>
        <v>2025</v>
      </c>
      <c r="AA257" t="str">
        <f t="shared" si="31"/>
        <v>Clean</v>
      </c>
    </row>
    <row r="258" spans="1:27" x14ac:dyDescent="0.3">
      <c r="A258" t="str">
        <f>[1]raw_orders!A258</f>
        <v>ORD-2024-10257</v>
      </c>
      <c r="B258" s="4">
        <f>IFERROR(DATEVALUE([1]raw_orders!B258), "Invalid Date")</f>
        <v>45601</v>
      </c>
      <c r="C258" s="4">
        <f>IFERROR(DATEVALUE([1]raw_orders!C258), "Invalid Date")</f>
        <v>45599</v>
      </c>
      <c r="D258" t="str">
        <f>[1]raw_orders!D258</f>
        <v>CUST-8411</v>
      </c>
      <c r="E258" t="str">
        <f>PROPER(TRIM([1]raw_orders!E258))</f>
        <v>Ananya Rao</v>
      </c>
      <c r="F258" t="str">
        <f>PROPER(TRIM([1]raw_orders!F258))</f>
        <v>Consumer</v>
      </c>
      <c r="G258" t="str">
        <f>IF(TRIM([1]raw_orders!G258)="","Unknown",PROPER(TRIM([1]raw_orders!G258)))</f>
        <v>East</v>
      </c>
      <c r="H258" t="str">
        <f>PROPER(TRIM([1]raw_orders!H258))</f>
        <v>West Bengal</v>
      </c>
      <c r="I258" t="str">
        <f>PROPER(TRIM([1]raw_orders!I258))</f>
        <v>Kolkata</v>
      </c>
      <c r="J258" t="str">
        <f>PROPER(TRIM([1]raw_orders!J258))</f>
        <v>Furniture</v>
      </c>
      <c r="K258" t="str">
        <f>PROPER(TRIM([1]raw_orders!K258))</f>
        <v>Tables</v>
      </c>
      <c r="L258" t="str">
        <f>[1]raw_orders!L258</f>
        <v>Prime Tables 481</v>
      </c>
      <c r="M258" t="str">
        <f>IF(TRIM([1]raw_orders!M258)="","Unknown",PROPER(TRIM([1]raw_orders!M258)))</f>
        <v>First Class</v>
      </c>
      <c r="N258" s="5">
        <f>[1]raw_orders!N258</f>
        <v>9</v>
      </c>
      <c r="O258" s="5">
        <f>[1]raw_orders!O258</f>
        <v>2260.61</v>
      </c>
      <c r="P258" s="5">
        <f>[1]raw_orders!P258</f>
        <v>0.05</v>
      </c>
      <c r="Q258" t="str">
        <f>PROPER(TRIM([1]raw_orders!T258))</f>
        <v>Paid</v>
      </c>
      <c r="R258" t="str">
        <f>PROPER(TRIM([1]raw_orders!U258))</f>
        <v>Completed</v>
      </c>
      <c r="S258" s="5">
        <f>[1]raw_orders!S258</f>
        <v>7288.72</v>
      </c>
      <c r="T258" s="5">
        <f t="shared" si="24"/>
        <v>72.887200000000007</v>
      </c>
      <c r="U258" s="5">
        <f t="shared" si="25"/>
        <v>-1462580.3087280001</v>
      </c>
      <c r="V258" s="5">
        <f t="shared" si="26"/>
        <v>-1462580.3587280002</v>
      </c>
      <c r="W258" s="5">
        <f t="shared" si="27"/>
        <v>1.000000034186157</v>
      </c>
      <c r="X258" s="5">
        <f t="shared" si="28"/>
        <v>-2</v>
      </c>
      <c r="Y258" s="5">
        <f t="shared" si="29"/>
        <v>11</v>
      </c>
      <c r="Z258" s="5">
        <f t="shared" si="30"/>
        <v>2024</v>
      </c>
      <c r="AA258" t="str">
        <f t="shared" si="31"/>
        <v>Invalid</v>
      </c>
    </row>
    <row r="259" spans="1:27" x14ac:dyDescent="0.3">
      <c r="A259" t="str">
        <f>[1]raw_orders!A259</f>
        <v>ORD-2025-10258</v>
      </c>
      <c r="B259" s="4">
        <f>IFERROR(DATEVALUE([1]raw_orders!B259), "Invalid Date")</f>
        <v>45878</v>
      </c>
      <c r="C259" s="4">
        <f>IFERROR(DATEVALUE([1]raw_orders!C259), "Invalid Date")</f>
        <v>45881</v>
      </c>
      <c r="D259" t="str">
        <f>[1]raw_orders!D259</f>
        <v>CUST-5615</v>
      </c>
      <c r="E259" t="str">
        <f>PROPER(TRIM([1]raw_orders!E259))</f>
        <v>Diya Patel</v>
      </c>
      <c r="F259" t="str">
        <f>PROPER(TRIM([1]raw_orders!F259))</f>
        <v>Corporate</v>
      </c>
      <c r="G259" t="str">
        <f>IF(TRIM([1]raw_orders!G259)="","Unknown",PROPER(TRIM([1]raw_orders!G259)))</f>
        <v>South</v>
      </c>
      <c r="H259" t="str">
        <f>PROPER(TRIM([1]raw_orders!H259))</f>
        <v>Karnataka</v>
      </c>
      <c r="I259" t="str">
        <f>PROPER(TRIM([1]raw_orders!I259))</f>
        <v>Bengaluru</v>
      </c>
      <c r="J259" t="str">
        <f>PROPER(TRIM([1]raw_orders!J259))</f>
        <v>Technology</v>
      </c>
      <c r="K259" t="str">
        <f>PROPER(TRIM([1]raw_orders!K259))</f>
        <v>Accessories</v>
      </c>
      <c r="L259" t="str">
        <f>[1]raw_orders!L259</f>
        <v>Smart Accessories 180</v>
      </c>
      <c r="M259" t="str">
        <f>IF(TRIM([1]raw_orders!M259)="","Unknown",PROPER(TRIM([1]raw_orders!M259)))</f>
        <v>Second Class</v>
      </c>
      <c r="N259" s="5">
        <f>[1]raw_orders!N259</f>
        <v>2</v>
      </c>
      <c r="O259" s="5">
        <f>[1]raw_orders!O259</f>
        <v>3237.27</v>
      </c>
      <c r="P259" s="5">
        <f>[1]raw_orders!P259</f>
        <v>0</v>
      </c>
      <c r="Q259" t="str">
        <f>PROPER(TRIM([1]raw_orders!T259))</f>
        <v>Paid</v>
      </c>
      <c r="R259" t="str">
        <f>PROPER(TRIM([1]raw_orders!U259))</f>
        <v>Cancelled</v>
      </c>
      <c r="S259" s="5">
        <f>[1]raw_orders!S259</f>
        <v>1378.63</v>
      </c>
      <c r="T259" s="5">
        <f t="shared" ref="T259:T322" si="32">IF(AND(ISNUMBER(S259),S259&gt;=0,S259&lt;=1),S259,IF(S259="",0,IF(S259&lt;0,"INVALID - Negative",IF(S259&gt;1,S259/100,"INVALID"))))</f>
        <v>13.786300000000001</v>
      </c>
      <c r="U259" s="5">
        <f t="shared" ref="U259:U322" si="33">IF(AND(ISNUMBER(N259),ISNUMBER(O259),OR(ISNUMBER(T259),T259=0)),N259*O259*(1-IF(ISNUMBER(T259),T259,0)),"Calculation Error")</f>
        <v>-82785.410801999999</v>
      </c>
      <c r="V259" s="5">
        <f t="shared" ref="V259:V322" si="34">IF(AND(ISNUMBER(U259),ISNUMBER(P259)),U259-P259,"Calculation Error")</f>
        <v>-82785.410801999999</v>
      </c>
      <c r="W259" s="5">
        <f t="shared" ref="W259:W322" si="35">IF(AND(ISNUMBER(V259),ISNUMBER(U259),U259&lt;&gt;0),V259/U259,IF(U259=0,"N/A","Calculation Error"))</f>
        <v>1</v>
      </c>
      <c r="X259" s="5">
        <f t="shared" ref="X259:X322" si="36">IF(AND(ISNUMBER(B259),ISNUMBER(C259)),C259-B259,"Invalid Date")</f>
        <v>3</v>
      </c>
      <c r="Y259" s="5">
        <f t="shared" ref="Y259:Y322" si="37">MONTH(B259)</f>
        <v>8</v>
      </c>
      <c r="Z259" s="5">
        <f t="shared" ref="Z259:Z322" si="38">YEAR(B259)</f>
        <v>2025</v>
      </c>
      <c r="AA259" t="str">
        <f t="shared" ref="AA259:AA322" si="39">IF(OR(G259="Unknown",M259="Unknown",T259="INVALID - Negative",T259="INVALID",X259&lt;0,R259="Duplicate ID - Review Required"),IF(OR(T259="INVALID - Negative",T259="INVALID",X259&lt;0,R259="Duplicate ID - Review Required"),"Invalid","Warning"),"Clean")</f>
        <v>Clean</v>
      </c>
    </row>
    <row r="260" spans="1:27" x14ac:dyDescent="0.3">
      <c r="A260" t="str">
        <f>[1]raw_orders!A260</f>
        <v>ORD-2024-10259</v>
      </c>
      <c r="B260" s="4">
        <f>IFERROR(DATEVALUE([1]raw_orders!B260), "Invalid Date")</f>
        <v>45656</v>
      </c>
      <c r="C260" s="4">
        <f>IFERROR(DATEVALUE([1]raw_orders!C260), "Invalid Date")</f>
        <v>45661</v>
      </c>
      <c r="D260" t="str">
        <f>[1]raw_orders!D260</f>
        <v>CUST-8467</v>
      </c>
      <c r="E260" t="str">
        <f>PROPER(TRIM([1]raw_orders!E260))</f>
        <v>Sneha Kapoor</v>
      </c>
      <c r="F260" t="str">
        <f>PROPER(TRIM([1]raw_orders!F260))</f>
        <v>Corporate</v>
      </c>
      <c r="G260" t="str">
        <f>IF(TRIM([1]raw_orders!G260)="","Unknown",PROPER(TRIM([1]raw_orders!G260)))</f>
        <v>South</v>
      </c>
      <c r="H260" t="str">
        <f>PROPER(TRIM([1]raw_orders!H260))</f>
        <v>Tamil Nadu</v>
      </c>
      <c r="I260" t="str">
        <f>PROPER(TRIM([1]raw_orders!I260))</f>
        <v>Chennai</v>
      </c>
      <c r="J260" t="str">
        <f>PROPER(TRIM([1]raw_orders!J260))</f>
        <v>Furniture</v>
      </c>
      <c r="K260" t="str">
        <f>PROPER(TRIM([1]raw_orders!K260))</f>
        <v>Tables</v>
      </c>
      <c r="L260" t="str">
        <f>[1]raw_orders!L260</f>
        <v>Smart Tables 774</v>
      </c>
      <c r="M260" t="str">
        <f>IF(TRIM([1]raw_orders!M260)="","Unknown",PROPER(TRIM([1]raw_orders!M260)))</f>
        <v>Same Day</v>
      </c>
      <c r="N260" s="5">
        <f>[1]raw_orders!N260</f>
        <v>2</v>
      </c>
      <c r="O260" s="5">
        <f>[1]raw_orders!O260</f>
        <v>3720.07</v>
      </c>
      <c r="P260" s="5">
        <f>[1]raw_orders!P260</f>
        <v>0.25</v>
      </c>
      <c r="Q260" t="str">
        <f>PROPER(TRIM([1]raw_orders!T260))</f>
        <v>Paid</v>
      </c>
      <c r="R260" t="str">
        <f>PROPER(TRIM([1]raw_orders!U260))</f>
        <v>Completed</v>
      </c>
      <c r="S260" s="5">
        <f>[1]raw_orders!S260</f>
        <v>1273.0999999999999</v>
      </c>
      <c r="T260" s="5">
        <f t="shared" si="32"/>
        <v>12.731</v>
      </c>
      <c r="U260" s="5">
        <f t="shared" si="33"/>
        <v>-87280.282340000005</v>
      </c>
      <c r="V260" s="5">
        <f t="shared" si="34"/>
        <v>-87280.532340000005</v>
      </c>
      <c r="W260" s="5">
        <f t="shared" si="35"/>
        <v>1.0000028643353722</v>
      </c>
      <c r="X260" s="5">
        <f t="shared" si="36"/>
        <v>5</v>
      </c>
      <c r="Y260" s="5">
        <f t="shared" si="37"/>
        <v>12</v>
      </c>
      <c r="Z260" s="5">
        <f t="shared" si="38"/>
        <v>2024</v>
      </c>
      <c r="AA260" t="str">
        <f t="shared" si="39"/>
        <v>Clean</v>
      </c>
    </row>
    <row r="261" spans="1:27" x14ac:dyDescent="0.3">
      <c r="A261" t="str">
        <f>[1]raw_orders!A261</f>
        <v>ORD-2024-10260</v>
      </c>
      <c r="B261" s="4" t="str">
        <f>IFERROR(DATEVALUE([1]raw_orders!B261), "Invalid Date")</f>
        <v>Invalid Date</v>
      </c>
      <c r="C261" s="4">
        <f>IFERROR(DATEVALUE([1]raw_orders!C261), "Invalid Date")</f>
        <v>45472</v>
      </c>
      <c r="D261" t="str">
        <f>[1]raw_orders!D261</f>
        <v>CUST-5174</v>
      </c>
      <c r="E261" t="str">
        <f>PROPER(TRIM([1]raw_orders!E261))</f>
        <v>Neha Gupta</v>
      </c>
      <c r="F261" t="str">
        <f>PROPER(TRIM([1]raw_orders!F261))</f>
        <v>Consumer</v>
      </c>
      <c r="G261" t="str">
        <f>IF(TRIM([1]raw_orders!G261)="","Unknown",PROPER(TRIM([1]raw_orders!G261)))</f>
        <v>South</v>
      </c>
      <c r="H261" t="str">
        <f>PROPER(TRIM([1]raw_orders!H261))</f>
        <v>Tamil Nadu</v>
      </c>
      <c r="I261" t="str">
        <f>PROPER(TRIM([1]raw_orders!I261))</f>
        <v>Chennai</v>
      </c>
      <c r="J261" t="str">
        <f>PROPER(TRIM([1]raw_orders!J261))</f>
        <v>Technology</v>
      </c>
      <c r="K261" t="str">
        <f>PROPER(TRIM([1]raw_orders!K261))</f>
        <v>Machines</v>
      </c>
      <c r="L261" t="str">
        <f>[1]raw_orders!L261</f>
        <v>Prime Machines 793</v>
      </c>
      <c r="M261" t="str">
        <f>IF(TRIM([1]raw_orders!M261)="","Unknown",PROPER(TRIM([1]raw_orders!M261)))</f>
        <v>Standard Class</v>
      </c>
      <c r="N261" s="5">
        <f>[1]raw_orders!N261</f>
        <v>8</v>
      </c>
      <c r="O261" s="5">
        <f>[1]raw_orders!O261</f>
        <v>2853.92</v>
      </c>
      <c r="P261" s="5">
        <f>[1]raw_orders!P261</f>
        <v>0.2</v>
      </c>
      <c r="Q261" t="str">
        <f>PROPER(TRIM([1]raw_orders!T261))</f>
        <v>Paid</v>
      </c>
      <c r="R261" t="str">
        <f>PROPER(TRIM([1]raw_orders!U261))</f>
        <v>Completed</v>
      </c>
      <c r="S261" s="5">
        <f>[1]raw_orders!S261</f>
        <v>7827.95</v>
      </c>
      <c r="T261" s="5">
        <f t="shared" si="32"/>
        <v>78.279499999999999</v>
      </c>
      <c r="U261" s="5">
        <f t="shared" si="33"/>
        <v>-1764396.0851199999</v>
      </c>
      <c r="V261" s="5">
        <f t="shared" si="34"/>
        <v>-1764396.2851199999</v>
      </c>
      <c r="W261" s="5">
        <f t="shared" si="35"/>
        <v>1.0000001133532326</v>
      </c>
      <c r="X261" s="5" t="str">
        <f t="shared" si="36"/>
        <v>Invalid Date</v>
      </c>
      <c r="Y261" s="5" t="e">
        <f t="shared" si="37"/>
        <v>#VALUE!</v>
      </c>
      <c r="Z261" s="5" t="e">
        <f t="shared" si="38"/>
        <v>#VALUE!</v>
      </c>
      <c r="AA261" t="str">
        <f t="shared" si="39"/>
        <v>Clean</v>
      </c>
    </row>
    <row r="262" spans="1:27" x14ac:dyDescent="0.3">
      <c r="A262" t="str">
        <f>[1]raw_orders!A262</f>
        <v>ORD-2025-10261</v>
      </c>
      <c r="B262" s="4">
        <f>IFERROR(DATEVALUE([1]raw_orders!B262), "Invalid Date")</f>
        <v>45923</v>
      </c>
      <c r="C262" s="4" t="str">
        <f>IFERROR(DATEVALUE([1]raw_orders!C262), "Invalid Date")</f>
        <v>Invalid Date</v>
      </c>
      <c r="D262" t="str">
        <f>[1]raw_orders!D262</f>
        <v>CUST-3543</v>
      </c>
      <c r="E262" t="str">
        <f>PROPER(TRIM([1]raw_orders!E262))</f>
        <v>Aditi Sen</v>
      </c>
      <c r="F262" t="str">
        <f>PROPER(TRIM([1]raw_orders!F262))</f>
        <v>Corporate</v>
      </c>
      <c r="G262" t="str">
        <f>IF(TRIM([1]raw_orders!G262)="","Unknown",PROPER(TRIM([1]raw_orders!G262)))</f>
        <v>East</v>
      </c>
      <c r="H262" t="str">
        <f>PROPER(TRIM([1]raw_orders!H262))</f>
        <v>West Bengal</v>
      </c>
      <c r="I262" t="str">
        <f>PROPER(TRIM([1]raw_orders!I262))</f>
        <v>Kolkata</v>
      </c>
      <c r="J262" t="str">
        <f>PROPER(TRIM([1]raw_orders!J262))</f>
        <v>Office Supplies</v>
      </c>
      <c r="K262" t="str">
        <f>PROPER(TRIM([1]raw_orders!K262))</f>
        <v>Binders</v>
      </c>
      <c r="L262" t="str">
        <f>[1]raw_orders!L262</f>
        <v>Elite Binders 827</v>
      </c>
      <c r="M262" t="str">
        <f>IF(TRIM([1]raw_orders!M262)="","Unknown",PROPER(TRIM([1]raw_orders!M262)))</f>
        <v>Same Day</v>
      </c>
      <c r="N262" s="5">
        <f>[1]raw_orders!N262</f>
        <v>7</v>
      </c>
      <c r="O262" s="5">
        <f>[1]raw_orders!O262</f>
        <v>2897.12</v>
      </c>
      <c r="P262" s="5">
        <f>[1]raw_orders!P262</f>
        <v>0.25</v>
      </c>
      <c r="Q262" t="str">
        <f>PROPER(TRIM([1]raw_orders!T262))</f>
        <v>Failed</v>
      </c>
      <c r="R262" t="str">
        <f>PROPER(TRIM([1]raw_orders!U262))</f>
        <v>Returned</v>
      </c>
      <c r="S262" s="5">
        <f>[1]raw_orders!S262</f>
        <v>4318.7299999999996</v>
      </c>
      <c r="T262" s="5">
        <f t="shared" si="32"/>
        <v>43.187299999999993</v>
      </c>
      <c r="U262" s="5">
        <f t="shared" si="33"/>
        <v>-855551.69403199991</v>
      </c>
      <c r="V262" s="5">
        <f t="shared" si="34"/>
        <v>-855551.94403199991</v>
      </c>
      <c r="W262" s="5">
        <f t="shared" si="35"/>
        <v>1.0000002922091111</v>
      </c>
      <c r="X262" s="5" t="str">
        <f t="shared" si="36"/>
        <v>Invalid Date</v>
      </c>
      <c r="Y262" s="5">
        <f t="shared" si="37"/>
        <v>9</v>
      </c>
      <c r="Z262" s="5">
        <f t="shared" si="38"/>
        <v>2025</v>
      </c>
      <c r="AA262" t="str">
        <f t="shared" si="39"/>
        <v>Clean</v>
      </c>
    </row>
    <row r="263" spans="1:27" x14ac:dyDescent="0.3">
      <c r="A263" t="str">
        <f>[1]raw_orders!A263</f>
        <v>ORD-2025-10262</v>
      </c>
      <c r="B263" s="4" t="str">
        <f>IFERROR(DATEVALUE([1]raw_orders!B263), "Invalid Date")</f>
        <v>Invalid Date</v>
      </c>
      <c r="C263" s="4" t="str">
        <f>IFERROR(DATEVALUE([1]raw_orders!C263), "Invalid Date")</f>
        <v>Invalid Date</v>
      </c>
      <c r="D263" t="str">
        <f>[1]raw_orders!D263</f>
        <v>CUST-7623</v>
      </c>
      <c r="E263" t="str">
        <f>PROPER(TRIM([1]raw_orders!E263))</f>
        <v>Sneha Kapoor</v>
      </c>
      <c r="F263" t="str">
        <f>PROPER(TRIM([1]raw_orders!F263))</f>
        <v>Corporate</v>
      </c>
      <c r="G263" t="str">
        <f>IF(TRIM([1]raw_orders!G263)="","Unknown",PROPER(TRIM([1]raw_orders!G263)))</f>
        <v>North</v>
      </c>
      <c r="H263" t="str">
        <f>PROPER(TRIM([1]raw_orders!H263))</f>
        <v>Rajasthan</v>
      </c>
      <c r="I263" t="str">
        <f>PROPER(TRIM([1]raw_orders!I263))</f>
        <v>Jaipur</v>
      </c>
      <c r="J263" t="str">
        <f>PROPER(TRIM([1]raw_orders!J263))</f>
        <v>Office Supplies</v>
      </c>
      <c r="K263" t="str">
        <f>PROPER(TRIM([1]raw_orders!K263))</f>
        <v>Labels</v>
      </c>
      <c r="L263" t="str">
        <f>[1]raw_orders!L263</f>
        <v>Prime Labels 326</v>
      </c>
      <c r="M263" t="str">
        <f>IF(TRIM([1]raw_orders!M263)="","Unknown",PROPER(TRIM([1]raw_orders!M263)))</f>
        <v>Standard Class</v>
      </c>
      <c r="N263" s="5">
        <f>[1]raw_orders!N263</f>
        <v>3</v>
      </c>
      <c r="O263" s="5">
        <f>[1]raw_orders!O263</f>
        <v>686.74</v>
      </c>
      <c r="P263" s="5">
        <f>[1]raw_orders!P263</f>
        <v>0.2</v>
      </c>
      <c r="Q263" t="str">
        <f>PROPER(TRIM([1]raw_orders!T263))</f>
        <v>Failed</v>
      </c>
      <c r="R263" t="str">
        <f>PROPER(TRIM([1]raw_orders!U263))</f>
        <v>Cancelled</v>
      </c>
      <c r="S263" s="5">
        <f>[1]raw_orders!S263</f>
        <v>660.27</v>
      </c>
      <c r="T263" s="5">
        <f t="shared" si="32"/>
        <v>6.6026999999999996</v>
      </c>
      <c r="U263" s="5">
        <f t="shared" si="33"/>
        <v>-11542.794594000001</v>
      </c>
      <c r="V263" s="5">
        <f t="shared" si="34"/>
        <v>-11542.994594000002</v>
      </c>
      <c r="W263" s="5">
        <f t="shared" si="35"/>
        <v>1.0000173268265646</v>
      </c>
      <c r="X263" s="5" t="str">
        <f t="shared" si="36"/>
        <v>Invalid Date</v>
      </c>
      <c r="Y263" s="5" t="e">
        <f t="shared" si="37"/>
        <v>#VALUE!</v>
      </c>
      <c r="Z263" s="5" t="e">
        <f t="shared" si="38"/>
        <v>#VALUE!</v>
      </c>
      <c r="AA263" t="str">
        <f t="shared" si="39"/>
        <v>Clean</v>
      </c>
    </row>
    <row r="264" spans="1:27" x14ac:dyDescent="0.3">
      <c r="A264" t="str">
        <f>[1]raw_orders!A264</f>
        <v>ORD-2025-10263</v>
      </c>
      <c r="B264" s="4">
        <f>IFERROR(DATEVALUE([1]raw_orders!B264), "Invalid Date")</f>
        <v>45803</v>
      </c>
      <c r="C264" s="4">
        <f>IFERROR(DATEVALUE([1]raw_orders!C264), "Invalid Date")</f>
        <v>45809</v>
      </c>
      <c r="D264" t="str">
        <f>[1]raw_orders!D264</f>
        <v>CUST-6153</v>
      </c>
      <c r="E264" t="str">
        <f>PROPER(TRIM([1]raw_orders!E264))</f>
        <v>Arjun Bose</v>
      </c>
      <c r="F264" t="str">
        <f>PROPER(TRIM([1]raw_orders!F264))</f>
        <v>Small Business</v>
      </c>
      <c r="G264" t="str">
        <f>IF(TRIM([1]raw_orders!G264)="","Unknown",PROPER(TRIM([1]raw_orders!G264)))</f>
        <v>North</v>
      </c>
      <c r="H264" t="str">
        <f>PROPER(TRIM([1]raw_orders!H264))</f>
        <v>Delhi</v>
      </c>
      <c r="I264" t="str">
        <f>PROPER(TRIM([1]raw_orders!I264))</f>
        <v>New Delhi</v>
      </c>
      <c r="J264" t="str">
        <f>PROPER(TRIM([1]raw_orders!J264))</f>
        <v>Technology</v>
      </c>
      <c r="K264" t="str">
        <f>PROPER(TRIM([1]raw_orders!K264))</f>
        <v>Phones</v>
      </c>
      <c r="L264" t="str">
        <f>[1]raw_orders!L264</f>
        <v>Eco Phones 245</v>
      </c>
      <c r="M264" t="str">
        <f>IF(TRIM([1]raw_orders!M264)="","Unknown",PROPER(TRIM([1]raw_orders!M264)))</f>
        <v>Same Day</v>
      </c>
      <c r="N264" s="5">
        <f>[1]raw_orders!N264</f>
        <v>4</v>
      </c>
      <c r="O264" s="5">
        <f>[1]raw_orders!O264</f>
        <v>3349.86</v>
      </c>
      <c r="P264" s="5">
        <f>[1]raw_orders!P264</f>
        <v>0</v>
      </c>
      <c r="Q264" t="str">
        <f>PROPER(TRIM([1]raw_orders!T264))</f>
        <v>Pending</v>
      </c>
      <c r="R264" t="str">
        <f>PROPER(TRIM([1]raw_orders!U264))</f>
        <v>Returned</v>
      </c>
      <c r="S264" s="5">
        <f>[1]raw_orders!S264</f>
        <v>4818.09</v>
      </c>
      <c r="T264" s="5">
        <f t="shared" si="32"/>
        <v>48.180900000000001</v>
      </c>
      <c r="U264" s="5">
        <f t="shared" si="33"/>
        <v>-632197.6386960001</v>
      </c>
      <c r="V264" s="5">
        <f t="shared" si="34"/>
        <v>-632197.6386960001</v>
      </c>
      <c r="W264" s="5">
        <f t="shared" si="35"/>
        <v>1</v>
      </c>
      <c r="X264" s="5">
        <f t="shared" si="36"/>
        <v>6</v>
      </c>
      <c r="Y264" s="5">
        <f t="shared" si="37"/>
        <v>5</v>
      </c>
      <c r="Z264" s="5">
        <f t="shared" si="38"/>
        <v>2025</v>
      </c>
      <c r="AA264" t="str">
        <f t="shared" si="39"/>
        <v>Clean</v>
      </c>
    </row>
    <row r="265" spans="1:27" x14ac:dyDescent="0.3">
      <c r="A265" t="str">
        <f>[1]raw_orders!A265</f>
        <v>ORD-2025-10264</v>
      </c>
      <c r="B265" s="4">
        <f>IFERROR(DATEVALUE([1]raw_orders!B265), "Invalid Date")</f>
        <v>45875</v>
      </c>
      <c r="C265" s="4">
        <f>IFERROR(DATEVALUE([1]raw_orders!C265), "Invalid Date")</f>
        <v>45879</v>
      </c>
      <c r="D265" t="str">
        <f>[1]raw_orders!D265</f>
        <v>CUST-8265</v>
      </c>
      <c r="E265" t="str">
        <f>PROPER(TRIM([1]raw_orders!E265))</f>
        <v>Rohan Mehta</v>
      </c>
      <c r="F265" t="str">
        <f>PROPER(TRIM([1]raw_orders!F265))</f>
        <v>Small Business</v>
      </c>
      <c r="G265" t="str">
        <f>IF(TRIM([1]raw_orders!G265)="","Unknown",PROPER(TRIM([1]raw_orders!G265)))</f>
        <v>North</v>
      </c>
      <c r="H265" t="str">
        <f>PROPER(TRIM([1]raw_orders!H265))</f>
        <v>Delhi</v>
      </c>
      <c r="I265" t="str">
        <f>PROPER(TRIM([1]raw_orders!I265))</f>
        <v>New Delhi</v>
      </c>
      <c r="J265" t="str">
        <f>PROPER(TRIM([1]raw_orders!J265))</f>
        <v>Office Supplies</v>
      </c>
      <c r="K265" t="str">
        <f>PROPER(TRIM([1]raw_orders!K265))</f>
        <v>Binders</v>
      </c>
      <c r="L265" t="str">
        <f>[1]raw_orders!L265</f>
        <v>Smart Binders 905</v>
      </c>
      <c r="M265" t="str">
        <f>IF(TRIM([1]raw_orders!M265)="","Unknown",PROPER(TRIM([1]raw_orders!M265)))</f>
        <v>Second Class</v>
      </c>
      <c r="N265" s="5">
        <f>[1]raw_orders!N265</f>
        <v>9</v>
      </c>
      <c r="O265" s="5">
        <f>[1]raw_orders!O265</f>
        <v>4042.45</v>
      </c>
      <c r="P265" s="5">
        <f>[1]raw_orders!P265</f>
        <v>0.1</v>
      </c>
      <c r="Q265" t="str">
        <f>PROPER(TRIM([1]raw_orders!T265))</f>
        <v>Pending</v>
      </c>
      <c r="R265" t="str">
        <f>PROPER(TRIM([1]raw_orders!U265))</f>
        <v>Returned</v>
      </c>
      <c r="S265" s="5">
        <f>[1]raw_orders!S265</f>
        <v>10291.790000000001</v>
      </c>
      <c r="T265" s="5">
        <f t="shared" si="32"/>
        <v>102.9179</v>
      </c>
      <c r="U265" s="5">
        <f t="shared" si="33"/>
        <v>-3707982.1336949999</v>
      </c>
      <c r="V265" s="5">
        <f t="shared" si="34"/>
        <v>-3707982.2336949999</v>
      </c>
      <c r="W265" s="5">
        <f t="shared" si="35"/>
        <v>1.0000000269688463</v>
      </c>
      <c r="X265" s="5">
        <f t="shared" si="36"/>
        <v>4</v>
      </c>
      <c r="Y265" s="5">
        <f t="shared" si="37"/>
        <v>8</v>
      </c>
      <c r="Z265" s="5">
        <f t="shared" si="38"/>
        <v>2025</v>
      </c>
      <c r="AA265" t="str">
        <f t="shared" si="39"/>
        <v>Clean</v>
      </c>
    </row>
    <row r="266" spans="1:27" x14ac:dyDescent="0.3">
      <c r="A266" t="str">
        <f>[1]raw_orders!A266</f>
        <v>ORD-2024-10265</v>
      </c>
      <c r="B266" s="4">
        <f>IFERROR(DATEVALUE([1]raw_orders!B266), "Invalid Date")</f>
        <v>45428</v>
      </c>
      <c r="C266" s="4" t="str">
        <f>IFERROR(DATEVALUE([1]raw_orders!C266), "Invalid Date")</f>
        <v>Invalid Date</v>
      </c>
      <c r="D266" t="str">
        <f>[1]raw_orders!D266</f>
        <v>CUST-4750</v>
      </c>
      <c r="E266" t="str">
        <f>PROPER(TRIM([1]raw_orders!E266))</f>
        <v>Diya Patel</v>
      </c>
      <c r="F266" t="str">
        <f>PROPER(TRIM([1]raw_orders!F266))</f>
        <v>Small Business</v>
      </c>
      <c r="G266" t="str">
        <f>IF(TRIM([1]raw_orders!G266)="","Unknown",PROPER(TRIM([1]raw_orders!G266)))</f>
        <v>East</v>
      </c>
      <c r="H266" t="str">
        <f>PROPER(TRIM([1]raw_orders!H266))</f>
        <v>Bihar</v>
      </c>
      <c r="I266" t="str">
        <f>PROPER(TRIM([1]raw_orders!I266))</f>
        <v>Patna</v>
      </c>
      <c r="J266" t="str">
        <f>PROPER(TRIM([1]raw_orders!J266))</f>
        <v>Technology</v>
      </c>
      <c r="K266" t="str">
        <f>PROPER(TRIM([1]raw_orders!K266))</f>
        <v>Copiers</v>
      </c>
      <c r="L266" t="str">
        <f>[1]raw_orders!L266</f>
        <v>Pro Copiers 599</v>
      </c>
      <c r="M266" t="str">
        <f>IF(TRIM([1]raw_orders!M266)="","Unknown",PROPER(TRIM([1]raw_orders!M266)))</f>
        <v>Standard Class</v>
      </c>
      <c r="N266" s="5">
        <f>[1]raw_orders!N266</f>
        <v>4</v>
      </c>
      <c r="O266" s="5">
        <f>[1]raw_orders!O266</f>
        <v>1503.07</v>
      </c>
      <c r="P266" s="5">
        <f>[1]raw_orders!P266</f>
        <v>0</v>
      </c>
      <c r="Q266" t="str">
        <f>PROPER(TRIM([1]raw_orders!T266))</f>
        <v>Paid</v>
      </c>
      <c r="R266" t="str">
        <f>PROPER(TRIM([1]raw_orders!U266))</f>
        <v>Completed</v>
      </c>
      <c r="S266" s="5">
        <f>[1]raw_orders!S266</f>
        <v>2084.64</v>
      </c>
      <c r="T266" s="5">
        <f t="shared" si="32"/>
        <v>20.846399999999999</v>
      </c>
      <c r="U266" s="5">
        <f t="shared" si="33"/>
        <v>-119322.11379199999</v>
      </c>
      <c r="V266" s="5">
        <f t="shared" si="34"/>
        <v>-119322.11379199999</v>
      </c>
      <c r="W266" s="5">
        <f t="shared" si="35"/>
        <v>1</v>
      </c>
      <c r="X266" s="5" t="str">
        <f t="shared" si="36"/>
        <v>Invalid Date</v>
      </c>
      <c r="Y266" s="5">
        <f t="shared" si="37"/>
        <v>5</v>
      </c>
      <c r="Z266" s="5">
        <f t="shared" si="38"/>
        <v>2024</v>
      </c>
      <c r="AA266" t="str">
        <f t="shared" si="39"/>
        <v>Clean</v>
      </c>
    </row>
    <row r="267" spans="1:27" x14ac:dyDescent="0.3">
      <c r="A267" t="str">
        <f>[1]raw_orders!A267</f>
        <v>ORD-2024-10266</v>
      </c>
      <c r="B267" s="4">
        <f>IFERROR(DATEVALUE([1]raw_orders!B267), "Invalid Date")</f>
        <v>45610</v>
      </c>
      <c r="C267" s="4" t="str">
        <f>IFERROR(DATEVALUE([1]raw_orders!C267), "Invalid Date")</f>
        <v>Invalid Date</v>
      </c>
      <c r="D267" t="str">
        <f>[1]raw_orders!D267</f>
        <v>CUST-3974</v>
      </c>
      <c r="E267" t="str">
        <f>PROPER(TRIM([1]raw_orders!E267))</f>
        <v>Priya Menon</v>
      </c>
      <c r="F267" t="str">
        <f>PROPER(TRIM([1]raw_orders!F267))</f>
        <v>Corporate</v>
      </c>
      <c r="G267" t="str">
        <f>IF(TRIM([1]raw_orders!G267)="","Unknown",PROPER(TRIM([1]raw_orders!G267)))</f>
        <v>East</v>
      </c>
      <c r="H267" t="str">
        <f>PROPER(TRIM([1]raw_orders!H267))</f>
        <v>Bihar</v>
      </c>
      <c r="I267" t="str">
        <f>PROPER(TRIM([1]raw_orders!I267))</f>
        <v>Patna</v>
      </c>
      <c r="J267" t="str">
        <f>PROPER(TRIM([1]raw_orders!J267))</f>
        <v>Furniture</v>
      </c>
      <c r="K267" t="str">
        <f>PROPER(TRIM([1]raw_orders!K267))</f>
        <v>Bookcases</v>
      </c>
      <c r="L267" t="str">
        <f>[1]raw_orders!L267</f>
        <v>Basic Bookcases 570</v>
      </c>
      <c r="M267" t="str">
        <f>IF(TRIM([1]raw_orders!M267)="","Unknown",PROPER(TRIM([1]raw_orders!M267)))</f>
        <v>Same Day</v>
      </c>
      <c r="N267" s="5">
        <f>[1]raw_orders!N267</f>
        <v>1</v>
      </c>
      <c r="O267" s="5">
        <f>[1]raw_orders!O267</f>
        <v>582.37</v>
      </c>
      <c r="P267" s="5">
        <f>[1]raw_orders!P267</f>
        <v>0.15</v>
      </c>
      <c r="Q267" t="str">
        <f>PROPER(TRIM([1]raw_orders!T267))</f>
        <v>Refunded</v>
      </c>
      <c r="R267" t="str">
        <f>PROPER(TRIM([1]raw_orders!U267))</f>
        <v>Cancelled</v>
      </c>
      <c r="S267" s="5">
        <f>[1]raw_orders!S267</f>
        <v>209.88</v>
      </c>
      <c r="T267" s="5">
        <f t="shared" si="32"/>
        <v>2.0987999999999998</v>
      </c>
      <c r="U267" s="5">
        <f t="shared" si="33"/>
        <v>-639.90815599999985</v>
      </c>
      <c r="V267" s="5">
        <f t="shared" si="34"/>
        <v>-640.05815599999983</v>
      </c>
      <c r="W267" s="5">
        <f t="shared" si="35"/>
        <v>1.0002344086391046</v>
      </c>
      <c r="X267" s="5" t="str">
        <f t="shared" si="36"/>
        <v>Invalid Date</v>
      </c>
      <c r="Y267" s="5">
        <f t="shared" si="37"/>
        <v>11</v>
      </c>
      <c r="Z267" s="5">
        <f t="shared" si="38"/>
        <v>2024</v>
      </c>
      <c r="AA267" t="str">
        <f t="shared" si="39"/>
        <v>Clean</v>
      </c>
    </row>
    <row r="268" spans="1:27" x14ac:dyDescent="0.3">
      <c r="A268" t="str">
        <f>[1]raw_orders!A268</f>
        <v>ORD-2025-10267</v>
      </c>
      <c r="B268" s="4">
        <f>IFERROR(DATEVALUE([1]raw_orders!B268), "Invalid Date")</f>
        <v>45780</v>
      </c>
      <c r="C268" s="4">
        <f>IFERROR(DATEVALUE([1]raw_orders!C268), "Invalid Date")</f>
        <v>45787</v>
      </c>
      <c r="D268" t="str">
        <f>[1]raw_orders!D268</f>
        <v>CUST-7114</v>
      </c>
      <c r="E268" t="str">
        <f>PROPER(TRIM([1]raw_orders!E268))</f>
        <v>Neha Gupta</v>
      </c>
      <c r="F268" t="str">
        <f>PROPER(TRIM([1]raw_orders!F268))</f>
        <v>Home Office</v>
      </c>
      <c r="G268" t="str">
        <f>IF(TRIM([1]raw_orders!G268)="","Unknown",PROPER(TRIM([1]raw_orders!G268)))</f>
        <v>West</v>
      </c>
      <c r="H268" t="str">
        <f>PROPER(TRIM([1]raw_orders!H268))</f>
        <v>Maharashtra</v>
      </c>
      <c r="I268" t="str">
        <f>PROPER(TRIM([1]raw_orders!I268))</f>
        <v>Mumbai</v>
      </c>
      <c r="J268" t="str">
        <f>PROPER(TRIM([1]raw_orders!J268))</f>
        <v>Office Supplies</v>
      </c>
      <c r="K268" t="str">
        <f>PROPER(TRIM([1]raw_orders!K268))</f>
        <v>Storage</v>
      </c>
      <c r="L268" t="str">
        <f>[1]raw_orders!L268</f>
        <v>Classic Storage 926</v>
      </c>
      <c r="M268" t="str">
        <f>IF(TRIM([1]raw_orders!M268)="","Unknown",PROPER(TRIM([1]raw_orders!M268)))</f>
        <v>Second Class</v>
      </c>
      <c r="N268" s="5">
        <f>[1]raw_orders!N268</f>
        <v>3</v>
      </c>
      <c r="O268" s="5">
        <f>[1]raw_orders!O268</f>
        <v>4339.24</v>
      </c>
      <c r="P268" s="5">
        <f>[1]raw_orders!P268</f>
        <v>0</v>
      </c>
      <c r="Q268" t="str">
        <f>PROPER(TRIM([1]raw_orders!T268))</f>
        <v>Paid</v>
      </c>
      <c r="R268" t="str">
        <f>PROPER(TRIM([1]raw_orders!U268))</f>
        <v>Completed</v>
      </c>
      <c r="S268" s="5">
        <f>[1]raw_orders!S268</f>
        <v>2847.15</v>
      </c>
      <c r="T268" s="5">
        <f t="shared" si="32"/>
        <v>28.471500000000002</v>
      </c>
      <c r="U268" s="5">
        <f t="shared" si="33"/>
        <v>-357616.29498000001</v>
      </c>
      <c r="V268" s="5">
        <f t="shared" si="34"/>
        <v>-357616.29498000001</v>
      </c>
      <c r="W268" s="5">
        <f t="shared" si="35"/>
        <v>1</v>
      </c>
      <c r="X268" s="5">
        <f t="shared" si="36"/>
        <v>7</v>
      </c>
      <c r="Y268" s="5">
        <f t="shared" si="37"/>
        <v>5</v>
      </c>
      <c r="Z268" s="5">
        <f t="shared" si="38"/>
        <v>2025</v>
      </c>
      <c r="AA268" t="str">
        <f t="shared" si="39"/>
        <v>Clean</v>
      </c>
    </row>
    <row r="269" spans="1:27" x14ac:dyDescent="0.3">
      <c r="A269" t="str">
        <f>[1]raw_orders!A269</f>
        <v>ORD-2025-10268</v>
      </c>
      <c r="B269" s="4">
        <f>IFERROR(DATEVALUE([1]raw_orders!B269), "Invalid Date")</f>
        <v>45805</v>
      </c>
      <c r="C269" s="4">
        <f>IFERROR(DATEVALUE([1]raw_orders!C269), "Invalid Date")</f>
        <v>45812</v>
      </c>
      <c r="D269" t="str">
        <f>[1]raw_orders!D269</f>
        <v>CUST-4431</v>
      </c>
      <c r="E269" t="str">
        <f>PROPER(TRIM([1]raw_orders!E269))</f>
        <v>Diya Patel</v>
      </c>
      <c r="F269" t="str">
        <f>PROPER(TRIM([1]raw_orders!F269))</f>
        <v>Corporate</v>
      </c>
      <c r="G269" t="str">
        <f>IF(TRIM([1]raw_orders!G269)="","Unknown",PROPER(TRIM([1]raw_orders!G269)))</f>
        <v>East</v>
      </c>
      <c r="H269" t="str">
        <f>PROPER(TRIM([1]raw_orders!H269))</f>
        <v>Jharkhand</v>
      </c>
      <c r="I269" t="str">
        <f>PROPER(TRIM([1]raw_orders!I269))</f>
        <v>Ranchi</v>
      </c>
      <c r="J269" t="str">
        <f>PROPER(TRIM([1]raw_orders!J269))</f>
        <v>Furniture</v>
      </c>
      <c r="K269" t="str">
        <f>PROPER(TRIM([1]raw_orders!K269))</f>
        <v>Furnishings</v>
      </c>
      <c r="L269" t="str">
        <f>[1]raw_orders!L269</f>
        <v>Basic Furnishings 372</v>
      </c>
      <c r="M269" t="str">
        <f>IF(TRIM([1]raw_orders!M269)="","Unknown",PROPER(TRIM([1]raw_orders!M269)))</f>
        <v>First Class</v>
      </c>
      <c r="N269" s="5">
        <f>[1]raw_orders!N269</f>
        <v>4</v>
      </c>
      <c r="O269" s="5">
        <f>[1]raw_orders!O269</f>
        <v>261.8</v>
      </c>
      <c r="P269" s="5">
        <f>[1]raw_orders!P269</f>
        <v>0.25</v>
      </c>
      <c r="Q269" t="str">
        <f>PROPER(TRIM([1]raw_orders!T269))</f>
        <v>Paid</v>
      </c>
      <c r="R269" t="str">
        <f>PROPER(TRIM([1]raw_orders!U269))</f>
        <v>Completed</v>
      </c>
      <c r="S269" s="5">
        <f>[1]raw_orders!S269</f>
        <v>228.18</v>
      </c>
      <c r="T269" s="5">
        <f t="shared" si="32"/>
        <v>2.2818000000000001</v>
      </c>
      <c r="U269" s="5">
        <f t="shared" si="33"/>
        <v>-1342.30096</v>
      </c>
      <c r="V269" s="5">
        <f t="shared" si="34"/>
        <v>-1342.55096</v>
      </c>
      <c r="W269" s="5">
        <f t="shared" si="35"/>
        <v>1.0001862473524565</v>
      </c>
      <c r="X269" s="5">
        <f t="shared" si="36"/>
        <v>7</v>
      </c>
      <c r="Y269" s="5">
        <f t="shared" si="37"/>
        <v>5</v>
      </c>
      <c r="Z269" s="5">
        <f t="shared" si="38"/>
        <v>2025</v>
      </c>
      <c r="AA269" t="str">
        <f t="shared" si="39"/>
        <v>Clean</v>
      </c>
    </row>
    <row r="270" spans="1:27" x14ac:dyDescent="0.3">
      <c r="A270" t="str">
        <f>[1]raw_orders!A270</f>
        <v>ORD-2025-10269</v>
      </c>
      <c r="B270" s="4" t="str">
        <f>IFERROR(DATEVALUE([1]raw_orders!B270), "Invalid Date")</f>
        <v>Invalid Date</v>
      </c>
      <c r="C270" s="4" t="str">
        <f>IFERROR(DATEVALUE([1]raw_orders!C270), "Invalid Date")</f>
        <v>Invalid Date</v>
      </c>
      <c r="D270" t="str">
        <f>[1]raw_orders!D270</f>
        <v>CUST-1488</v>
      </c>
      <c r="E270" t="str">
        <f>PROPER(TRIM([1]raw_orders!E270))</f>
        <v>Aarav Sharma</v>
      </c>
      <c r="F270" t="str">
        <f>PROPER(TRIM([1]raw_orders!F270))</f>
        <v>Home Office</v>
      </c>
      <c r="G270" t="str">
        <f>IF(TRIM([1]raw_orders!G270)="","Unknown",PROPER(TRIM([1]raw_orders!G270)))</f>
        <v>North</v>
      </c>
      <c r="H270" t="str">
        <f>PROPER(TRIM([1]raw_orders!H270))</f>
        <v>Punjab</v>
      </c>
      <c r="I270" t="str">
        <f>PROPER(TRIM([1]raw_orders!I270))</f>
        <v>Ludhiana</v>
      </c>
      <c r="J270" t="str">
        <f>PROPER(TRIM([1]raw_orders!J270))</f>
        <v>Technology</v>
      </c>
      <c r="K270" t="str">
        <f>PROPER(TRIM([1]raw_orders!K270))</f>
        <v>Accessories</v>
      </c>
      <c r="L270" t="str">
        <f>[1]raw_orders!L270</f>
        <v>Prime Accessories 367</v>
      </c>
      <c r="M270" t="str">
        <f>IF(TRIM([1]raw_orders!M270)="","Unknown",PROPER(TRIM([1]raw_orders!M270)))</f>
        <v>First Class</v>
      </c>
      <c r="N270" s="5">
        <f>[1]raw_orders!N270</f>
        <v>7</v>
      </c>
      <c r="O270" s="5">
        <f>[1]raw_orders!O270</f>
        <v>632.20000000000005</v>
      </c>
      <c r="P270" s="5">
        <f>[1]raw_orders!P270</f>
        <v>0.25</v>
      </c>
      <c r="Q270" t="str">
        <f>PROPER(TRIM([1]raw_orders!T270))</f>
        <v>Paid</v>
      </c>
      <c r="R270" t="str">
        <f>PROPER(TRIM([1]raw_orders!U270))</f>
        <v>Completed</v>
      </c>
      <c r="S270" s="5">
        <f>[1]raw_orders!S270</f>
        <v>1194.45</v>
      </c>
      <c r="T270" s="5">
        <f t="shared" si="32"/>
        <v>11.9445</v>
      </c>
      <c r="U270" s="5">
        <f t="shared" si="33"/>
        <v>-48433.790300000008</v>
      </c>
      <c r="V270" s="5">
        <f t="shared" si="34"/>
        <v>-48434.040300000008</v>
      </c>
      <c r="W270" s="5">
        <f t="shared" si="35"/>
        <v>1.0000051616856425</v>
      </c>
      <c r="X270" s="5" t="str">
        <f t="shared" si="36"/>
        <v>Invalid Date</v>
      </c>
      <c r="Y270" s="5" t="e">
        <f t="shared" si="37"/>
        <v>#VALUE!</v>
      </c>
      <c r="Z270" s="5" t="e">
        <f t="shared" si="38"/>
        <v>#VALUE!</v>
      </c>
      <c r="AA270" t="str">
        <f t="shared" si="39"/>
        <v>Clean</v>
      </c>
    </row>
    <row r="271" spans="1:27" x14ac:dyDescent="0.3">
      <c r="A271" t="str">
        <f>[1]raw_orders!A271</f>
        <v>ORD-2025-10270</v>
      </c>
      <c r="B271" s="4">
        <f>IFERROR(DATEVALUE([1]raw_orders!B271), "Invalid Date")</f>
        <v>45932</v>
      </c>
      <c r="C271" s="4">
        <f>IFERROR(DATEVALUE([1]raw_orders!C271), "Invalid Date")</f>
        <v>45993</v>
      </c>
      <c r="D271" t="str">
        <f>[1]raw_orders!D271</f>
        <v>CUST-1586</v>
      </c>
      <c r="E271" t="str">
        <f>PROPER(TRIM([1]raw_orders!E271))</f>
        <v>Rahul Verma</v>
      </c>
      <c r="F271" t="str">
        <f>PROPER(TRIM([1]raw_orders!F271))</f>
        <v>Small Business</v>
      </c>
      <c r="G271" t="str">
        <f>IF(TRIM([1]raw_orders!G271)="","Unknown",PROPER(TRIM([1]raw_orders!G271)))</f>
        <v>West</v>
      </c>
      <c r="H271" t="str">
        <f>PROPER(TRIM([1]raw_orders!H271))</f>
        <v>Rajasthan</v>
      </c>
      <c r="I271" t="str">
        <f>PROPER(TRIM([1]raw_orders!I271))</f>
        <v>Udaipur</v>
      </c>
      <c r="J271" t="str">
        <f>PROPER(TRIM([1]raw_orders!J271))</f>
        <v>Furniture</v>
      </c>
      <c r="K271" t="str">
        <f>PROPER(TRIM([1]raw_orders!K271))</f>
        <v>Tables</v>
      </c>
      <c r="L271" t="str">
        <f>[1]raw_orders!L271</f>
        <v>Max Tables 526</v>
      </c>
      <c r="M271" t="str">
        <f>IF(TRIM([1]raw_orders!M271)="","Unknown",PROPER(TRIM([1]raw_orders!M271)))</f>
        <v>Same Day</v>
      </c>
      <c r="N271" s="5">
        <f>[1]raw_orders!N271</f>
        <v>1</v>
      </c>
      <c r="O271" s="5">
        <f>[1]raw_orders!O271</f>
        <v>1925.86</v>
      </c>
      <c r="P271" s="5">
        <f>[1]raw_orders!P271</f>
        <v>0</v>
      </c>
      <c r="Q271" t="str">
        <f>PROPER(TRIM([1]raw_orders!T271))</f>
        <v>Paid</v>
      </c>
      <c r="R271" t="str">
        <f>PROPER(TRIM([1]raw_orders!U271))</f>
        <v>Completed</v>
      </c>
      <c r="S271" s="5">
        <f>[1]raw_orders!S271</f>
        <v>603.97</v>
      </c>
      <c r="T271" s="5">
        <f t="shared" si="32"/>
        <v>6.0396999999999998</v>
      </c>
      <c r="U271" s="5">
        <f t="shared" si="33"/>
        <v>-9705.7566419999985</v>
      </c>
      <c r="V271" s="5">
        <f t="shared" si="34"/>
        <v>-9705.7566419999985</v>
      </c>
      <c r="W271" s="5">
        <f t="shared" si="35"/>
        <v>1</v>
      </c>
      <c r="X271" s="5">
        <f t="shared" si="36"/>
        <v>61</v>
      </c>
      <c r="Y271" s="5">
        <f t="shared" si="37"/>
        <v>10</v>
      </c>
      <c r="Z271" s="5">
        <f t="shared" si="38"/>
        <v>2025</v>
      </c>
      <c r="AA271" t="str">
        <f t="shared" si="39"/>
        <v>Clean</v>
      </c>
    </row>
    <row r="272" spans="1:27" x14ac:dyDescent="0.3">
      <c r="A272" t="str">
        <f>[1]raw_orders!A272</f>
        <v>ORD-2024-10271</v>
      </c>
      <c r="B272" s="4">
        <f>IFERROR(DATEVALUE([1]raw_orders!B272), "Invalid Date")</f>
        <v>45627</v>
      </c>
      <c r="C272" s="4">
        <f>IFERROR(DATEVALUE([1]raw_orders!C272), "Invalid Date")</f>
        <v>45304</v>
      </c>
      <c r="D272" t="str">
        <f>[1]raw_orders!D272</f>
        <v>CUST-2487</v>
      </c>
      <c r="E272" t="str">
        <f>PROPER(TRIM([1]raw_orders!E272))</f>
        <v>Aditi Sen</v>
      </c>
      <c r="F272" t="str">
        <f>PROPER(TRIM([1]raw_orders!F272))</f>
        <v>Corporate</v>
      </c>
      <c r="G272" t="str">
        <f>IF(TRIM([1]raw_orders!G272)="","Unknown",PROPER(TRIM([1]raw_orders!G272)))</f>
        <v>North</v>
      </c>
      <c r="H272" t="str">
        <f>PROPER(TRIM([1]raw_orders!H272))</f>
        <v>Uttar Pradesh</v>
      </c>
      <c r="I272" t="str">
        <f>PROPER(TRIM([1]raw_orders!I272))</f>
        <v>Noida</v>
      </c>
      <c r="J272" t="str">
        <f>PROPER(TRIM([1]raw_orders!J272))</f>
        <v>Technology</v>
      </c>
      <c r="K272" t="str">
        <f>PROPER(TRIM([1]raw_orders!K272))</f>
        <v>Machines</v>
      </c>
      <c r="L272" t="str">
        <f>[1]raw_orders!L272</f>
        <v>Prime Machines 794</v>
      </c>
      <c r="M272" t="str">
        <f>IF(TRIM([1]raw_orders!M272)="","Unknown",PROPER(TRIM([1]raw_orders!M272)))</f>
        <v>Same Day</v>
      </c>
      <c r="N272" s="5">
        <f>[1]raw_orders!N272</f>
        <v>3</v>
      </c>
      <c r="O272" s="5">
        <f>[1]raw_orders!O272</f>
        <v>827.44</v>
      </c>
      <c r="P272" s="5">
        <f>[1]raw_orders!P272</f>
        <v>0</v>
      </c>
      <c r="Q272" t="str">
        <f>PROPER(TRIM([1]raw_orders!T272))</f>
        <v>Paid</v>
      </c>
      <c r="R272" t="str">
        <f>PROPER(TRIM([1]raw_orders!U272))</f>
        <v>Completed</v>
      </c>
      <c r="S272" s="5">
        <f>[1]raw_orders!S272</f>
        <v>962.11</v>
      </c>
      <c r="T272" s="5">
        <f t="shared" si="32"/>
        <v>9.6211000000000002</v>
      </c>
      <c r="U272" s="5">
        <f t="shared" si="33"/>
        <v>-21400.328952000003</v>
      </c>
      <c r="V272" s="5">
        <f t="shared" si="34"/>
        <v>-21400.328952000003</v>
      </c>
      <c r="W272" s="5">
        <f t="shared" si="35"/>
        <v>1</v>
      </c>
      <c r="X272" s="5">
        <f t="shared" si="36"/>
        <v>-323</v>
      </c>
      <c r="Y272" s="5">
        <f t="shared" si="37"/>
        <v>12</v>
      </c>
      <c r="Z272" s="5">
        <f t="shared" si="38"/>
        <v>2024</v>
      </c>
      <c r="AA272" t="str">
        <f t="shared" si="39"/>
        <v>Invalid</v>
      </c>
    </row>
    <row r="273" spans="1:27" x14ac:dyDescent="0.3">
      <c r="A273" t="str">
        <f>[1]raw_orders!A273</f>
        <v>ORD-2024-10272</v>
      </c>
      <c r="B273" s="4">
        <f>IFERROR(DATEVALUE([1]raw_orders!B273), "Invalid Date")</f>
        <v>45647</v>
      </c>
      <c r="C273" s="4">
        <f>IFERROR(DATEVALUE([1]raw_orders!C273), "Invalid Date")</f>
        <v>45651</v>
      </c>
      <c r="D273" t="str">
        <f>[1]raw_orders!D273</f>
        <v>CUST-8009</v>
      </c>
      <c r="E273" t="str">
        <f>PROPER(TRIM([1]raw_orders!E273))</f>
        <v>Aditi Sen</v>
      </c>
      <c r="F273" t="str">
        <f>PROPER(TRIM([1]raw_orders!F273))</f>
        <v>Consumer</v>
      </c>
      <c r="G273" t="str">
        <f>IF(TRIM([1]raw_orders!G273)="","Unknown",PROPER(TRIM([1]raw_orders!G273)))</f>
        <v>South</v>
      </c>
      <c r="H273" t="str">
        <f>PROPER(TRIM([1]raw_orders!H273))</f>
        <v>Telangana</v>
      </c>
      <c r="I273" t="str">
        <f>PROPER(TRIM([1]raw_orders!I273))</f>
        <v>Hyderabad</v>
      </c>
      <c r="J273" t="str">
        <f>PROPER(TRIM([1]raw_orders!J273))</f>
        <v>Office Supplies</v>
      </c>
      <c r="K273" t="str">
        <f>PROPER(TRIM([1]raw_orders!K273))</f>
        <v>Binders</v>
      </c>
      <c r="L273" t="str">
        <f>[1]raw_orders!L273</f>
        <v>Max Binders 927</v>
      </c>
      <c r="M273" t="str">
        <f>IF(TRIM([1]raw_orders!M273)="","Unknown",PROPER(TRIM([1]raw_orders!M273)))</f>
        <v>Standard Class</v>
      </c>
      <c r="N273" s="5">
        <f>[1]raw_orders!N273</f>
        <v>7</v>
      </c>
      <c r="O273" s="5">
        <f>[1]raw_orders!O273</f>
        <v>1667.75</v>
      </c>
      <c r="P273" s="5">
        <f>[1]raw_orders!P273</f>
        <v>0</v>
      </c>
      <c r="Q273" t="str">
        <f>PROPER(TRIM([1]raw_orders!T273))</f>
        <v>Failed</v>
      </c>
      <c r="R273" t="str">
        <f>PROPER(TRIM([1]raw_orders!U273))</f>
        <v>Cancelled</v>
      </c>
      <c r="S273" s="5">
        <f>[1]raw_orders!S273</f>
        <v>2053.06</v>
      </c>
      <c r="T273" s="5">
        <f t="shared" si="32"/>
        <v>20.5306</v>
      </c>
      <c r="U273" s="5">
        <f t="shared" si="33"/>
        <v>-228005.10704999999</v>
      </c>
      <c r="V273" s="5">
        <f t="shared" si="34"/>
        <v>-228005.10704999999</v>
      </c>
      <c r="W273" s="5">
        <f t="shared" si="35"/>
        <v>1</v>
      </c>
      <c r="X273" s="5">
        <f t="shared" si="36"/>
        <v>4</v>
      </c>
      <c r="Y273" s="5">
        <f t="shared" si="37"/>
        <v>12</v>
      </c>
      <c r="Z273" s="5">
        <f t="shared" si="38"/>
        <v>2024</v>
      </c>
      <c r="AA273" t="str">
        <f t="shared" si="39"/>
        <v>Clean</v>
      </c>
    </row>
    <row r="274" spans="1:27" x14ac:dyDescent="0.3">
      <c r="A274" t="str">
        <f>[1]raw_orders!A274</f>
        <v>ORD-2024-10273</v>
      </c>
      <c r="B274" s="4" t="str">
        <f>IFERROR(DATEVALUE([1]raw_orders!B274), "Invalid Date")</f>
        <v>Invalid Date</v>
      </c>
      <c r="C274" s="4">
        <f>IFERROR(DATEVALUE([1]raw_orders!C274), "Invalid Date")</f>
        <v>45528</v>
      </c>
      <c r="D274" t="str">
        <f>[1]raw_orders!D274</f>
        <v>CUST-7389</v>
      </c>
      <c r="E274" t="str">
        <f>PROPER(TRIM([1]raw_orders!E274))</f>
        <v>Arjun Bose</v>
      </c>
      <c r="F274" t="str">
        <f>PROPER(TRIM([1]raw_orders!F274))</f>
        <v>Consumer</v>
      </c>
      <c r="G274" t="str">
        <f>IF(TRIM([1]raw_orders!G274)="","Unknown",PROPER(TRIM([1]raw_orders!G274)))</f>
        <v>South</v>
      </c>
      <c r="H274" t="str">
        <f>PROPER(TRIM([1]raw_orders!H274))</f>
        <v>Andhra Pradesh</v>
      </c>
      <c r="I274" t="str">
        <f>PROPER(TRIM([1]raw_orders!I274))</f>
        <v>Vijayawada</v>
      </c>
      <c r="J274" t="str">
        <f>PROPER(TRIM([1]raw_orders!J274))</f>
        <v>Furniture</v>
      </c>
      <c r="K274" t="str">
        <f>PROPER(TRIM([1]raw_orders!K274))</f>
        <v>Chairs</v>
      </c>
      <c r="L274" t="str">
        <f>[1]raw_orders!L274</f>
        <v>Eco Chairs 314</v>
      </c>
      <c r="M274" t="str">
        <f>IF(TRIM([1]raw_orders!M274)="","Unknown",PROPER(TRIM([1]raw_orders!M274)))</f>
        <v>First Class</v>
      </c>
      <c r="N274" s="5">
        <f>[1]raw_orders!N274</f>
        <v>7</v>
      </c>
      <c r="O274" s="5">
        <f>[1]raw_orders!O274</f>
        <v>557.21</v>
      </c>
      <c r="P274" s="5">
        <f>[1]raw_orders!P274</f>
        <v>0.1</v>
      </c>
      <c r="Q274" t="str">
        <f>PROPER(TRIM([1]raw_orders!T274))</f>
        <v>Paid</v>
      </c>
      <c r="R274" t="str">
        <f>PROPER(TRIM([1]raw_orders!U274))</f>
        <v>Completed</v>
      </c>
      <c r="S274" s="5">
        <f>[1]raw_orders!S274</f>
        <v>1213.48</v>
      </c>
      <c r="T274" s="5">
        <f t="shared" si="32"/>
        <v>12.1348</v>
      </c>
      <c r="U274" s="5">
        <f t="shared" si="33"/>
        <v>-43430.953356000005</v>
      </c>
      <c r="V274" s="5">
        <f t="shared" si="34"/>
        <v>-43431.053356000004</v>
      </c>
      <c r="W274" s="5">
        <f t="shared" si="35"/>
        <v>1.0000023025052933</v>
      </c>
      <c r="X274" s="5" t="str">
        <f t="shared" si="36"/>
        <v>Invalid Date</v>
      </c>
      <c r="Y274" s="5" t="e">
        <f t="shared" si="37"/>
        <v>#VALUE!</v>
      </c>
      <c r="Z274" s="5" t="e">
        <f t="shared" si="38"/>
        <v>#VALUE!</v>
      </c>
      <c r="AA274" t="str">
        <f t="shared" si="39"/>
        <v>Clean</v>
      </c>
    </row>
    <row r="275" spans="1:27" x14ac:dyDescent="0.3">
      <c r="A275" t="str">
        <f>[1]raw_orders!A275</f>
        <v>ORD-2025-10274</v>
      </c>
      <c r="B275" s="4" t="str">
        <f>IFERROR(DATEVALUE([1]raw_orders!B275), "Invalid Date")</f>
        <v>Invalid Date</v>
      </c>
      <c r="C275" s="4">
        <f>IFERROR(DATEVALUE([1]raw_orders!C275), "Invalid Date")</f>
        <v>45701</v>
      </c>
      <c r="D275" t="str">
        <f>[1]raw_orders!D275</f>
        <v>CUST-8249</v>
      </c>
      <c r="E275" t="str">
        <f>PROPER(TRIM([1]raw_orders!E275))</f>
        <v>Isha Nair</v>
      </c>
      <c r="F275" t="str">
        <f>PROPER(TRIM([1]raw_orders!F275))</f>
        <v>Consumer</v>
      </c>
      <c r="G275" t="str">
        <f>IF(TRIM([1]raw_orders!G275)="","Unknown",PROPER(TRIM([1]raw_orders!G275)))</f>
        <v>East</v>
      </c>
      <c r="H275" t="str">
        <f>PROPER(TRIM([1]raw_orders!H275))</f>
        <v>Bihar</v>
      </c>
      <c r="I275" t="str">
        <f>PROPER(TRIM([1]raw_orders!I275))</f>
        <v>Patna</v>
      </c>
      <c r="J275" t="str">
        <f>PROPER(TRIM([1]raw_orders!J275))</f>
        <v>Office Supplies</v>
      </c>
      <c r="K275" t="str">
        <f>PROPER(TRIM([1]raw_orders!K275))</f>
        <v>Paper</v>
      </c>
      <c r="L275" t="str">
        <f>[1]raw_orders!L275</f>
        <v>Basic Paper 657</v>
      </c>
      <c r="M275" t="str">
        <f>IF(TRIM([1]raw_orders!M275)="","Unknown",PROPER(TRIM([1]raw_orders!M275)))</f>
        <v>Second Class</v>
      </c>
      <c r="N275" s="5">
        <f>[1]raw_orders!N275</f>
        <v>9</v>
      </c>
      <c r="O275" s="5">
        <f>[1]raw_orders!O275</f>
        <v>2521.63</v>
      </c>
      <c r="P275" s="5">
        <f>[1]raw_orders!P275</f>
        <v>0</v>
      </c>
      <c r="Q275" t="str">
        <f>PROPER(TRIM([1]raw_orders!T275))</f>
        <v>Paid</v>
      </c>
      <c r="R275" t="str">
        <f>PROPER(TRIM([1]raw_orders!U275))</f>
        <v>Returned</v>
      </c>
      <c r="S275" s="5">
        <f>[1]raw_orders!S275</f>
        <v>7289.31</v>
      </c>
      <c r="T275" s="5">
        <f t="shared" si="32"/>
        <v>72.893100000000004</v>
      </c>
      <c r="U275" s="5">
        <f t="shared" si="33"/>
        <v>-1631590.1797770003</v>
      </c>
      <c r="V275" s="5">
        <f t="shared" si="34"/>
        <v>-1631590.1797770003</v>
      </c>
      <c r="W275" s="5">
        <f t="shared" si="35"/>
        <v>1</v>
      </c>
      <c r="X275" s="5" t="str">
        <f t="shared" si="36"/>
        <v>Invalid Date</v>
      </c>
      <c r="Y275" s="5" t="e">
        <f t="shared" si="37"/>
        <v>#VALUE!</v>
      </c>
      <c r="Z275" s="5" t="e">
        <f t="shared" si="38"/>
        <v>#VALUE!</v>
      </c>
      <c r="AA275" t="str">
        <f t="shared" si="39"/>
        <v>Clean</v>
      </c>
    </row>
    <row r="276" spans="1:27" x14ac:dyDescent="0.3">
      <c r="A276" t="str">
        <f>[1]raw_orders!A276</f>
        <v>ORD-2024-10275</v>
      </c>
      <c r="B276" s="4">
        <f>IFERROR(DATEVALUE([1]raw_orders!B276), "Invalid Date")</f>
        <v>45389</v>
      </c>
      <c r="C276" s="4">
        <f>IFERROR(DATEVALUE([1]raw_orders!C276), "Invalid Date")</f>
        <v>45396</v>
      </c>
      <c r="D276" t="str">
        <f>[1]raw_orders!D276</f>
        <v>CUST-4202</v>
      </c>
      <c r="E276" t="str">
        <f>PROPER(TRIM([1]raw_orders!E276))</f>
        <v>Rohan Mehta</v>
      </c>
      <c r="F276" t="str">
        <f>PROPER(TRIM([1]raw_orders!F276))</f>
        <v>Consumer</v>
      </c>
      <c r="G276" t="str">
        <f>IF(TRIM([1]raw_orders!G276)="","Unknown",PROPER(TRIM([1]raw_orders!G276)))</f>
        <v>South</v>
      </c>
      <c r="H276" t="str">
        <f>PROPER(TRIM([1]raw_orders!H276))</f>
        <v>Kerala</v>
      </c>
      <c r="I276" t="str">
        <f>PROPER(TRIM([1]raw_orders!I276))</f>
        <v>Kochi</v>
      </c>
      <c r="J276" t="str">
        <f>PROPER(TRIM([1]raw_orders!J276))</f>
        <v>Technology</v>
      </c>
      <c r="K276" t="str">
        <f>PROPER(TRIM([1]raw_orders!K276))</f>
        <v>Copiers</v>
      </c>
      <c r="L276" t="str">
        <f>[1]raw_orders!L276</f>
        <v>Pro Copiers 406</v>
      </c>
      <c r="M276" t="str">
        <f>IF(TRIM([1]raw_orders!M276)="","Unknown",PROPER(TRIM([1]raw_orders!M276)))</f>
        <v>Standard Class</v>
      </c>
      <c r="N276" s="5">
        <f>[1]raw_orders!N276</f>
        <v>6</v>
      </c>
      <c r="O276" s="5">
        <f>[1]raw_orders!O276</f>
        <v>4246.71</v>
      </c>
      <c r="P276" s="5">
        <f>[1]raw_orders!P276</f>
        <v>0.15</v>
      </c>
      <c r="Q276" t="str">
        <f>PROPER(TRIM([1]raw_orders!T276))</f>
        <v>Failed</v>
      </c>
      <c r="R276" t="str">
        <f>PROPER(TRIM([1]raw_orders!U276))</f>
        <v>Returned</v>
      </c>
      <c r="S276" s="5">
        <f>[1]raw_orders!S276</f>
        <v>6167.53</v>
      </c>
      <c r="T276" s="5">
        <f t="shared" si="32"/>
        <v>61.6753</v>
      </c>
      <c r="U276" s="5">
        <f t="shared" si="33"/>
        <v>-1546022.4195780002</v>
      </c>
      <c r="V276" s="5">
        <f t="shared" si="34"/>
        <v>-1546022.5695780001</v>
      </c>
      <c r="W276" s="5">
        <f t="shared" si="35"/>
        <v>1.0000000970231726</v>
      </c>
      <c r="X276" s="5">
        <f t="shared" si="36"/>
        <v>7</v>
      </c>
      <c r="Y276" s="5">
        <f t="shared" si="37"/>
        <v>4</v>
      </c>
      <c r="Z276" s="5">
        <f t="shared" si="38"/>
        <v>2024</v>
      </c>
      <c r="AA276" t="str">
        <f t="shared" si="39"/>
        <v>Clean</v>
      </c>
    </row>
    <row r="277" spans="1:27" x14ac:dyDescent="0.3">
      <c r="A277" t="str">
        <f>[1]raw_orders!A277</f>
        <v>ORD-2024-10276</v>
      </c>
      <c r="B277" s="4">
        <f>IFERROR(DATEVALUE([1]raw_orders!B277), "Invalid Date")</f>
        <v>45337</v>
      </c>
      <c r="C277" s="4" t="str">
        <f>IFERROR(DATEVALUE([1]raw_orders!C277), "Invalid Date")</f>
        <v>Invalid Date</v>
      </c>
      <c r="D277" t="str">
        <f>[1]raw_orders!D277</f>
        <v>CUST-2875</v>
      </c>
      <c r="E277" t="str">
        <f>PROPER(TRIM([1]raw_orders!E277))</f>
        <v>Priya Menon</v>
      </c>
      <c r="F277" t="str">
        <f>PROPER(TRIM([1]raw_orders!F277))</f>
        <v>Small Business</v>
      </c>
      <c r="G277" t="str">
        <f>IF(TRIM([1]raw_orders!G277)="","Unknown",PROPER(TRIM([1]raw_orders!G277)))</f>
        <v>East</v>
      </c>
      <c r="H277" t="str">
        <f>PROPER(TRIM([1]raw_orders!H277))</f>
        <v>West Bengal</v>
      </c>
      <c r="I277" t="str">
        <f>PROPER(TRIM([1]raw_orders!I277))</f>
        <v>Kolkata</v>
      </c>
      <c r="J277" t="str">
        <f>PROPER(TRIM([1]raw_orders!J277))</f>
        <v>Furniture</v>
      </c>
      <c r="K277" t="str">
        <f>PROPER(TRIM([1]raw_orders!K277))</f>
        <v>Furnishings</v>
      </c>
      <c r="L277" t="str">
        <f>[1]raw_orders!L277</f>
        <v>Eco Furnishings 678</v>
      </c>
      <c r="M277" t="str">
        <f>IF(TRIM([1]raw_orders!M277)="","Unknown",PROPER(TRIM([1]raw_orders!M277)))</f>
        <v>Same Day</v>
      </c>
      <c r="N277" s="5">
        <f>[1]raw_orders!N277</f>
        <v>1</v>
      </c>
      <c r="O277" s="5">
        <f>[1]raw_orders!O277</f>
        <v>980.51</v>
      </c>
      <c r="P277" s="5">
        <f>[1]raw_orders!P277</f>
        <v>0</v>
      </c>
      <c r="Q277" t="str">
        <f>PROPER(TRIM([1]raw_orders!T277))</f>
        <v>Paid</v>
      </c>
      <c r="R277" t="str">
        <f>PROPER(TRIM([1]raw_orders!U277))</f>
        <v>Completed</v>
      </c>
      <c r="S277" s="5">
        <f>[1]raw_orders!S277</f>
        <v>319.58999999999997</v>
      </c>
      <c r="T277" s="5">
        <f t="shared" si="32"/>
        <v>3.1959</v>
      </c>
      <c r="U277" s="5">
        <f t="shared" si="33"/>
        <v>-2153.101909</v>
      </c>
      <c r="V277" s="5">
        <f t="shared" si="34"/>
        <v>-2153.101909</v>
      </c>
      <c r="W277" s="5">
        <f t="shared" si="35"/>
        <v>1</v>
      </c>
      <c r="X277" s="5" t="str">
        <f t="shared" si="36"/>
        <v>Invalid Date</v>
      </c>
      <c r="Y277" s="5">
        <f t="shared" si="37"/>
        <v>2</v>
      </c>
      <c r="Z277" s="5">
        <f t="shared" si="38"/>
        <v>2024</v>
      </c>
      <c r="AA277" t="str">
        <f t="shared" si="39"/>
        <v>Clean</v>
      </c>
    </row>
    <row r="278" spans="1:27" x14ac:dyDescent="0.3">
      <c r="A278" t="str">
        <f>[1]raw_orders!A278</f>
        <v>ORD-2024-10277</v>
      </c>
      <c r="B278" s="4">
        <f>IFERROR(DATEVALUE([1]raw_orders!B278), "Invalid Date")</f>
        <v>45313</v>
      </c>
      <c r="C278" s="4">
        <f>IFERROR(DATEVALUE([1]raw_orders!C278), "Invalid Date")</f>
        <v>45314</v>
      </c>
      <c r="D278" t="str">
        <f>[1]raw_orders!D278</f>
        <v>CUST-7039</v>
      </c>
      <c r="E278" t="str">
        <f>PROPER(TRIM([1]raw_orders!E278))</f>
        <v>Aarav Sharma</v>
      </c>
      <c r="F278" t="str">
        <f>PROPER(TRIM([1]raw_orders!F278))</f>
        <v>Small Business</v>
      </c>
      <c r="G278" t="str">
        <f>IF(TRIM([1]raw_orders!G278)="","Unknown",PROPER(TRIM([1]raw_orders!G278)))</f>
        <v>Unknown</v>
      </c>
      <c r="H278" t="str">
        <f>PROPER(TRIM([1]raw_orders!H278))</f>
        <v>Assam</v>
      </c>
      <c r="I278" t="str">
        <f>PROPER(TRIM([1]raw_orders!I278))</f>
        <v>Guwahati</v>
      </c>
      <c r="J278" t="str">
        <f>PROPER(TRIM([1]raw_orders!J278))</f>
        <v>Furniture</v>
      </c>
      <c r="K278" t="str">
        <f>PROPER(TRIM([1]raw_orders!K278))</f>
        <v>Chairs</v>
      </c>
      <c r="L278" t="str">
        <f>[1]raw_orders!L278</f>
        <v>Basic Chairs 141</v>
      </c>
      <c r="M278" t="str">
        <f>IF(TRIM([1]raw_orders!M278)="","Unknown",PROPER(TRIM([1]raw_orders!M278)))</f>
        <v>Second Class</v>
      </c>
      <c r="N278" s="5">
        <f>[1]raw_orders!N278</f>
        <v>6</v>
      </c>
      <c r="O278" s="5">
        <f>[1]raw_orders!O278</f>
        <v>3391.53</v>
      </c>
      <c r="P278" s="5">
        <f>[1]raw_orders!P278</f>
        <v>-0.14000000000000001</v>
      </c>
      <c r="Q278" t="str">
        <f>PROPER(TRIM([1]raw_orders!T278))</f>
        <v>Paid</v>
      </c>
      <c r="R278" t="str">
        <f>PROPER(TRIM([1]raw_orders!U278))</f>
        <v>Completed</v>
      </c>
      <c r="S278" s="5">
        <f>[1]raw_orders!S278</f>
        <v>6848.36</v>
      </c>
      <c r="T278" s="5">
        <f t="shared" si="32"/>
        <v>68.483599999999996</v>
      </c>
      <c r="U278" s="5">
        <f t="shared" si="33"/>
        <v>-1373235.9234479999</v>
      </c>
      <c r="V278" s="5">
        <f t="shared" si="34"/>
        <v>-1373235.783448</v>
      </c>
      <c r="W278" s="5">
        <f t="shared" si="35"/>
        <v>0.9999998980510213</v>
      </c>
      <c r="X278" s="5">
        <f t="shared" si="36"/>
        <v>1</v>
      </c>
      <c r="Y278" s="5">
        <f t="shared" si="37"/>
        <v>1</v>
      </c>
      <c r="Z278" s="5">
        <f t="shared" si="38"/>
        <v>2024</v>
      </c>
      <c r="AA278" t="str">
        <f t="shared" si="39"/>
        <v>Warning</v>
      </c>
    </row>
    <row r="279" spans="1:27" x14ac:dyDescent="0.3">
      <c r="A279" t="str">
        <f>[1]raw_orders!A279</f>
        <v>ORD-2025-10278</v>
      </c>
      <c r="B279" s="4">
        <f>IFERROR(DATEVALUE([1]raw_orders!B279), "Invalid Date")</f>
        <v>45812</v>
      </c>
      <c r="C279" s="4">
        <f>IFERROR(DATEVALUE([1]raw_orders!C279), "Invalid Date")</f>
        <v>45812</v>
      </c>
      <c r="D279" t="str">
        <f>[1]raw_orders!D279</f>
        <v>CUST-2819</v>
      </c>
      <c r="E279" t="str">
        <f>PROPER(TRIM([1]raw_orders!E279))</f>
        <v>Isha Nair</v>
      </c>
      <c r="F279" t="str">
        <f>PROPER(TRIM([1]raw_orders!F279))</f>
        <v>Corporate</v>
      </c>
      <c r="G279" t="str">
        <f>IF(TRIM([1]raw_orders!G279)="","Unknown",PROPER(TRIM([1]raw_orders!G279)))</f>
        <v>North</v>
      </c>
      <c r="H279" t="str">
        <f>PROPER(TRIM([1]raw_orders!H279))</f>
        <v>Haryana</v>
      </c>
      <c r="I279" t="str">
        <f>PROPER(TRIM([1]raw_orders!I279))</f>
        <v>Gurugram</v>
      </c>
      <c r="J279" t="str">
        <f>PROPER(TRIM([1]raw_orders!J279))</f>
        <v>Technology</v>
      </c>
      <c r="K279" t="str">
        <f>PROPER(TRIM([1]raw_orders!K279))</f>
        <v>Accessories</v>
      </c>
      <c r="L279" t="str">
        <f>[1]raw_orders!L279</f>
        <v>Elite Accessories 291</v>
      </c>
      <c r="M279" t="str">
        <f>IF(TRIM([1]raw_orders!M279)="","Unknown",PROPER(TRIM([1]raw_orders!M279)))</f>
        <v>Second Class</v>
      </c>
      <c r="N279" s="5">
        <f>[1]raw_orders!N279</f>
        <v>1</v>
      </c>
      <c r="O279" s="5">
        <f>[1]raw_orders!O279</f>
        <v>2133.73</v>
      </c>
      <c r="P279" s="5">
        <f>[1]raw_orders!P279</f>
        <v>0.15</v>
      </c>
      <c r="Q279" t="str">
        <f>PROPER(TRIM([1]raw_orders!T279))</f>
        <v>Pending</v>
      </c>
      <c r="R279" t="str">
        <f>PROPER(TRIM([1]raw_orders!U279))</f>
        <v>Cancelled</v>
      </c>
      <c r="S279" s="5">
        <f>[1]raw_orders!S279</f>
        <v>811.1</v>
      </c>
      <c r="T279" s="5">
        <f t="shared" si="32"/>
        <v>8.1110000000000007</v>
      </c>
      <c r="U279" s="5">
        <f t="shared" si="33"/>
        <v>-15172.954030000001</v>
      </c>
      <c r="V279" s="5">
        <f t="shared" si="34"/>
        <v>-15173.10403</v>
      </c>
      <c r="W279" s="5">
        <f t="shared" si="35"/>
        <v>1.0000098860116298</v>
      </c>
      <c r="X279" s="5">
        <f t="shared" si="36"/>
        <v>0</v>
      </c>
      <c r="Y279" s="5">
        <f t="shared" si="37"/>
        <v>6</v>
      </c>
      <c r="Z279" s="5">
        <f t="shared" si="38"/>
        <v>2025</v>
      </c>
      <c r="AA279" t="str">
        <f t="shared" si="39"/>
        <v>Clean</v>
      </c>
    </row>
    <row r="280" spans="1:27" x14ac:dyDescent="0.3">
      <c r="A280" t="str">
        <f>[1]raw_orders!A280</f>
        <v>ORD-2025-10279</v>
      </c>
      <c r="B280" s="4">
        <f>IFERROR(DATEVALUE([1]raw_orders!B280), "Invalid Date")</f>
        <v>45723</v>
      </c>
      <c r="C280" s="4">
        <f>IFERROR(DATEVALUE([1]raw_orders!C280), "Invalid Date")</f>
        <v>45730</v>
      </c>
      <c r="D280" t="str">
        <f>[1]raw_orders!D280</f>
        <v>CUST-8242</v>
      </c>
      <c r="E280" t="str">
        <f>PROPER(TRIM([1]raw_orders!E280))</f>
        <v>Priya Menon</v>
      </c>
      <c r="F280" t="str">
        <f>PROPER(TRIM([1]raw_orders!F280))</f>
        <v>Small Business</v>
      </c>
      <c r="G280" t="str">
        <f>IF(TRIM([1]raw_orders!G280)="","Unknown",PROPER(TRIM([1]raw_orders!G280)))</f>
        <v>North</v>
      </c>
      <c r="H280" t="str">
        <f>PROPER(TRIM([1]raw_orders!H280))</f>
        <v>Delhi</v>
      </c>
      <c r="I280" t="str">
        <f>PROPER(TRIM([1]raw_orders!I280))</f>
        <v>New Delhi</v>
      </c>
      <c r="J280" t="str">
        <f>PROPER(TRIM([1]raw_orders!J280))</f>
        <v>Technology</v>
      </c>
      <c r="K280" t="str">
        <f>PROPER(TRIM([1]raw_orders!K280))</f>
        <v>Accessories</v>
      </c>
      <c r="L280" t="str">
        <f>[1]raw_orders!L280</f>
        <v>Pro Accessories 207</v>
      </c>
      <c r="M280" t="str">
        <f>IF(TRIM([1]raw_orders!M280)="","Unknown",PROPER(TRIM([1]raw_orders!M280)))</f>
        <v>Same Day</v>
      </c>
      <c r="N280" s="5">
        <f>[1]raw_orders!N280</f>
        <v>1</v>
      </c>
      <c r="O280" s="5">
        <f>[1]raw_orders!O280</f>
        <v>3979.64</v>
      </c>
      <c r="P280" s="5">
        <f>[1]raw_orders!P280</f>
        <v>0.05</v>
      </c>
      <c r="Q280" t="str">
        <f>PROPER(TRIM([1]raw_orders!T280))</f>
        <v>Paid</v>
      </c>
      <c r="R280" t="str">
        <f>PROPER(TRIM([1]raw_orders!U280))</f>
        <v>Returned</v>
      </c>
      <c r="S280" s="5">
        <f>[1]raw_orders!S280</f>
        <v>1632.35</v>
      </c>
      <c r="T280" s="5">
        <f t="shared" si="32"/>
        <v>16.323499999999999</v>
      </c>
      <c r="U280" s="5">
        <f t="shared" si="33"/>
        <v>-60982.013539999993</v>
      </c>
      <c r="V280" s="5">
        <f t="shared" si="34"/>
        <v>-60982.063539999996</v>
      </c>
      <c r="W280" s="5">
        <f t="shared" si="35"/>
        <v>1.000000819913891</v>
      </c>
      <c r="X280" s="5">
        <f t="shared" si="36"/>
        <v>7</v>
      </c>
      <c r="Y280" s="5">
        <f t="shared" si="37"/>
        <v>3</v>
      </c>
      <c r="Z280" s="5">
        <f t="shared" si="38"/>
        <v>2025</v>
      </c>
      <c r="AA280" t="str">
        <f t="shared" si="39"/>
        <v>Clean</v>
      </c>
    </row>
    <row r="281" spans="1:27" x14ac:dyDescent="0.3">
      <c r="A281" t="str">
        <f>[1]raw_orders!A281</f>
        <v>ORD-2024-10280</v>
      </c>
      <c r="B281" s="4">
        <f>IFERROR(DATEVALUE([1]raw_orders!B281), "Invalid Date")</f>
        <v>45539</v>
      </c>
      <c r="C281" s="4">
        <f>IFERROR(DATEVALUE([1]raw_orders!C281), "Invalid Date")</f>
        <v>45392</v>
      </c>
      <c r="D281" t="str">
        <f>[1]raw_orders!D281</f>
        <v>CUST-4571</v>
      </c>
      <c r="E281" t="str">
        <f>PROPER(TRIM([1]raw_orders!E281))</f>
        <v>Rohan Mehta</v>
      </c>
      <c r="F281" t="str">
        <f>PROPER(TRIM([1]raw_orders!F281))</f>
        <v>Small Business</v>
      </c>
      <c r="G281" t="str">
        <f>IF(TRIM([1]raw_orders!G281)="","Unknown",PROPER(TRIM([1]raw_orders!G281)))</f>
        <v>West</v>
      </c>
      <c r="H281" t="str">
        <f>PROPER(TRIM([1]raw_orders!H281))</f>
        <v>Maharashtra</v>
      </c>
      <c r="I281" t="str">
        <f>PROPER(TRIM([1]raw_orders!I281))</f>
        <v>Mumbai</v>
      </c>
      <c r="J281" t="str">
        <f>PROPER(TRIM([1]raw_orders!J281))</f>
        <v>Office Supplies</v>
      </c>
      <c r="K281" t="str">
        <f>PROPER(TRIM([1]raw_orders!K281))</f>
        <v>Storage</v>
      </c>
      <c r="L281" t="str">
        <f>[1]raw_orders!L281</f>
        <v>Max Storage 564</v>
      </c>
      <c r="M281" t="str">
        <f>IF(TRIM([1]raw_orders!M281)="","Unknown",PROPER(TRIM([1]raw_orders!M281)))</f>
        <v>First Class</v>
      </c>
      <c r="N281" s="5">
        <f>[1]raw_orders!N281</f>
        <v>1</v>
      </c>
      <c r="O281" s="5">
        <f>[1]raw_orders!O281</f>
        <v>4359.12</v>
      </c>
      <c r="P281" s="5">
        <f>[1]raw_orders!P281</f>
        <v>0.05</v>
      </c>
      <c r="Q281" t="str">
        <f>PROPER(TRIM([1]raw_orders!T281))</f>
        <v>Paid</v>
      </c>
      <c r="R281" t="str">
        <f>PROPER(TRIM([1]raw_orders!U281))</f>
        <v>Completed</v>
      </c>
      <c r="S281" s="5">
        <f>[1]raw_orders!S281</f>
        <v>1386.99</v>
      </c>
      <c r="T281" s="5">
        <f t="shared" si="32"/>
        <v>13.869899999999999</v>
      </c>
      <c r="U281" s="5">
        <f t="shared" si="33"/>
        <v>-56101.438488</v>
      </c>
      <c r="V281" s="5">
        <f t="shared" si="34"/>
        <v>-56101.488488000003</v>
      </c>
      <c r="W281" s="5">
        <f t="shared" si="35"/>
        <v>1.0000008912427445</v>
      </c>
      <c r="X281" s="5">
        <f t="shared" si="36"/>
        <v>-147</v>
      </c>
      <c r="Y281" s="5">
        <f t="shared" si="37"/>
        <v>9</v>
      </c>
      <c r="Z281" s="5">
        <f t="shared" si="38"/>
        <v>2024</v>
      </c>
      <c r="AA281" t="str">
        <f t="shared" si="39"/>
        <v>Invalid</v>
      </c>
    </row>
    <row r="282" spans="1:27" x14ac:dyDescent="0.3">
      <c r="A282" t="str">
        <f>[1]raw_orders!A282</f>
        <v>ORD-2024-10281</v>
      </c>
      <c r="B282" s="4" t="str">
        <f>IFERROR(DATEVALUE([1]raw_orders!B282), "Invalid Date")</f>
        <v>Invalid Date</v>
      </c>
      <c r="C282" s="4">
        <f>IFERROR(DATEVALUE([1]raw_orders!C282), "Invalid Date")</f>
        <v>45652</v>
      </c>
      <c r="D282" t="str">
        <f>[1]raw_orders!D282</f>
        <v>CUST-4098</v>
      </c>
      <c r="E282" t="str">
        <f>PROPER(TRIM([1]raw_orders!E282))</f>
        <v>Aditi Sen</v>
      </c>
      <c r="F282" t="str">
        <f>PROPER(TRIM([1]raw_orders!F282))</f>
        <v>Consumer</v>
      </c>
      <c r="G282" t="str">
        <f>IF(TRIM([1]raw_orders!G282)="","Unknown",PROPER(TRIM([1]raw_orders!G282)))</f>
        <v>South</v>
      </c>
      <c r="H282" t="str">
        <f>PROPER(TRIM([1]raw_orders!H282))</f>
        <v>Karnataka</v>
      </c>
      <c r="I282" t="str">
        <f>PROPER(TRIM([1]raw_orders!I282))</f>
        <v>Bengaluru</v>
      </c>
      <c r="J282" t="str">
        <f>PROPER(TRIM([1]raw_orders!J282))</f>
        <v>Technology</v>
      </c>
      <c r="K282" t="str">
        <f>PROPER(TRIM([1]raw_orders!K282))</f>
        <v>Copiers</v>
      </c>
      <c r="L282" t="str">
        <f>[1]raw_orders!L282</f>
        <v>Prime Copiers 961</v>
      </c>
      <c r="M282" t="str">
        <f>IF(TRIM([1]raw_orders!M282)="","Unknown",PROPER(TRIM([1]raw_orders!M282)))</f>
        <v>Standard Class</v>
      </c>
      <c r="N282" s="5">
        <f>[1]raw_orders!N282</f>
        <v>9</v>
      </c>
      <c r="O282" s="5">
        <f>[1]raw_orders!O282</f>
        <v>993.67</v>
      </c>
      <c r="P282" s="5">
        <f>[1]raw_orders!P282</f>
        <v>0</v>
      </c>
      <c r="Q282" t="str">
        <f>PROPER(TRIM([1]raw_orders!T282))</f>
        <v>Paid</v>
      </c>
      <c r="R282" t="str">
        <f>PROPER(TRIM([1]raw_orders!U282))</f>
        <v>Completed</v>
      </c>
      <c r="S282" s="5">
        <f>[1]raw_orders!S282</f>
        <v>3777.65</v>
      </c>
      <c r="T282" s="5">
        <f t="shared" si="32"/>
        <v>37.776499999999999</v>
      </c>
      <c r="U282" s="5">
        <f t="shared" si="33"/>
        <v>-328893.34279499995</v>
      </c>
      <c r="V282" s="5">
        <f t="shared" si="34"/>
        <v>-328893.34279499995</v>
      </c>
      <c r="W282" s="5">
        <f t="shared" si="35"/>
        <v>1</v>
      </c>
      <c r="X282" s="5" t="str">
        <f t="shared" si="36"/>
        <v>Invalid Date</v>
      </c>
      <c r="Y282" s="5" t="e">
        <f t="shared" si="37"/>
        <v>#VALUE!</v>
      </c>
      <c r="Z282" s="5" t="e">
        <f t="shared" si="38"/>
        <v>#VALUE!</v>
      </c>
      <c r="AA282" t="str">
        <f t="shared" si="39"/>
        <v>Clean</v>
      </c>
    </row>
    <row r="283" spans="1:27" x14ac:dyDescent="0.3">
      <c r="A283" t="str">
        <f>[1]raw_orders!A283</f>
        <v>ORD-2025-10282</v>
      </c>
      <c r="B283" s="4">
        <f>IFERROR(DATEVALUE([1]raw_orders!B283), "Invalid Date")</f>
        <v>45863</v>
      </c>
      <c r="C283" s="4" t="str">
        <f>IFERROR(DATEVALUE([1]raw_orders!C283), "Invalid Date")</f>
        <v>Invalid Date</v>
      </c>
      <c r="D283" t="str">
        <f>[1]raw_orders!D283</f>
        <v>CUST-2052</v>
      </c>
      <c r="E283" t="str">
        <f>PROPER(TRIM([1]raw_orders!E283))</f>
        <v>Kabir Singh</v>
      </c>
      <c r="F283" t="str">
        <f>PROPER(TRIM([1]raw_orders!F283))</f>
        <v>Consumer</v>
      </c>
      <c r="G283" t="str">
        <f>IF(TRIM([1]raw_orders!G283)="","Unknown",PROPER(TRIM([1]raw_orders!G283)))</f>
        <v>East</v>
      </c>
      <c r="H283" t="str">
        <f>PROPER(TRIM([1]raw_orders!H283))</f>
        <v>Jharkhand</v>
      </c>
      <c r="I283" t="str">
        <f>PROPER(TRIM([1]raw_orders!I283))</f>
        <v>Ranchi</v>
      </c>
      <c r="J283" t="str">
        <f>PROPER(TRIM([1]raw_orders!J283))</f>
        <v>Office Supplies</v>
      </c>
      <c r="K283" t="str">
        <f>PROPER(TRIM([1]raw_orders!K283))</f>
        <v>Binders</v>
      </c>
      <c r="L283" t="str">
        <f>[1]raw_orders!L283</f>
        <v>Basic Binders 637</v>
      </c>
      <c r="M283" t="str">
        <f>IF(TRIM([1]raw_orders!M283)="","Unknown",PROPER(TRIM([1]raw_orders!M283)))</f>
        <v>Second Class</v>
      </c>
      <c r="N283" s="5">
        <f>[1]raw_orders!N283</f>
        <v>6</v>
      </c>
      <c r="O283" s="5">
        <f>[1]raw_orders!O283</f>
        <v>3438.38</v>
      </c>
      <c r="P283" s="5">
        <f>[1]raw_orders!P283</f>
        <v>0.2</v>
      </c>
      <c r="Q283" t="str">
        <f>PROPER(TRIM([1]raw_orders!T283))</f>
        <v>Paid</v>
      </c>
      <c r="R283" t="str">
        <f>PROPER(TRIM([1]raw_orders!U283))</f>
        <v>Completed</v>
      </c>
      <c r="S283" s="5">
        <f>[1]raw_orders!S283</f>
        <v>5241.51</v>
      </c>
      <c r="T283" s="5">
        <f t="shared" si="32"/>
        <v>52.415100000000002</v>
      </c>
      <c r="U283" s="5">
        <f t="shared" si="33"/>
        <v>-1060707.9092280001</v>
      </c>
      <c r="V283" s="5">
        <f t="shared" si="34"/>
        <v>-1060708.109228</v>
      </c>
      <c r="W283" s="5">
        <f t="shared" si="35"/>
        <v>1.0000001885533221</v>
      </c>
      <c r="X283" s="5" t="str">
        <f t="shared" si="36"/>
        <v>Invalid Date</v>
      </c>
      <c r="Y283" s="5">
        <f t="shared" si="37"/>
        <v>7</v>
      </c>
      <c r="Z283" s="5">
        <f t="shared" si="38"/>
        <v>2025</v>
      </c>
      <c r="AA283" t="str">
        <f t="shared" si="39"/>
        <v>Clean</v>
      </c>
    </row>
    <row r="284" spans="1:27" x14ac:dyDescent="0.3">
      <c r="A284" t="str">
        <f>[1]raw_orders!A284</f>
        <v>ORD-2024-10283</v>
      </c>
      <c r="B284" s="4">
        <f>IFERROR(DATEVALUE([1]raw_orders!B284), "Invalid Date")</f>
        <v>45566</v>
      </c>
      <c r="C284" s="4">
        <f>IFERROR(DATEVALUE([1]raw_orders!C284), "Invalid Date")</f>
        <v>45332</v>
      </c>
      <c r="D284" t="str">
        <f>[1]raw_orders!D284</f>
        <v>CUST-9445</v>
      </c>
      <c r="E284" t="str">
        <f>PROPER(TRIM([1]raw_orders!E284))</f>
        <v>Karan Malhotra</v>
      </c>
      <c r="F284" t="str">
        <f>PROPER(TRIM([1]raw_orders!F284))</f>
        <v>Home Office</v>
      </c>
      <c r="G284" t="str">
        <f>IF(TRIM([1]raw_orders!G284)="","Unknown",PROPER(TRIM([1]raw_orders!G284)))</f>
        <v>East</v>
      </c>
      <c r="H284" t="str">
        <f>PROPER(TRIM([1]raw_orders!H284))</f>
        <v>Assam</v>
      </c>
      <c r="I284" t="str">
        <f>PROPER(TRIM([1]raw_orders!I284))</f>
        <v>Guwahati</v>
      </c>
      <c r="J284" t="str">
        <f>PROPER(TRIM([1]raw_orders!J284))</f>
        <v>Furniture</v>
      </c>
      <c r="K284" t="str">
        <f>PROPER(TRIM([1]raw_orders!K284))</f>
        <v>Tables</v>
      </c>
      <c r="L284" t="str">
        <f>[1]raw_orders!L284</f>
        <v>Classic Tables 811</v>
      </c>
      <c r="M284" t="str">
        <f>IF(TRIM([1]raw_orders!M284)="","Unknown",PROPER(TRIM([1]raw_orders!M284)))</f>
        <v>Second Class</v>
      </c>
      <c r="N284" s="5">
        <f>[1]raw_orders!N284</f>
        <v>2</v>
      </c>
      <c r="O284" s="5">
        <f>[1]raw_orders!O284</f>
        <v>2298</v>
      </c>
      <c r="P284" s="5">
        <f>[1]raw_orders!P284</f>
        <v>0</v>
      </c>
      <c r="Q284" t="str">
        <f>PROPER(TRIM([1]raw_orders!T284))</f>
        <v>Paid</v>
      </c>
      <c r="R284" t="str">
        <f>PROPER(TRIM([1]raw_orders!U284))</f>
        <v>Completed</v>
      </c>
      <c r="S284" s="5">
        <f>[1]raw_orders!S284</f>
        <v>1375.67</v>
      </c>
      <c r="T284" s="5">
        <f t="shared" si="32"/>
        <v>13.7567</v>
      </c>
      <c r="U284" s="5">
        <f t="shared" si="33"/>
        <v>-58629.7932</v>
      </c>
      <c r="V284" s="5">
        <f t="shared" si="34"/>
        <v>-58629.7932</v>
      </c>
      <c r="W284" s="5">
        <f t="shared" si="35"/>
        <v>1</v>
      </c>
      <c r="X284" s="5">
        <f t="shared" si="36"/>
        <v>-234</v>
      </c>
      <c r="Y284" s="5">
        <f t="shared" si="37"/>
        <v>10</v>
      </c>
      <c r="Z284" s="5">
        <f t="shared" si="38"/>
        <v>2024</v>
      </c>
      <c r="AA284" t="str">
        <f t="shared" si="39"/>
        <v>Invalid</v>
      </c>
    </row>
    <row r="285" spans="1:27" x14ac:dyDescent="0.3">
      <c r="A285" t="str">
        <f>[1]raw_orders!A285</f>
        <v>ORD-2025-10284</v>
      </c>
      <c r="B285" s="4" t="str">
        <f>IFERROR(DATEVALUE([1]raw_orders!B285), "Invalid Date")</f>
        <v>Invalid Date</v>
      </c>
      <c r="C285" s="4">
        <f>IFERROR(DATEVALUE([1]raw_orders!C285), "Invalid Date")</f>
        <v>45736</v>
      </c>
      <c r="D285" t="str">
        <f>[1]raw_orders!D285</f>
        <v>CUST-6568</v>
      </c>
      <c r="E285" t="str">
        <f>PROPER(TRIM([1]raw_orders!E285))</f>
        <v>Vikram Iyer</v>
      </c>
      <c r="F285" t="str">
        <f>PROPER(TRIM([1]raw_orders!F285))</f>
        <v>Consumer</v>
      </c>
      <c r="G285" t="str">
        <f>IF(TRIM([1]raw_orders!G285)="","Unknown",PROPER(TRIM([1]raw_orders!G285)))</f>
        <v>West</v>
      </c>
      <c r="H285" t="str">
        <f>PROPER(TRIM([1]raw_orders!H285))</f>
        <v>Maharashtra</v>
      </c>
      <c r="I285" t="str">
        <f>PROPER(TRIM([1]raw_orders!I285))</f>
        <v>Mumbai</v>
      </c>
      <c r="J285" t="str">
        <f>PROPER(TRIM([1]raw_orders!J285))</f>
        <v>Furniture</v>
      </c>
      <c r="K285" t="str">
        <f>PROPER(TRIM([1]raw_orders!K285))</f>
        <v>Furnishings</v>
      </c>
      <c r="L285" t="str">
        <f>[1]raw_orders!L285</f>
        <v>Classic Furnishings 819</v>
      </c>
      <c r="M285" t="str">
        <f>IF(TRIM([1]raw_orders!M285)="","Unknown",PROPER(TRIM([1]raw_orders!M285)))</f>
        <v>First Class</v>
      </c>
      <c r="N285" s="5">
        <f>[1]raw_orders!N285</f>
        <v>1</v>
      </c>
      <c r="O285" s="5">
        <f>[1]raw_orders!O285</f>
        <v>1814.01</v>
      </c>
      <c r="P285" s="5">
        <f>[1]raw_orders!P285</f>
        <v>0</v>
      </c>
      <c r="Q285" t="str">
        <f>PROPER(TRIM([1]raw_orders!T285))</f>
        <v>Paid</v>
      </c>
      <c r="R285" t="str">
        <f>PROPER(TRIM([1]raw_orders!U285))</f>
        <v>Completed</v>
      </c>
      <c r="S285" s="5">
        <f>[1]raw_orders!S285</f>
        <v>780.54</v>
      </c>
      <c r="T285" s="5">
        <f t="shared" si="32"/>
        <v>7.8053999999999997</v>
      </c>
      <c r="U285" s="5">
        <f t="shared" si="33"/>
        <v>-12345.063654</v>
      </c>
      <c r="V285" s="5">
        <f t="shared" si="34"/>
        <v>-12345.063654</v>
      </c>
      <c r="W285" s="5">
        <f t="shared" si="35"/>
        <v>1</v>
      </c>
      <c r="X285" s="5" t="str">
        <f t="shared" si="36"/>
        <v>Invalid Date</v>
      </c>
      <c r="Y285" s="5" t="e">
        <f t="shared" si="37"/>
        <v>#VALUE!</v>
      </c>
      <c r="Z285" s="5" t="e">
        <f t="shared" si="38"/>
        <v>#VALUE!</v>
      </c>
      <c r="AA285" t="str">
        <f t="shared" si="39"/>
        <v>Clean</v>
      </c>
    </row>
    <row r="286" spans="1:27" x14ac:dyDescent="0.3">
      <c r="A286" t="str">
        <f>[1]raw_orders!A286</f>
        <v>ORD-2024-10285</v>
      </c>
      <c r="B286" s="4">
        <f>IFERROR(DATEVALUE([1]raw_orders!B286), "Invalid Date")</f>
        <v>45516</v>
      </c>
      <c r="C286" s="4" t="str">
        <f>IFERROR(DATEVALUE([1]raw_orders!C286), "Invalid Date")</f>
        <v>Invalid Date</v>
      </c>
      <c r="D286" t="str">
        <f>[1]raw_orders!D286</f>
        <v>CUST-2076</v>
      </c>
      <c r="E286" t="str">
        <f>PROPER(TRIM([1]raw_orders!E286))</f>
        <v>Karan Malhotra</v>
      </c>
      <c r="F286" t="str">
        <f>PROPER(TRIM([1]raw_orders!F286))</f>
        <v>Consumer</v>
      </c>
      <c r="G286" t="str">
        <f>IF(TRIM([1]raw_orders!G286)="","Unknown",PROPER(TRIM([1]raw_orders!G286)))</f>
        <v>East</v>
      </c>
      <c r="H286" t="str">
        <f>PROPER(TRIM([1]raw_orders!H286))</f>
        <v>Odisha</v>
      </c>
      <c r="I286" t="str">
        <f>PROPER(TRIM([1]raw_orders!I286))</f>
        <v>Bhubaneswar</v>
      </c>
      <c r="J286" t="str">
        <f>PROPER(TRIM([1]raw_orders!J286))</f>
        <v>Furniture</v>
      </c>
      <c r="K286" t="str">
        <f>PROPER(TRIM([1]raw_orders!K286))</f>
        <v>Tables</v>
      </c>
      <c r="L286" t="str">
        <f>[1]raw_orders!L286</f>
        <v>Prime Tables 542</v>
      </c>
      <c r="M286" t="str">
        <f>IF(TRIM([1]raw_orders!M286)="","Unknown",PROPER(TRIM([1]raw_orders!M286)))</f>
        <v>Same Day</v>
      </c>
      <c r="N286" s="5">
        <f>[1]raw_orders!N286</f>
        <v>3</v>
      </c>
      <c r="O286" s="5">
        <f>[1]raw_orders!O286</f>
        <v>1576.92</v>
      </c>
      <c r="P286" s="5">
        <f>[1]raw_orders!P286</f>
        <v>0</v>
      </c>
      <c r="Q286" t="str">
        <f>PROPER(TRIM([1]raw_orders!T286))</f>
        <v>Paid</v>
      </c>
      <c r="R286" t="str">
        <f>PROPER(TRIM([1]raw_orders!U286))</f>
        <v>Returned</v>
      </c>
      <c r="S286" s="5">
        <f>[1]raw_orders!S286</f>
        <v>1591.03</v>
      </c>
      <c r="T286" s="5">
        <f t="shared" si="32"/>
        <v>15.910299999999999</v>
      </c>
      <c r="U286" s="5">
        <f t="shared" si="33"/>
        <v>-70537.050828000007</v>
      </c>
      <c r="V286" s="5">
        <f t="shared" si="34"/>
        <v>-70537.050828000007</v>
      </c>
      <c r="W286" s="5">
        <f t="shared" si="35"/>
        <v>1</v>
      </c>
      <c r="X286" s="5" t="str">
        <f t="shared" si="36"/>
        <v>Invalid Date</v>
      </c>
      <c r="Y286" s="5">
        <f t="shared" si="37"/>
        <v>8</v>
      </c>
      <c r="Z286" s="5">
        <f t="shared" si="38"/>
        <v>2024</v>
      </c>
      <c r="AA286" t="str">
        <f t="shared" si="39"/>
        <v>Clean</v>
      </c>
    </row>
    <row r="287" spans="1:27" x14ac:dyDescent="0.3">
      <c r="A287" t="str">
        <f>[1]raw_orders!A287</f>
        <v>ORD-2025-10286</v>
      </c>
      <c r="B287" s="4">
        <f>IFERROR(DATEVALUE([1]raw_orders!B287), "Invalid Date")</f>
        <v>45884</v>
      </c>
      <c r="C287" s="4">
        <f>IFERROR(DATEVALUE([1]raw_orders!C287), "Invalid Date")</f>
        <v>45889</v>
      </c>
      <c r="D287" t="str">
        <f>[1]raw_orders!D287</f>
        <v>CUST-5610</v>
      </c>
      <c r="E287" t="str">
        <f>PROPER(TRIM([1]raw_orders!E287))</f>
        <v>Neha Gupta</v>
      </c>
      <c r="F287" t="str">
        <f>PROPER(TRIM([1]raw_orders!F287))</f>
        <v>Home Office</v>
      </c>
      <c r="G287" t="str">
        <f>IF(TRIM([1]raw_orders!G287)="","Unknown",PROPER(TRIM([1]raw_orders!G287)))</f>
        <v>North</v>
      </c>
      <c r="H287" t="str">
        <f>PROPER(TRIM([1]raw_orders!H287))</f>
        <v>Rajasthan</v>
      </c>
      <c r="I287" t="str">
        <f>PROPER(TRIM([1]raw_orders!I287))</f>
        <v>Jaipur</v>
      </c>
      <c r="J287" t="str">
        <f>PROPER(TRIM([1]raw_orders!J287))</f>
        <v>Office Supplies</v>
      </c>
      <c r="K287" t="str">
        <f>PROPER(TRIM([1]raw_orders!K287))</f>
        <v>Storage</v>
      </c>
      <c r="L287" t="str">
        <f>[1]raw_orders!L287</f>
        <v>Basic Storage 771</v>
      </c>
      <c r="M287" t="str">
        <f>IF(TRIM([1]raw_orders!M287)="","Unknown",PROPER(TRIM([1]raw_orders!M287)))</f>
        <v>Standard Class</v>
      </c>
      <c r="N287" s="5">
        <f>[1]raw_orders!N287</f>
        <v>9</v>
      </c>
      <c r="O287" s="5">
        <f>[1]raw_orders!O287</f>
        <v>4081.77</v>
      </c>
      <c r="P287" s="5">
        <f>[1]raw_orders!P287</f>
        <v>0</v>
      </c>
      <c r="Q287" t="str">
        <f>PROPER(TRIM([1]raw_orders!T287))</f>
        <v>Paid</v>
      </c>
      <c r="R287" t="str">
        <f>PROPER(TRIM([1]raw_orders!U287))</f>
        <v>Completed</v>
      </c>
      <c r="S287" s="5">
        <f>[1]raw_orders!S287</f>
        <v>5915.09</v>
      </c>
      <c r="T287" s="5">
        <f t="shared" si="32"/>
        <v>59.1509</v>
      </c>
      <c r="U287" s="5">
        <f t="shared" si="33"/>
        <v>-2136227.3918369999</v>
      </c>
      <c r="V287" s="5">
        <f t="shared" si="34"/>
        <v>-2136227.3918369999</v>
      </c>
      <c r="W287" s="5">
        <f t="shared" si="35"/>
        <v>1</v>
      </c>
      <c r="X287" s="5">
        <f t="shared" si="36"/>
        <v>5</v>
      </c>
      <c r="Y287" s="5">
        <f t="shared" si="37"/>
        <v>8</v>
      </c>
      <c r="Z287" s="5">
        <f t="shared" si="38"/>
        <v>2025</v>
      </c>
      <c r="AA287" t="str">
        <f t="shared" si="39"/>
        <v>Clean</v>
      </c>
    </row>
    <row r="288" spans="1:27" x14ac:dyDescent="0.3">
      <c r="A288" t="str">
        <f>[1]raw_orders!A288</f>
        <v>ORD-2024-10287</v>
      </c>
      <c r="B288" s="4">
        <f>IFERROR(DATEVALUE([1]raw_orders!B288), "Invalid Date")</f>
        <v>45350</v>
      </c>
      <c r="C288" s="4">
        <f>IFERROR(DATEVALUE([1]raw_orders!C288), "Invalid Date")</f>
        <v>45325</v>
      </c>
      <c r="D288" t="str">
        <f>[1]raw_orders!D288</f>
        <v>CUST-5823</v>
      </c>
      <c r="E288" t="str">
        <f>PROPER(TRIM([1]raw_orders!E288))</f>
        <v>Priya Menon</v>
      </c>
      <c r="F288" t="str">
        <f>PROPER(TRIM([1]raw_orders!F288))</f>
        <v>Small Business</v>
      </c>
      <c r="G288" t="str">
        <f>IF(TRIM([1]raw_orders!G288)="","Unknown",PROPER(TRIM([1]raw_orders!G288)))</f>
        <v>North</v>
      </c>
      <c r="H288" t="str">
        <f>PROPER(TRIM([1]raw_orders!H288))</f>
        <v>Delhi</v>
      </c>
      <c r="I288" t="str">
        <f>PROPER(TRIM([1]raw_orders!I288))</f>
        <v>New Delhi</v>
      </c>
      <c r="J288" t="str">
        <f>PROPER(TRIM([1]raw_orders!J288))</f>
        <v>Furniture</v>
      </c>
      <c r="K288" t="str">
        <f>PROPER(TRIM([1]raw_orders!K288))</f>
        <v>Furnishings</v>
      </c>
      <c r="L288" t="str">
        <f>[1]raw_orders!L288</f>
        <v>Pro Furnishings 848</v>
      </c>
      <c r="M288" t="str">
        <f>IF(TRIM([1]raw_orders!M288)="","Unknown",PROPER(TRIM([1]raw_orders!M288)))</f>
        <v>First Class</v>
      </c>
      <c r="N288" s="5">
        <f>[1]raw_orders!N288</f>
        <v>7</v>
      </c>
      <c r="O288" s="5">
        <f>[1]raw_orders!O288</f>
        <v>701.8</v>
      </c>
      <c r="P288" s="5">
        <f>[1]raw_orders!P288</f>
        <v>0.1</v>
      </c>
      <c r="Q288" t="str">
        <f>PROPER(TRIM([1]raw_orders!T288))</f>
        <v>Pending</v>
      </c>
      <c r="R288" t="str">
        <f>PROPER(TRIM([1]raw_orders!U288))</f>
        <v>Returned</v>
      </c>
      <c r="S288" s="5">
        <f>[1]raw_orders!S288</f>
        <v>1931.36</v>
      </c>
      <c r="T288" s="5">
        <f t="shared" si="32"/>
        <v>19.313599999999997</v>
      </c>
      <c r="U288" s="5">
        <f t="shared" si="33"/>
        <v>-89967.39135999998</v>
      </c>
      <c r="V288" s="5">
        <f t="shared" si="34"/>
        <v>-89967.491359999985</v>
      </c>
      <c r="W288" s="5">
        <f t="shared" si="35"/>
        <v>1.000001111513833</v>
      </c>
      <c r="X288" s="5">
        <f t="shared" si="36"/>
        <v>-25</v>
      </c>
      <c r="Y288" s="5">
        <f t="shared" si="37"/>
        <v>2</v>
      </c>
      <c r="Z288" s="5">
        <f t="shared" si="38"/>
        <v>2024</v>
      </c>
      <c r="AA288" t="str">
        <f t="shared" si="39"/>
        <v>Invalid</v>
      </c>
    </row>
    <row r="289" spans="1:27" x14ac:dyDescent="0.3">
      <c r="A289" t="str">
        <f>[1]raw_orders!A289</f>
        <v>ORD-2024-10288</v>
      </c>
      <c r="B289" s="4">
        <f>IFERROR(DATEVALUE([1]raw_orders!B289), "Invalid Date")</f>
        <v>45421</v>
      </c>
      <c r="C289" s="4">
        <f>IFERROR(DATEVALUE([1]raw_orders!C289), "Invalid Date")</f>
        <v>45542</v>
      </c>
      <c r="D289" t="str">
        <f>[1]raw_orders!D289</f>
        <v>CUST-7095</v>
      </c>
      <c r="E289" t="str">
        <f>PROPER(TRIM([1]raw_orders!E289))</f>
        <v>Neha Gupta</v>
      </c>
      <c r="F289" t="str">
        <f>PROPER(TRIM([1]raw_orders!F289))</f>
        <v>Small Business</v>
      </c>
      <c r="G289" t="str">
        <f>IF(TRIM([1]raw_orders!G289)="","Unknown",PROPER(TRIM([1]raw_orders!G289)))</f>
        <v>South</v>
      </c>
      <c r="H289" t="str">
        <f>PROPER(TRIM([1]raw_orders!H289))</f>
        <v>Tamil Nadu</v>
      </c>
      <c r="I289" t="str">
        <f>PROPER(TRIM([1]raw_orders!I289))</f>
        <v>Chennai</v>
      </c>
      <c r="J289" t="str">
        <f>PROPER(TRIM([1]raw_orders!J289))</f>
        <v>Technology</v>
      </c>
      <c r="K289" t="str">
        <f>PROPER(TRIM([1]raw_orders!K289))</f>
        <v>Copiers</v>
      </c>
      <c r="L289" t="str">
        <f>[1]raw_orders!L289</f>
        <v>Prime Copiers 924</v>
      </c>
      <c r="M289" t="str">
        <f>IF(TRIM([1]raw_orders!M289)="","Unknown",PROPER(TRIM([1]raw_orders!M289)))</f>
        <v>Standard Class</v>
      </c>
      <c r="N289" s="5">
        <f>[1]raw_orders!N289</f>
        <v>3</v>
      </c>
      <c r="O289" s="5">
        <f>[1]raw_orders!O289</f>
        <v>2555.66</v>
      </c>
      <c r="P289" s="5">
        <f>[1]raw_orders!P289</f>
        <v>0.15</v>
      </c>
      <c r="Q289" t="str">
        <f>PROPER(TRIM([1]raw_orders!T289))</f>
        <v>Paid</v>
      </c>
      <c r="R289" t="str">
        <f>PROPER(TRIM([1]raw_orders!U289))</f>
        <v>Cancelled</v>
      </c>
      <c r="S289" s="5">
        <f>[1]raw_orders!S289</f>
        <v>2005.39</v>
      </c>
      <c r="T289" s="5">
        <f t="shared" si="32"/>
        <v>20.053900000000002</v>
      </c>
      <c r="U289" s="5">
        <f t="shared" si="33"/>
        <v>-146085.870222</v>
      </c>
      <c r="V289" s="5">
        <f t="shared" si="34"/>
        <v>-146086.02022199999</v>
      </c>
      <c r="W289" s="5">
        <f t="shared" si="35"/>
        <v>1.0000010267933495</v>
      </c>
      <c r="X289" s="5">
        <f t="shared" si="36"/>
        <v>121</v>
      </c>
      <c r="Y289" s="5">
        <f t="shared" si="37"/>
        <v>5</v>
      </c>
      <c r="Z289" s="5">
        <f t="shared" si="38"/>
        <v>2024</v>
      </c>
      <c r="AA289" t="str">
        <f t="shared" si="39"/>
        <v>Clean</v>
      </c>
    </row>
    <row r="290" spans="1:27" x14ac:dyDescent="0.3">
      <c r="A290" t="str">
        <f>[1]raw_orders!A290</f>
        <v>ORD-2024-10289</v>
      </c>
      <c r="B290" s="4">
        <f>IFERROR(DATEVALUE([1]raw_orders!B290), "Invalid Date")</f>
        <v>45467</v>
      </c>
      <c r="C290" s="4">
        <f>IFERROR(DATEVALUE([1]raw_orders!C290), "Invalid Date")</f>
        <v>45467</v>
      </c>
      <c r="D290" t="str">
        <f>[1]raw_orders!D290</f>
        <v>CUST-4805</v>
      </c>
      <c r="E290" t="str">
        <f>PROPER(TRIM([1]raw_orders!E290))</f>
        <v>Rohan Mehta</v>
      </c>
      <c r="F290" t="str">
        <f>PROPER(TRIM([1]raw_orders!F290))</f>
        <v>Small Business</v>
      </c>
      <c r="G290" t="str">
        <f>IF(TRIM([1]raw_orders!G290)="","Unknown",PROPER(TRIM([1]raw_orders!G290)))</f>
        <v>East</v>
      </c>
      <c r="H290" t="str">
        <f>PROPER(TRIM([1]raw_orders!H290))</f>
        <v>Bihar</v>
      </c>
      <c r="I290" t="str">
        <f>PROPER(TRIM([1]raw_orders!I290))</f>
        <v>Patna</v>
      </c>
      <c r="J290" t="str">
        <f>PROPER(TRIM([1]raw_orders!J290))</f>
        <v>Office Supplies</v>
      </c>
      <c r="K290" t="str">
        <f>PROPER(TRIM([1]raw_orders!K290))</f>
        <v>Binders</v>
      </c>
      <c r="L290" t="str">
        <f>[1]raw_orders!L290</f>
        <v>Classic Binders 721</v>
      </c>
      <c r="M290" t="str">
        <f>IF(TRIM([1]raw_orders!M290)="","Unknown",PROPER(TRIM([1]raw_orders!M290)))</f>
        <v>Same Day</v>
      </c>
      <c r="N290" s="5">
        <f>[1]raw_orders!N290</f>
        <v>2</v>
      </c>
      <c r="O290" s="5">
        <f>[1]raw_orders!O290</f>
        <v>4359.8999999999996</v>
      </c>
      <c r="P290" s="5">
        <f>[1]raw_orders!P290</f>
        <v>0.15</v>
      </c>
      <c r="Q290" t="str">
        <f>PROPER(TRIM([1]raw_orders!T290))</f>
        <v>Paid</v>
      </c>
      <c r="R290" t="str">
        <f>PROPER(TRIM([1]raw_orders!U290))</f>
        <v>Completed</v>
      </c>
      <c r="S290" s="5">
        <f>[1]raw_orders!S290</f>
        <v>2507.1999999999998</v>
      </c>
      <c r="T290" s="5">
        <f t="shared" si="32"/>
        <v>25.071999999999999</v>
      </c>
      <c r="U290" s="5">
        <f t="shared" si="33"/>
        <v>-209903.02559999996</v>
      </c>
      <c r="V290" s="5">
        <f t="shared" si="34"/>
        <v>-209903.17559999996</v>
      </c>
      <c r="W290" s="5">
        <f t="shared" si="35"/>
        <v>1.0000007146157115</v>
      </c>
      <c r="X290" s="5">
        <f t="shared" si="36"/>
        <v>0</v>
      </c>
      <c r="Y290" s="5">
        <f t="shared" si="37"/>
        <v>6</v>
      </c>
      <c r="Z290" s="5">
        <f t="shared" si="38"/>
        <v>2024</v>
      </c>
      <c r="AA290" t="str">
        <f t="shared" si="39"/>
        <v>Clean</v>
      </c>
    </row>
    <row r="291" spans="1:27" x14ac:dyDescent="0.3">
      <c r="A291" t="str">
        <f>[1]raw_orders!A291</f>
        <v>ORD-2025-10290</v>
      </c>
      <c r="B291" s="4">
        <f>IFERROR(DATEVALUE([1]raw_orders!B291), "Invalid Date")</f>
        <v>45827</v>
      </c>
      <c r="C291" s="4" t="str">
        <f>IFERROR(DATEVALUE([1]raw_orders!C291), "Invalid Date")</f>
        <v>Invalid Date</v>
      </c>
      <c r="D291" t="str">
        <f>[1]raw_orders!D291</f>
        <v>CUST-9114</v>
      </c>
      <c r="E291" t="str">
        <f>PROPER(TRIM([1]raw_orders!E291))</f>
        <v>Karan Malhotra</v>
      </c>
      <c r="F291" t="str">
        <f>PROPER(TRIM([1]raw_orders!F291))</f>
        <v>Home Office</v>
      </c>
      <c r="G291" t="str">
        <f>IF(TRIM([1]raw_orders!G291)="","Unknown",PROPER(TRIM([1]raw_orders!G291)))</f>
        <v>South</v>
      </c>
      <c r="H291" t="str">
        <f>PROPER(TRIM([1]raw_orders!H291))</f>
        <v>Tamil Nadu</v>
      </c>
      <c r="I291" t="str">
        <f>PROPER(TRIM([1]raw_orders!I291))</f>
        <v>Chennai</v>
      </c>
      <c r="J291" t="str">
        <f>PROPER(TRIM([1]raw_orders!J291))</f>
        <v>Furniture</v>
      </c>
      <c r="K291" t="str">
        <f>PROPER(TRIM([1]raw_orders!K291))</f>
        <v>Bookcases</v>
      </c>
      <c r="L291" t="str">
        <f>[1]raw_orders!L291</f>
        <v>Basic Bookcases 823</v>
      </c>
      <c r="M291" t="str">
        <f>IF(TRIM([1]raw_orders!M291)="","Unknown",PROPER(TRIM([1]raw_orders!M291)))</f>
        <v>First Class</v>
      </c>
      <c r="N291" s="5">
        <f>[1]raw_orders!N291</f>
        <v>2</v>
      </c>
      <c r="O291" s="5">
        <f>[1]raw_orders!O291</f>
        <v>4346.6899999999996</v>
      </c>
      <c r="P291" s="5">
        <f>[1]raw_orders!P291</f>
        <v>0.05</v>
      </c>
      <c r="Q291" t="str">
        <f>PROPER(TRIM([1]raw_orders!T291))</f>
        <v>Paid</v>
      </c>
      <c r="R291" t="str">
        <f>PROPER(TRIM([1]raw_orders!U291))</f>
        <v>Completed</v>
      </c>
      <c r="S291" s="5">
        <f>[1]raw_orders!S291</f>
        <v>1239.74</v>
      </c>
      <c r="T291" s="5">
        <f t="shared" si="32"/>
        <v>12.397399999999999</v>
      </c>
      <c r="U291" s="5">
        <f t="shared" si="33"/>
        <v>-99081.929211999988</v>
      </c>
      <c r="V291" s="5">
        <f t="shared" si="34"/>
        <v>-99081.979211999991</v>
      </c>
      <c r="W291" s="5">
        <f t="shared" si="35"/>
        <v>1.0000005046328873</v>
      </c>
      <c r="X291" s="5" t="str">
        <f t="shared" si="36"/>
        <v>Invalid Date</v>
      </c>
      <c r="Y291" s="5">
        <f t="shared" si="37"/>
        <v>6</v>
      </c>
      <c r="Z291" s="5">
        <f t="shared" si="38"/>
        <v>2025</v>
      </c>
      <c r="AA291" t="str">
        <f t="shared" si="39"/>
        <v>Clean</v>
      </c>
    </row>
    <row r="292" spans="1:27" x14ac:dyDescent="0.3">
      <c r="A292" t="str">
        <f>[1]raw_orders!A292</f>
        <v>ORD-2025-10291</v>
      </c>
      <c r="B292" s="4">
        <f>IFERROR(DATEVALUE([1]raw_orders!B292), "Invalid Date")</f>
        <v>45891</v>
      </c>
      <c r="C292" s="4">
        <f>IFERROR(DATEVALUE([1]raw_orders!C292), "Invalid Date")</f>
        <v>45895</v>
      </c>
      <c r="D292" t="str">
        <f>[1]raw_orders!D292</f>
        <v>CUST-8557</v>
      </c>
      <c r="E292" t="str">
        <f>PROPER(TRIM([1]raw_orders!E292))</f>
        <v>Diya Patel</v>
      </c>
      <c r="F292" t="str">
        <f>PROPER(TRIM([1]raw_orders!F292))</f>
        <v>Home Office</v>
      </c>
      <c r="G292" t="str">
        <f>IF(TRIM([1]raw_orders!G292)="","Unknown",PROPER(TRIM([1]raw_orders!G292)))</f>
        <v>East</v>
      </c>
      <c r="H292" t="str">
        <f>PROPER(TRIM([1]raw_orders!H292))</f>
        <v>Jharkhand</v>
      </c>
      <c r="I292" t="str">
        <f>PROPER(TRIM([1]raw_orders!I292))</f>
        <v>Ranchi</v>
      </c>
      <c r="J292" t="str">
        <f>PROPER(TRIM([1]raw_orders!J292))</f>
        <v>Furniture</v>
      </c>
      <c r="K292" t="str">
        <f>PROPER(TRIM([1]raw_orders!K292))</f>
        <v>Tables</v>
      </c>
      <c r="L292" t="str">
        <f>[1]raw_orders!L292</f>
        <v>Classic Tables 178</v>
      </c>
      <c r="M292" t="str">
        <f>IF(TRIM([1]raw_orders!M292)="","Unknown",PROPER(TRIM([1]raw_orders!M292)))</f>
        <v>Standard Class</v>
      </c>
      <c r="N292" s="5">
        <f>[1]raw_orders!N292</f>
        <v>1</v>
      </c>
      <c r="O292" s="5">
        <f>[1]raw_orders!O292</f>
        <v>1842.63</v>
      </c>
      <c r="P292" s="5">
        <f>[1]raw_orders!P292</f>
        <v>0.1</v>
      </c>
      <c r="Q292" t="str">
        <f>PROPER(TRIM([1]raw_orders!T292))</f>
        <v>Paid</v>
      </c>
      <c r="R292" t="str">
        <f>PROPER(TRIM([1]raw_orders!U292))</f>
        <v>Completed</v>
      </c>
      <c r="S292" s="5">
        <f>[1]raw_orders!S292</f>
        <v>687.25</v>
      </c>
      <c r="T292" s="5">
        <f t="shared" si="32"/>
        <v>6.8724999999999996</v>
      </c>
      <c r="U292" s="5">
        <f t="shared" si="33"/>
        <v>-10820.844675</v>
      </c>
      <c r="V292" s="5">
        <f t="shared" si="34"/>
        <v>-10820.944675000001</v>
      </c>
      <c r="W292" s="5">
        <f t="shared" si="35"/>
        <v>1.0000092414227357</v>
      </c>
      <c r="X292" s="5">
        <f t="shared" si="36"/>
        <v>4</v>
      </c>
      <c r="Y292" s="5">
        <f t="shared" si="37"/>
        <v>8</v>
      </c>
      <c r="Z292" s="5">
        <f t="shared" si="38"/>
        <v>2025</v>
      </c>
      <c r="AA292" t="str">
        <f t="shared" si="39"/>
        <v>Clean</v>
      </c>
    </row>
    <row r="293" spans="1:27" x14ac:dyDescent="0.3">
      <c r="A293" t="str">
        <f>[1]raw_orders!A293</f>
        <v>ORD-2024-10292</v>
      </c>
      <c r="B293" s="4">
        <f>IFERROR(DATEVALUE([1]raw_orders!B293), "Invalid Date")</f>
        <v>45416</v>
      </c>
      <c r="C293" s="4">
        <f>IFERROR(DATEVALUE([1]raw_orders!C293), "Invalid Date")</f>
        <v>45392</v>
      </c>
      <c r="D293" t="str">
        <f>[1]raw_orders!D293</f>
        <v>CUST-2860</v>
      </c>
      <c r="E293" t="str">
        <f>PROPER(TRIM([1]raw_orders!E293))</f>
        <v>Priya Menon</v>
      </c>
      <c r="F293" t="str">
        <f>PROPER(TRIM([1]raw_orders!F293))</f>
        <v>Home Office</v>
      </c>
      <c r="G293" t="str">
        <f>IF(TRIM([1]raw_orders!G293)="","Unknown",PROPER(TRIM([1]raw_orders!G293)))</f>
        <v>North</v>
      </c>
      <c r="H293" t="str">
        <f>PROPER(TRIM([1]raw_orders!H293))</f>
        <v>Rajasthan</v>
      </c>
      <c r="I293" t="str">
        <f>PROPER(TRIM([1]raw_orders!I293))</f>
        <v>Jaipur</v>
      </c>
      <c r="J293" t="str">
        <f>PROPER(TRIM([1]raw_orders!J293))</f>
        <v>Office Supplies</v>
      </c>
      <c r="K293" t="str">
        <f>PROPER(TRIM([1]raw_orders!K293))</f>
        <v>Binders</v>
      </c>
      <c r="L293" t="str">
        <f>[1]raw_orders!L293</f>
        <v>Eco Binders 153</v>
      </c>
      <c r="M293" t="str">
        <f>IF(TRIM([1]raw_orders!M293)="","Unknown",PROPER(TRIM([1]raw_orders!M293)))</f>
        <v>Standard Class</v>
      </c>
      <c r="N293" s="5">
        <f>[1]raw_orders!N293</f>
        <v>4</v>
      </c>
      <c r="O293" s="5">
        <f>[1]raw_orders!O293</f>
        <v>3228.66</v>
      </c>
      <c r="P293" s="5">
        <f>[1]raw_orders!P293</f>
        <v>0.25</v>
      </c>
      <c r="Q293" t="str">
        <f>PROPER(TRIM([1]raw_orders!T293))</f>
        <v>Paid</v>
      </c>
      <c r="R293" t="str">
        <f>PROPER(TRIM([1]raw_orders!U293))</f>
        <v>Completed</v>
      </c>
      <c r="S293" s="5">
        <f>[1]raw_orders!S293</f>
        <v>1955.94</v>
      </c>
      <c r="T293" s="5">
        <f t="shared" si="32"/>
        <v>19.5594</v>
      </c>
      <c r="U293" s="5">
        <f t="shared" si="33"/>
        <v>-239687.96961599999</v>
      </c>
      <c r="V293" s="5">
        <f t="shared" si="34"/>
        <v>-239688.21961599999</v>
      </c>
      <c r="W293" s="5">
        <f t="shared" si="35"/>
        <v>1.0000010430227282</v>
      </c>
      <c r="X293" s="5">
        <f t="shared" si="36"/>
        <v>-24</v>
      </c>
      <c r="Y293" s="5">
        <f t="shared" si="37"/>
        <v>5</v>
      </c>
      <c r="Z293" s="5">
        <f t="shared" si="38"/>
        <v>2024</v>
      </c>
      <c r="AA293" t="str">
        <f t="shared" si="39"/>
        <v>Invalid</v>
      </c>
    </row>
    <row r="294" spans="1:27" x14ac:dyDescent="0.3">
      <c r="A294" t="str">
        <f>[1]raw_orders!A294</f>
        <v>ORD-2025-10293</v>
      </c>
      <c r="B294" s="4">
        <f>IFERROR(DATEVALUE([1]raw_orders!B294), "Invalid Date")</f>
        <v>45716</v>
      </c>
      <c r="C294" s="4">
        <f>IFERROR(DATEVALUE([1]raw_orders!C294), "Invalid Date")</f>
        <v>45719</v>
      </c>
      <c r="D294" t="str">
        <f>[1]raw_orders!D294</f>
        <v>CUST-7837</v>
      </c>
      <c r="E294" t="str">
        <f>PROPER(TRIM([1]raw_orders!E294))</f>
        <v>Kabir Singh</v>
      </c>
      <c r="F294" t="str">
        <f>PROPER(TRIM([1]raw_orders!F294))</f>
        <v>Home Office</v>
      </c>
      <c r="G294" t="str">
        <f>IF(TRIM([1]raw_orders!G294)="","Unknown",PROPER(TRIM([1]raw_orders!G294)))</f>
        <v>North</v>
      </c>
      <c r="H294" t="str">
        <f>PROPER(TRIM([1]raw_orders!H294))</f>
        <v>Haryana</v>
      </c>
      <c r="I294" t="str">
        <f>PROPER(TRIM([1]raw_orders!I294))</f>
        <v>Gurugram</v>
      </c>
      <c r="J294" t="str">
        <f>PROPER(TRIM([1]raw_orders!J294))</f>
        <v>Office Supplies</v>
      </c>
      <c r="K294" t="str">
        <f>PROPER(TRIM([1]raw_orders!K294))</f>
        <v>Art</v>
      </c>
      <c r="L294" t="str">
        <f>[1]raw_orders!L294</f>
        <v>Classic Art 183</v>
      </c>
      <c r="M294" t="str">
        <f>IF(TRIM([1]raw_orders!M294)="","Unknown",PROPER(TRIM([1]raw_orders!M294)))</f>
        <v>Same Day</v>
      </c>
      <c r="N294" s="5">
        <f>[1]raw_orders!N294</f>
        <v>9</v>
      </c>
      <c r="O294" s="5">
        <f>[1]raw_orders!O294</f>
        <v>3748.95</v>
      </c>
      <c r="P294" s="5">
        <f>[1]raw_orders!P294</f>
        <v>0</v>
      </c>
      <c r="Q294" t="str">
        <f>PROPER(TRIM([1]raw_orders!T294))</f>
        <v>Pending</v>
      </c>
      <c r="R294" t="str">
        <f>PROPER(TRIM([1]raw_orders!U294))</f>
        <v>Cancelled</v>
      </c>
      <c r="S294" s="5">
        <f>[1]raw_orders!S294</f>
        <v>9118.66</v>
      </c>
      <c r="T294" s="5">
        <f t="shared" si="32"/>
        <v>91.186599999999999</v>
      </c>
      <c r="U294" s="5">
        <f t="shared" si="33"/>
        <v>-3042945.4866299997</v>
      </c>
      <c r="V294" s="5">
        <f t="shared" si="34"/>
        <v>-3042945.4866299997</v>
      </c>
      <c r="W294" s="5">
        <f t="shared" si="35"/>
        <v>1</v>
      </c>
      <c r="X294" s="5">
        <f t="shared" si="36"/>
        <v>3</v>
      </c>
      <c r="Y294" s="5">
        <f t="shared" si="37"/>
        <v>2</v>
      </c>
      <c r="Z294" s="5">
        <f t="shared" si="38"/>
        <v>2025</v>
      </c>
      <c r="AA294" t="str">
        <f t="shared" si="39"/>
        <v>Clean</v>
      </c>
    </row>
    <row r="295" spans="1:27" x14ac:dyDescent="0.3">
      <c r="A295" t="str">
        <f>[1]raw_orders!A295</f>
        <v>ORD-2024-10294</v>
      </c>
      <c r="B295" s="4">
        <f>IFERROR(DATEVALUE([1]raw_orders!B295), "Invalid Date")</f>
        <v>45476</v>
      </c>
      <c r="C295" s="4">
        <f>IFERROR(DATEVALUE([1]raw_orders!C295), "Invalid Date")</f>
        <v>45362</v>
      </c>
      <c r="D295" t="str">
        <f>[1]raw_orders!D295</f>
        <v>CUST-7010</v>
      </c>
      <c r="E295" t="str">
        <f>PROPER(TRIM([1]raw_orders!E295))</f>
        <v>Arjun Bose</v>
      </c>
      <c r="F295" t="str">
        <f>PROPER(TRIM([1]raw_orders!F295))</f>
        <v>Home Office</v>
      </c>
      <c r="G295" t="str">
        <f>IF(TRIM([1]raw_orders!G295)="","Unknown",PROPER(TRIM([1]raw_orders!G295)))</f>
        <v>South</v>
      </c>
      <c r="H295" t="str">
        <f>PROPER(TRIM([1]raw_orders!H295))</f>
        <v>Telangana</v>
      </c>
      <c r="I295" t="str">
        <f>PROPER(TRIM([1]raw_orders!I295))</f>
        <v>Hyderabad</v>
      </c>
      <c r="J295" t="str">
        <f>PROPER(TRIM([1]raw_orders!J295))</f>
        <v>Technology</v>
      </c>
      <c r="K295" t="str">
        <f>PROPER(TRIM([1]raw_orders!K295))</f>
        <v>Phones</v>
      </c>
      <c r="L295" t="str">
        <f>[1]raw_orders!L295</f>
        <v>Pro Phones 455</v>
      </c>
      <c r="M295" t="str">
        <f>IF(TRIM([1]raw_orders!M295)="","Unknown",PROPER(TRIM([1]raw_orders!M295)))</f>
        <v>First Class</v>
      </c>
      <c r="N295" s="5">
        <f>[1]raw_orders!N295</f>
        <v>2</v>
      </c>
      <c r="O295" s="5">
        <f>[1]raw_orders!O295</f>
        <v>4401.51</v>
      </c>
      <c r="P295" s="5">
        <f>[1]raw_orders!P295</f>
        <v>0.65</v>
      </c>
      <c r="Q295" t="str">
        <f>PROPER(TRIM([1]raw_orders!T295))</f>
        <v>Paid</v>
      </c>
      <c r="R295" t="str">
        <f>PROPER(TRIM([1]raw_orders!U295))</f>
        <v>Completed</v>
      </c>
      <c r="S295" s="5">
        <f>[1]raw_orders!S295</f>
        <v>1821.83</v>
      </c>
      <c r="T295" s="5">
        <f t="shared" si="32"/>
        <v>18.218299999999999</v>
      </c>
      <c r="U295" s="5">
        <f t="shared" si="33"/>
        <v>-151573.03926600001</v>
      </c>
      <c r="V295" s="5">
        <f t="shared" si="34"/>
        <v>-151573.689266</v>
      </c>
      <c r="W295" s="5">
        <f t="shared" si="35"/>
        <v>1.0000042883615921</v>
      </c>
      <c r="X295" s="5">
        <f t="shared" si="36"/>
        <v>-114</v>
      </c>
      <c r="Y295" s="5">
        <f t="shared" si="37"/>
        <v>7</v>
      </c>
      <c r="Z295" s="5">
        <f t="shared" si="38"/>
        <v>2024</v>
      </c>
      <c r="AA295" t="str">
        <f t="shared" si="39"/>
        <v>Invalid</v>
      </c>
    </row>
    <row r="296" spans="1:27" x14ac:dyDescent="0.3">
      <c r="A296" t="str">
        <f>[1]raw_orders!A296</f>
        <v>ORD-2025-10295</v>
      </c>
      <c r="B296" s="4">
        <f>IFERROR(DATEVALUE([1]raw_orders!B296), "Invalid Date")</f>
        <v>45854</v>
      </c>
      <c r="C296" s="4" t="str">
        <f>IFERROR(DATEVALUE([1]raw_orders!C296), "Invalid Date")</f>
        <v>Invalid Date</v>
      </c>
      <c r="D296" t="str">
        <f>[1]raw_orders!D296</f>
        <v>CUST-4755</v>
      </c>
      <c r="E296" t="str">
        <f>PROPER(TRIM([1]raw_orders!E296))</f>
        <v>Priya Menon</v>
      </c>
      <c r="F296" t="str">
        <f>PROPER(TRIM([1]raw_orders!F296))</f>
        <v>Consumer</v>
      </c>
      <c r="G296" t="str">
        <f>IF(TRIM([1]raw_orders!G296)="","Unknown",PROPER(TRIM([1]raw_orders!G296)))</f>
        <v>East</v>
      </c>
      <c r="H296" t="str">
        <f>PROPER(TRIM([1]raw_orders!H296))</f>
        <v>Odisha</v>
      </c>
      <c r="I296" t="str">
        <f>PROPER(TRIM([1]raw_orders!I296))</f>
        <v>Bhubaneswar</v>
      </c>
      <c r="J296" t="str">
        <f>PROPER(TRIM([1]raw_orders!J296))</f>
        <v>Technology</v>
      </c>
      <c r="K296" t="str">
        <f>PROPER(TRIM([1]raw_orders!K296))</f>
        <v>Phones</v>
      </c>
      <c r="L296" t="str">
        <f>[1]raw_orders!L296</f>
        <v>Basic Phones 326</v>
      </c>
      <c r="M296" t="str">
        <f>IF(TRIM([1]raw_orders!M296)="","Unknown",PROPER(TRIM([1]raw_orders!M296)))</f>
        <v>Second Class</v>
      </c>
      <c r="N296" s="5">
        <f>[1]raw_orders!N296</f>
        <v>6</v>
      </c>
      <c r="O296" s="5">
        <f>[1]raw_orders!O296</f>
        <v>4159.33</v>
      </c>
      <c r="P296" s="5">
        <f>[1]raw_orders!P296</f>
        <v>0.25</v>
      </c>
      <c r="Q296" t="str">
        <f>PROPER(TRIM([1]raw_orders!T296))</f>
        <v>Paid</v>
      </c>
      <c r="R296" t="str">
        <f>PROPER(TRIM([1]raw_orders!U296))</f>
        <v>Returned</v>
      </c>
      <c r="S296" s="5">
        <f>[1]raw_orders!S296</f>
        <v>6434.56</v>
      </c>
      <c r="T296" s="5">
        <f t="shared" si="32"/>
        <v>64.345600000000005</v>
      </c>
      <c r="U296" s="5">
        <f t="shared" si="33"/>
        <v>-1580851.5266880002</v>
      </c>
      <c r="V296" s="5">
        <f t="shared" si="34"/>
        <v>-1580851.7766880002</v>
      </c>
      <c r="W296" s="5">
        <f t="shared" si="35"/>
        <v>1.0000001581426186</v>
      </c>
      <c r="X296" s="5" t="str">
        <f t="shared" si="36"/>
        <v>Invalid Date</v>
      </c>
      <c r="Y296" s="5">
        <f t="shared" si="37"/>
        <v>7</v>
      </c>
      <c r="Z296" s="5">
        <f t="shared" si="38"/>
        <v>2025</v>
      </c>
      <c r="AA296" t="str">
        <f t="shared" si="39"/>
        <v>Clean</v>
      </c>
    </row>
    <row r="297" spans="1:27" x14ac:dyDescent="0.3">
      <c r="A297" t="str">
        <f>[1]raw_orders!A297</f>
        <v>ORD-2025-10296</v>
      </c>
      <c r="B297" s="4">
        <f>IFERROR(DATEVALUE([1]raw_orders!B297), "Invalid Date")</f>
        <v>45833</v>
      </c>
      <c r="C297" s="4">
        <f>IFERROR(DATEVALUE([1]raw_orders!C297), "Invalid Date")</f>
        <v>45836</v>
      </c>
      <c r="D297" t="str">
        <f>[1]raw_orders!D297</f>
        <v>CUST-6778</v>
      </c>
      <c r="E297" t="str">
        <f>PROPER(TRIM([1]raw_orders!E297))</f>
        <v>Aditi Sen</v>
      </c>
      <c r="F297" t="str">
        <f>PROPER(TRIM([1]raw_orders!F297))</f>
        <v>Small Business</v>
      </c>
      <c r="G297" t="str">
        <f>IF(TRIM([1]raw_orders!G297)="","Unknown",PROPER(TRIM([1]raw_orders!G297)))</f>
        <v>East</v>
      </c>
      <c r="H297" t="str">
        <f>PROPER(TRIM([1]raw_orders!H297))</f>
        <v>Assam</v>
      </c>
      <c r="I297" t="str">
        <f>PROPER(TRIM([1]raw_orders!I297))</f>
        <v>Guwahati</v>
      </c>
      <c r="J297" t="str">
        <f>PROPER(TRIM([1]raw_orders!J297))</f>
        <v>Office Supplies</v>
      </c>
      <c r="K297" t="str">
        <f>PROPER(TRIM([1]raw_orders!K297))</f>
        <v>Binders</v>
      </c>
      <c r="L297" t="str">
        <f>[1]raw_orders!L297</f>
        <v>Max Binders 587</v>
      </c>
      <c r="M297" t="str">
        <f>IF(TRIM([1]raw_orders!M297)="","Unknown",PROPER(TRIM([1]raw_orders!M297)))</f>
        <v>Standard Class</v>
      </c>
      <c r="N297" s="5">
        <f>[1]raw_orders!N297</f>
        <v>3</v>
      </c>
      <c r="O297" s="5">
        <f>[1]raw_orders!O297</f>
        <v>3476.05</v>
      </c>
      <c r="P297" s="5">
        <f>[1]raw_orders!P297</f>
        <v>0.1</v>
      </c>
      <c r="Q297" t="str">
        <f>PROPER(TRIM([1]raw_orders!T297))</f>
        <v>Paid</v>
      </c>
      <c r="R297" t="str">
        <f>PROPER(TRIM([1]raw_orders!U297))</f>
        <v>Completed</v>
      </c>
      <c r="S297" s="5">
        <f>[1]raw_orders!S297</f>
        <v>3556.8</v>
      </c>
      <c r="T297" s="5">
        <f t="shared" si="32"/>
        <v>35.568000000000005</v>
      </c>
      <c r="U297" s="5">
        <f t="shared" si="33"/>
        <v>-360480.28920000012</v>
      </c>
      <c r="V297" s="5">
        <f t="shared" si="34"/>
        <v>-360480.38920000009</v>
      </c>
      <c r="W297" s="5">
        <f t="shared" si="35"/>
        <v>1.0000002774076779</v>
      </c>
      <c r="X297" s="5">
        <f t="shared" si="36"/>
        <v>3</v>
      </c>
      <c r="Y297" s="5">
        <f t="shared" si="37"/>
        <v>6</v>
      </c>
      <c r="Z297" s="5">
        <f t="shared" si="38"/>
        <v>2025</v>
      </c>
      <c r="AA297" t="str">
        <f t="shared" si="39"/>
        <v>Clean</v>
      </c>
    </row>
    <row r="298" spans="1:27" x14ac:dyDescent="0.3">
      <c r="A298" t="str">
        <f>[1]raw_orders!A298</f>
        <v>ORD-2025-10297</v>
      </c>
      <c r="B298" s="4">
        <f>IFERROR(DATEVALUE([1]raw_orders!B298), "Invalid Date")</f>
        <v>45801</v>
      </c>
      <c r="C298" s="4" t="str">
        <f>IFERROR(DATEVALUE([1]raw_orders!C298), "Invalid Date")</f>
        <v>Invalid Date</v>
      </c>
      <c r="D298" t="str">
        <f>[1]raw_orders!D298</f>
        <v>CUST-7629</v>
      </c>
      <c r="E298" t="str">
        <f>PROPER(TRIM([1]raw_orders!E298))</f>
        <v>Aditi Sen</v>
      </c>
      <c r="F298" t="str">
        <f>PROPER(TRIM([1]raw_orders!F298))</f>
        <v>Home Office</v>
      </c>
      <c r="G298" t="str">
        <f>IF(TRIM([1]raw_orders!G298)="","Unknown",PROPER(TRIM([1]raw_orders!G298)))</f>
        <v>North</v>
      </c>
      <c r="H298" t="str">
        <f>PROPER(TRIM([1]raw_orders!H298))</f>
        <v>Haryana</v>
      </c>
      <c r="I298" t="str">
        <f>PROPER(TRIM([1]raw_orders!I298))</f>
        <v>Gurugram</v>
      </c>
      <c r="J298" t="str">
        <f>PROPER(TRIM([1]raw_orders!J298))</f>
        <v>Furniture</v>
      </c>
      <c r="K298" t="str">
        <f>PROPER(TRIM([1]raw_orders!K298))</f>
        <v>Furnishings</v>
      </c>
      <c r="L298" t="str">
        <f>[1]raw_orders!L298</f>
        <v>Basic Furnishings 617</v>
      </c>
      <c r="M298" t="str">
        <f>IF(TRIM([1]raw_orders!M298)="","Unknown",PROPER(TRIM([1]raw_orders!M298)))</f>
        <v>Same Day</v>
      </c>
      <c r="N298" s="5">
        <f>[1]raw_orders!N298</f>
        <v>6</v>
      </c>
      <c r="O298" s="5">
        <f>[1]raw_orders!O298</f>
        <v>3495.41</v>
      </c>
      <c r="P298" s="5">
        <f>[1]raw_orders!P298</f>
        <v>0.15</v>
      </c>
      <c r="Q298" t="str">
        <f>PROPER(TRIM([1]raw_orders!T298))</f>
        <v>Paid</v>
      </c>
      <c r="R298" t="str">
        <f>PROPER(TRIM([1]raw_orders!U298))</f>
        <v>Completed</v>
      </c>
      <c r="S298" s="5">
        <f>[1]raw_orders!S298</f>
        <v>6971.24</v>
      </c>
      <c r="T298" s="5">
        <f t="shared" si="32"/>
        <v>69.712400000000002</v>
      </c>
      <c r="U298" s="5">
        <f t="shared" si="33"/>
        <v>-1441068.0605039999</v>
      </c>
      <c r="V298" s="5">
        <f t="shared" si="34"/>
        <v>-1441068.2105039998</v>
      </c>
      <c r="W298" s="5">
        <f t="shared" si="35"/>
        <v>1.0000001040894626</v>
      </c>
      <c r="X298" s="5" t="str">
        <f t="shared" si="36"/>
        <v>Invalid Date</v>
      </c>
      <c r="Y298" s="5">
        <f t="shared" si="37"/>
        <v>5</v>
      </c>
      <c r="Z298" s="5">
        <f t="shared" si="38"/>
        <v>2025</v>
      </c>
      <c r="AA298" t="str">
        <f t="shared" si="39"/>
        <v>Clean</v>
      </c>
    </row>
    <row r="299" spans="1:27" x14ac:dyDescent="0.3">
      <c r="A299" t="str">
        <f>[1]raw_orders!A299</f>
        <v>ORD-2024-10298</v>
      </c>
      <c r="B299" s="4">
        <f>IFERROR(DATEVALUE([1]raw_orders!B299), "Invalid Date")</f>
        <v>45594</v>
      </c>
      <c r="C299" s="4">
        <f>IFERROR(DATEVALUE([1]raw_orders!C299), "Invalid Date")</f>
        <v>45602</v>
      </c>
      <c r="D299" t="str">
        <f>[1]raw_orders!D299</f>
        <v>CUST-6724</v>
      </c>
      <c r="E299" t="str">
        <f>PROPER(TRIM([1]raw_orders!E299))</f>
        <v>Sneha Kapoor</v>
      </c>
      <c r="F299" t="str">
        <f>PROPER(TRIM([1]raw_orders!F299))</f>
        <v>Corporate</v>
      </c>
      <c r="G299" t="str">
        <f>IF(TRIM([1]raw_orders!G299)="","Unknown",PROPER(TRIM([1]raw_orders!G299)))</f>
        <v>South</v>
      </c>
      <c r="H299" t="str">
        <f>PROPER(TRIM([1]raw_orders!H299))</f>
        <v>Tamil Nadu</v>
      </c>
      <c r="I299" t="str">
        <f>PROPER(TRIM([1]raw_orders!I299))</f>
        <v>Chennai</v>
      </c>
      <c r="J299" t="str">
        <f>PROPER(TRIM([1]raw_orders!J299))</f>
        <v>Technology</v>
      </c>
      <c r="K299" t="str">
        <f>PROPER(TRIM([1]raw_orders!K299))</f>
        <v>Copiers</v>
      </c>
      <c r="L299" t="str">
        <f>[1]raw_orders!L299</f>
        <v>Prime Copiers 669</v>
      </c>
      <c r="M299" t="str">
        <f>IF(TRIM([1]raw_orders!M299)="","Unknown",PROPER(TRIM([1]raw_orders!M299)))</f>
        <v>Same Day</v>
      </c>
      <c r="N299" s="5">
        <f>[1]raw_orders!N299</f>
        <v>6</v>
      </c>
      <c r="O299" s="5">
        <f>[1]raw_orders!O299</f>
        <v>1169.92</v>
      </c>
      <c r="P299" s="5">
        <f>[1]raw_orders!P299</f>
        <v>0.15</v>
      </c>
      <c r="Q299" t="str">
        <f>PROPER(TRIM([1]raw_orders!T299))</f>
        <v>Paid</v>
      </c>
      <c r="R299" t="str">
        <f>PROPER(TRIM([1]raw_orders!U299))</f>
        <v>Completed</v>
      </c>
      <c r="S299" s="5">
        <f>[1]raw_orders!S299</f>
        <v>1971.87</v>
      </c>
      <c r="T299" s="5">
        <f t="shared" si="32"/>
        <v>19.718699999999998</v>
      </c>
      <c r="U299" s="5">
        <f t="shared" si="33"/>
        <v>-131396.289024</v>
      </c>
      <c r="V299" s="5">
        <f t="shared" si="34"/>
        <v>-131396.43902399999</v>
      </c>
      <c r="W299" s="5">
        <f t="shared" si="35"/>
        <v>1.0000011415847518</v>
      </c>
      <c r="X299" s="5">
        <f t="shared" si="36"/>
        <v>8</v>
      </c>
      <c r="Y299" s="5">
        <f t="shared" si="37"/>
        <v>10</v>
      </c>
      <c r="Z299" s="5">
        <f t="shared" si="38"/>
        <v>2024</v>
      </c>
      <c r="AA299" t="str">
        <f t="shared" si="39"/>
        <v>Clean</v>
      </c>
    </row>
    <row r="300" spans="1:27" x14ac:dyDescent="0.3">
      <c r="A300" t="str">
        <f>[1]raw_orders!A300</f>
        <v>ORD-2025-10299</v>
      </c>
      <c r="B300" s="4">
        <f>IFERROR(DATEVALUE([1]raw_orders!B300), "Invalid Date")</f>
        <v>45680</v>
      </c>
      <c r="C300" s="4">
        <f>IFERROR(DATEVALUE([1]raw_orders!C300), "Invalid Date")</f>
        <v>45683</v>
      </c>
      <c r="D300" t="str">
        <f>[1]raw_orders!D300</f>
        <v>CUST-2141</v>
      </c>
      <c r="E300" t="str">
        <f>PROPER(TRIM([1]raw_orders!E300))</f>
        <v>Isha Nair</v>
      </c>
      <c r="F300" t="str">
        <f>PROPER(TRIM([1]raw_orders!F300))</f>
        <v>Consumer</v>
      </c>
      <c r="G300" t="str">
        <f>IF(TRIM([1]raw_orders!G300)="","Unknown",PROPER(TRIM([1]raw_orders!G300)))</f>
        <v>South</v>
      </c>
      <c r="H300" t="str">
        <f>PROPER(TRIM([1]raw_orders!H300))</f>
        <v>Kerala</v>
      </c>
      <c r="I300" t="str">
        <f>PROPER(TRIM([1]raw_orders!I300))</f>
        <v>Kochi</v>
      </c>
      <c r="J300" t="str">
        <f>PROPER(TRIM([1]raw_orders!J300))</f>
        <v>Technology</v>
      </c>
      <c r="K300" t="str">
        <f>PROPER(TRIM([1]raw_orders!K300))</f>
        <v>Copiers</v>
      </c>
      <c r="L300" t="str">
        <f>[1]raw_orders!L300</f>
        <v>Eco Copiers 894</v>
      </c>
      <c r="M300" t="str">
        <f>IF(TRIM([1]raw_orders!M300)="","Unknown",PROPER(TRIM([1]raw_orders!M300)))</f>
        <v>First Class</v>
      </c>
      <c r="N300" s="5">
        <f>[1]raw_orders!N300</f>
        <v>7</v>
      </c>
      <c r="O300" s="5">
        <f>[1]raw_orders!O300</f>
        <v>348.49</v>
      </c>
      <c r="P300" s="5">
        <f>[1]raw_orders!P300</f>
        <v>0.2</v>
      </c>
      <c r="Q300" t="str">
        <f>PROPER(TRIM([1]raw_orders!T300))</f>
        <v>Failed</v>
      </c>
      <c r="R300" t="str">
        <f>PROPER(TRIM([1]raw_orders!U300))</f>
        <v>Returned</v>
      </c>
      <c r="S300" s="5">
        <f>[1]raw_orders!S300</f>
        <v>341.59</v>
      </c>
      <c r="T300" s="5">
        <f t="shared" si="32"/>
        <v>3.4158999999999997</v>
      </c>
      <c r="U300" s="5">
        <f t="shared" si="33"/>
        <v>-5893.4189370000004</v>
      </c>
      <c r="V300" s="5">
        <f t="shared" si="34"/>
        <v>-5893.6189370000002</v>
      </c>
      <c r="W300" s="5">
        <f t="shared" si="35"/>
        <v>1.0000339361586437</v>
      </c>
      <c r="X300" s="5">
        <f t="shared" si="36"/>
        <v>3</v>
      </c>
      <c r="Y300" s="5">
        <f t="shared" si="37"/>
        <v>1</v>
      </c>
      <c r="Z300" s="5">
        <f t="shared" si="38"/>
        <v>2025</v>
      </c>
      <c r="AA300" t="str">
        <f t="shared" si="39"/>
        <v>Clean</v>
      </c>
    </row>
    <row r="301" spans="1:27" x14ac:dyDescent="0.3">
      <c r="A301" t="str">
        <f>[1]raw_orders!A301</f>
        <v>ORD-2024-10300</v>
      </c>
      <c r="B301" s="4">
        <f>IFERROR(DATEVALUE([1]raw_orders!B301), "Invalid Date")</f>
        <v>45602</v>
      </c>
      <c r="C301" s="4">
        <f>IFERROR(DATEVALUE([1]raw_orders!C301), "Invalid Date")</f>
        <v>45608</v>
      </c>
      <c r="D301" t="str">
        <f>[1]raw_orders!D301</f>
        <v>CUST-7264</v>
      </c>
      <c r="E301" t="str">
        <f>PROPER(TRIM([1]raw_orders!E301))</f>
        <v>Rahul Verma</v>
      </c>
      <c r="F301" t="str">
        <f>PROPER(TRIM([1]raw_orders!F301))</f>
        <v>Small Business</v>
      </c>
      <c r="G301" t="str">
        <f>IF(TRIM([1]raw_orders!G301)="","Unknown",PROPER(TRIM([1]raw_orders!G301)))</f>
        <v>West</v>
      </c>
      <c r="H301" t="str">
        <f>PROPER(TRIM([1]raw_orders!H301))</f>
        <v>Gujarat</v>
      </c>
      <c r="I301" t="str">
        <f>PROPER(TRIM([1]raw_orders!I301))</f>
        <v>Ahmedabad</v>
      </c>
      <c r="J301" t="str">
        <f>PROPER(TRIM([1]raw_orders!J301))</f>
        <v>Technology</v>
      </c>
      <c r="K301" t="str">
        <f>PROPER(TRIM([1]raw_orders!K301))</f>
        <v>Accessories</v>
      </c>
      <c r="L301" t="str">
        <f>[1]raw_orders!L301</f>
        <v>Max Accessories 145</v>
      </c>
      <c r="M301" t="str">
        <f>IF(TRIM([1]raw_orders!M301)="","Unknown",PROPER(TRIM([1]raw_orders!M301)))</f>
        <v>Standard Class</v>
      </c>
      <c r="N301" s="5">
        <f>[1]raw_orders!N301</f>
        <v>7</v>
      </c>
      <c r="O301" s="5">
        <f>[1]raw_orders!O301</f>
        <v>1719.05</v>
      </c>
      <c r="P301" s="5">
        <f>[1]raw_orders!P301</f>
        <v>0.1</v>
      </c>
      <c r="Q301" t="str">
        <f>PROPER(TRIM([1]raw_orders!T301))</f>
        <v>Paid</v>
      </c>
      <c r="R301" t="str">
        <f>PROPER(TRIM([1]raw_orders!U301))</f>
        <v>Completed</v>
      </c>
      <c r="S301" s="5">
        <f>[1]raw_orders!S301</f>
        <v>3774.71</v>
      </c>
      <c r="T301" s="5">
        <f t="shared" si="32"/>
        <v>37.747100000000003</v>
      </c>
      <c r="U301" s="5">
        <f t="shared" si="33"/>
        <v>-442190.71578500007</v>
      </c>
      <c r="V301" s="5">
        <f t="shared" si="34"/>
        <v>-442190.81578500004</v>
      </c>
      <c r="W301" s="5">
        <f t="shared" si="35"/>
        <v>1.0000002261467651</v>
      </c>
      <c r="X301" s="5">
        <f t="shared" si="36"/>
        <v>6</v>
      </c>
      <c r="Y301" s="5">
        <f t="shared" si="37"/>
        <v>11</v>
      </c>
      <c r="Z301" s="5">
        <f t="shared" si="38"/>
        <v>2024</v>
      </c>
      <c r="AA301" t="str">
        <f t="shared" si="39"/>
        <v>Clean</v>
      </c>
    </row>
    <row r="302" spans="1:27" x14ac:dyDescent="0.3">
      <c r="A302" t="str">
        <f>[1]raw_orders!A302</f>
        <v>ORD-2024-10301</v>
      </c>
      <c r="B302" s="4">
        <f>IFERROR(DATEVALUE([1]raw_orders!B302), "Invalid Date")</f>
        <v>45397</v>
      </c>
      <c r="C302" s="4" t="str">
        <f>IFERROR(DATEVALUE([1]raw_orders!C302), "Invalid Date")</f>
        <v>Invalid Date</v>
      </c>
      <c r="D302" t="str">
        <f>[1]raw_orders!D302</f>
        <v>CUST-2668</v>
      </c>
      <c r="E302" t="str">
        <f>PROPER(TRIM([1]raw_orders!E302))</f>
        <v>Diya Patel</v>
      </c>
      <c r="F302" t="str">
        <f>PROPER(TRIM([1]raw_orders!F302))</f>
        <v>Small Business</v>
      </c>
      <c r="G302" t="str">
        <f>IF(TRIM([1]raw_orders!G302)="","Unknown",PROPER(TRIM([1]raw_orders!G302)))</f>
        <v>North</v>
      </c>
      <c r="H302" t="str">
        <f>PROPER(TRIM([1]raw_orders!H302))</f>
        <v>Punjab</v>
      </c>
      <c r="I302" t="str">
        <f>PROPER(TRIM([1]raw_orders!I302))</f>
        <v>Ludhiana</v>
      </c>
      <c r="J302" t="str">
        <f>PROPER(TRIM([1]raw_orders!J302))</f>
        <v>Technology</v>
      </c>
      <c r="K302" t="str">
        <f>PROPER(TRIM([1]raw_orders!K302))</f>
        <v>Accessories</v>
      </c>
      <c r="L302" t="str">
        <f>[1]raw_orders!L302</f>
        <v>Classic Accessories 126</v>
      </c>
      <c r="M302" t="str">
        <f>IF(TRIM([1]raw_orders!M302)="","Unknown",PROPER(TRIM([1]raw_orders!M302)))</f>
        <v>Second Class</v>
      </c>
      <c r="N302" s="5">
        <f>[1]raw_orders!N302</f>
        <v>9</v>
      </c>
      <c r="O302" s="5">
        <f>[1]raw_orders!O302</f>
        <v>3893.74</v>
      </c>
      <c r="P302" s="5">
        <f>[1]raw_orders!P302</f>
        <v>0.1</v>
      </c>
      <c r="Q302" t="str">
        <f>PROPER(TRIM([1]raw_orders!T302))</f>
        <v>Paid</v>
      </c>
      <c r="R302" t="str">
        <f>PROPER(TRIM([1]raw_orders!U302))</f>
        <v>Completed</v>
      </c>
      <c r="S302" s="5">
        <f>[1]raw_orders!S302</f>
        <v>9439.15</v>
      </c>
      <c r="T302" s="5">
        <f t="shared" si="32"/>
        <v>94.391499999999994</v>
      </c>
      <c r="U302" s="5">
        <f t="shared" si="33"/>
        <v>-3272779.9728899994</v>
      </c>
      <c r="V302" s="5">
        <f t="shared" si="34"/>
        <v>-3272780.0728899995</v>
      </c>
      <c r="W302" s="5">
        <f t="shared" si="35"/>
        <v>1.0000000305550636</v>
      </c>
      <c r="X302" s="5" t="str">
        <f t="shared" si="36"/>
        <v>Invalid Date</v>
      </c>
      <c r="Y302" s="5">
        <f t="shared" si="37"/>
        <v>4</v>
      </c>
      <c r="Z302" s="5">
        <f t="shared" si="38"/>
        <v>2024</v>
      </c>
      <c r="AA302" t="str">
        <f t="shared" si="39"/>
        <v>Clean</v>
      </c>
    </row>
    <row r="303" spans="1:27" x14ac:dyDescent="0.3">
      <c r="A303" t="str">
        <f>[1]raw_orders!A303</f>
        <v>ORD-2025-10302</v>
      </c>
      <c r="B303" s="4">
        <f>IFERROR(DATEVALUE([1]raw_orders!B303), "Invalid Date")</f>
        <v>45805</v>
      </c>
      <c r="C303" s="4">
        <f>IFERROR(DATEVALUE([1]raw_orders!C303), "Invalid Date")</f>
        <v>45809</v>
      </c>
      <c r="D303" t="str">
        <f>[1]raw_orders!D303</f>
        <v>CUST-5599</v>
      </c>
      <c r="E303" t="str">
        <f>PROPER(TRIM([1]raw_orders!E303))</f>
        <v>Isha Nair</v>
      </c>
      <c r="F303" t="str">
        <f>PROPER(TRIM([1]raw_orders!F303))</f>
        <v>Home Office</v>
      </c>
      <c r="G303" t="str">
        <f>IF(TRIM([1]raw_orders!G303)="","Unknown",PROPER(TRIM([1]raw_orders!G303)))</f>
        <v>East</v>
      </c>
      <c r="H303" t="str">
        <f>PROPER(TRIM([1]raw_orders!H303))</f>
        <v>Bihar</v>
      </c>
      <c r="I303" t="str">
        <f>PROPER(TRIM([1]raw_orders!I303))</f>
        <v>Patna</v>
      </c>
      <c r="J303" t="str">
        <f>PROPER(TRIM([1]raw_orders!J303))</f>
        <v>Technology</v>
      </c>
      <c r="K303" t="str">
        <f>PROPER(TRIM([1]raw_orders!K303))</f>
        <v>Phones</v>
      </c>
      <c r="L303" t="str">
        <f>[1]raw_orders!L303</f>
        <v>Elite Phones 202</v>
      </c>
      <c r="M303" t="str">
        <f>IF(TRIM([1]raw_orders!M303)="","Unknown",PROPER(TRIM([1]raw_orders!M303)))</f>
        <v>Same Day</v>
      </c>
      <c r="N303" s="5">
        <f>[1]raw_orders!N303</f>
        <v>4</v>
      </c>
      <c r="O303" s="5">
        <f>[1]raw_orders!O303</f>
        <v>1654.11</v>
      </c>
      <c r="P303" s="5">
        <f>[1]raw_orders!P303</f>
        <v>0.05</v>
      </c>
      <c r="Q303" t="str">
        <f>PROPER(TRIM([1]raw_orders!T303))</f>
        <v>Paid</v>
      </c>
      <c r="R303" t="str">
        <f>PROPER(TRIM([1]raw_orders!U303))</f>
        <v>Completed</v>
      </c>
      <c r="S303" s="5">
        <f>[1]raw_orders!S303</f>
        <v>2580.2399999999998</v>
      </c>
      <c r="T303" s="5">
        <f t="shared" si="32"/>
        <v>25.802399999999999</v>
      </c>
      <c r="U303" s="5">
        <f t="shared" si="33"/>
        <v>-164103.59145599999</v>
      </c>
      <c r="V303" s="5">
        <f t="shared" si="34"/>
        <v>-164103.64145599998</v>
      </c>
      <c r="W303" s="5">
        <f t="shared" si="35"/>
        <v>1.0000003046855925</v>
      </c>
      <c r="X303" s="5">
        <f t="shared" si="36"/>
        <v>4</v>
      </c>
      <c r="Y303" s="5">
        <f t="shared" si="37"/>
        <v>5</v>
      </c>
      <c r="Z303" s="5">
        <f t="shared" si="38"/>
        <v>2025</v>
      </c>
      <c r="AA303" t="str">
        <f t="shared" si="39"/>
        <v>Clean</v>
      </c>
    </row>
    <row r="304" spans="1:27" x14ac:dyDescent="0.3">
      <c r="A304" t="str">
        <f>[1]raw_orders!A304</f>
        <v>ORD-2025-10303</v>
      </c>
      <c r="B304" s="4">
        <f>IFERROR(DATEVALUE([1]raw_orders!B304), "Invalid Date")</f>
        <v>45812</v>
      </c>
      <c r="C304" s="4">
        <f>IFERROR(DATEVALUE([1]raw_orders!C304), "Invalid Date")</f>
        <v>45820</v>
      </c>
      <c r="D304" t="str">
        <f>[1]raw_orders!D304</f>
        <v>CUST-1623</v>
      </c>
      <c r="E304" t="str">
        <f>PROPER(TRIM([1]raw_orders!E304))</f>
        <v>Neha Gupta</v>
      </c>
      <c r="F304" t="str">
        <f>PROPER(TRIM([1]raw_orders!F304))</f>
        <v>Consumer</v>
      </c>
      <c r="G304" t="str">
        <f>IF(TRIM([1]raw_orders!G304)="","Unknown",PROPER(TRIM([1]raw_orders!G304)))</f>
        <v>West</v>
      </c>
      <c r="H304" t="str">
        <f>PROPER(TRIM([1]raw_orders!H304))</f>
        <v>Goa</v>
      </c>
      <c r="I304" t="str">
        <f>PROPER(TRIM([1]raw_orders!I304))</f>
        <v>Panaji</v>
      </c>
      <c r="J304" t="str">
        <f>PROPER(TRIM([1]raw_orders!J304))</f>
        <v>Office Supplies</v>
      </c>
      <c r="K304" t="str">
        <f>PROPER(TRIM([1]raw_orders!K304))</f>
        <v>Storage</v>
      </c>
      <c r="L304" t="str">
        <f>[1]raw_orders!L304</f>
        <v>Elite Storage 535</v>
      </c>
      <c r="M304" t="str">
        <f>IF(TRIM([1]raw_orders!M304)="","Unknown",PROPER(TRIM([1]raw_orders!M304)))</f>
        <v>Same Day</v>
      </c>
      <c r="N304" s="5">
        <f>[1]raw_orders!N304</f>
        <v>2</v>
      </c>
      <c r="O304" s="5">
        <f>[1]raw_orders!O304</f>
        <v>2703.28</v>
      </c>
      <c r="P304" s="5">
        <f>[1]raw_orders!P304</f>
        <v>0.25</v>
      </c>
      <c r="Q304" t="str">
        <f>PROPER(TRIM([1]raw_orders!T304))</f>
        <v>Paid</v>
      </c>
      <c r="R304" t="str">
        <f>PROPER(TRIM([1]raw_orders!U304))</f>
        <v>Completed</v>
      </c>
      <c r="S304" s="5">
        <f>[1]raw_orders!S304</f>
        <v>1630.09</v>
      </c>
      <c r="T304" s="5">
        <f t="shared" si="32"/>
        <v>16.300899999999999</v>
      </c>
      <c r="U304" s="5">
        <f t="shared" si="33"/>
        <v>-82725.233903999993</v>
      </c>
      <c r="V304" s="5">
        <f t="shared" si="34"/>
        <v>-82725.483903999993</v>
      </c>
      <c r="W304" s="5">
        <f t="shared" si="35"/>
        <v>1.0000030220525009</v>
      </c>
      <c r="X304" s="5">
        <f t="shared" si="36"/>
        <v>8</v>
      </c>
      <c r="Y304" s="5">
        <f t="shared" si="37"/>
        <v>6</v>
      </c>
      <c r="Z304" s="5">
        <f t="shared" si="38"/>
        <v>2025</v>
      </c>
      <c r="AA304" t="str">
        <f t="shared" si="39"/>
        <v>Clean</v>
      </c>
    </row>
    <row r="305" spans="1:27" x14ac:dyDescent="0.3">
      <c r="A305" t="str">
        <f>[1]raw_orders!A305</f>
        <v>ORD-2024-10304</v>
      </c>
      <c r="B305" s="4">
        <f>IFERROR(DATEVALUE([1]raw_orders!B305), "Invalid Date")</f>
        <v>45466</v>
      </c>
      <c r="C305" s="4">
        <f>IFERROR(DATEVALUE([1]raw_orders!C305), "Invalid Date")</f>
        <v>45471</v>
      </c>
      <c r="D305" t="str">
        <f>[1]raw_orders!D305</f>
        <v>CUST-9035</v>
      </c>
      <c r="E305" t="str">
        <f>PROPER(TRIM([1]raw_orders!E305))</f>
        <v>Diya Patel</v>
      </c>
      <c r="F305" t="str">
        <f>PROPER(TRIM([1]raw_orders!F305))</f>
        <v>Home Office</v>
      </c>
      <c r="G305" t="str">
        <f>IF(TRIM([1]raw_orders!G305)="","Unknown",PROPER(TRIM([1]raw_orders!G305)))</f>
        <v>West</v>
      </c>
      <c r="H305" t="str">
        <f>PROPER(TRIM([1]raw_orders!H305))</f>
        <v>Gujarat</v>
      </c>
      <c r="I305" t="str">
        <f>PROPER(TRIM([1]raw_orders!I305))</f>
        <v>Ahmedabad</v>
      </c>
      <c r="J305" t="str">
        <f>PROPER(TRIM([1]raw_orders!J305))</f>
        <v>Furniture</v>
      </c>
      <c r="K305" t="str">
        <f>PROPER(TRIM([1]raw_orders!K305))</f>
        <v>Chairs</v>
      </c>
      <c r="L305" t="str">
        <f>[1]raw_orders!L305</f>
        <v>Elite Chairs 107</v>
      </c>
      <c r="M305" t="str">
        <f>IF(TRIM([1]raw_orders!M305)="","Unknown",PROPER(TRIM([1]raw_orders!M305)))</f>
        <v>Standard Class</v>
      </c>
      <c r="N305" s="5">
        <f>[1]raw_orders!N305</f>
        <v>2</v>
      </c>
      <c r="O305" s="5">
        <f>[1]raw_orders!O305</f>
        <v>1313.14</v>
      </c>
      <c r="P305" s="5">
        <f>[1]raw_orders!P305</f>
        <v>0.1</v>
      </c>
      <c r="Q305" t="str">
        <f>PROPER(TRIM([1]raw_orders!T305))</f>
        <v>Pending</v>
      </c>
      <c r="R305" t="str">
        <f>PROPER(TRIM([1]raw_orders!U305))</f>
        <v>Returned</v>
      </c>
      <c r="S305" s="5">
        <f>[1]raw_orders!S305</f>
        <v>487.55</v>
      </c>
      <c r="T305" s="5">
        <f t="shared" si="32"/>
        <v>4.8754999999999997</v>
      </c>
      <c r="U305" s="5">
        <f t="shared" si="33"/>
        <v>-10178.148139999999</v>
      </c>
      <c r="V305" s="5">
        <f t="shared" si="34"/>
        <v>-10178.24814</v>
      </c>
      <c r="W305" s="5">
        <f t="shared" si="35"/>
        <v>1.0000098249699871</v>
      </c>
      <c r="X305" s="5">
        <f t="shared" si="36"/>
        <v>5</v>
      </c>
      <c r="Y305" s="5">
        <f t="shared" si="37"/>
        <v>6</v>
      </c>
      <c r="Z305" s="5">
        <f t="shared" si="38"/>
        <v>2024</v>
      </c>
      <c r="AA305" t="str">
        <f t="shared" si="39"/>
        <v>Clean</v>
      </c>
    </row>
    <row r="306" spans="1:27" x14ac:dyDescent="0.3">
      <c r="A306" t="str">
        <f>[1]raw_orders!A306</f>
        <v>ORD-2024-10305</v>
      </c>
      <c r="B306" s="4">
        <f>IFERROR(DATEVALUE([1]raw_orders!B306), "Invalid Date")</f>
        <v>45446</v>
      </c>
      <c r="C306" s="4">
        <f>IFERROR(DATEVALUE([1]raw_orders!C306), "Invalid Date")</f>
        <v>45364</v>
      </c>
      <c r="D306" t="str">
        <f>[1]raw_orders!D306</f>
        <v>CUST-6286</v>
      </c>
      <c r="E306" t="str">
        <f>PROPER(TRIM([1]raw_orders!E306))</f>
        <v>Karan Malhotra</v>
      </c>
      <c r="F306" t="str">
        <f>PROPER(TRIM([1]raw_orders!F306))</f>
        <v>Consumer</v>
      </c>
      <c r="G306" t="str">
        <f>IF(TRIM([1]raw_orders!G306)="","Unknown",PROPER(TRIM([1]raw_orders!G306)))</f>
        <v>North</v>
      </c>
      <c r="H306" t="str">
        <f>PROPER(TRIM([1]raw_orders!H306))</f>
        <v>Punjab</v>
      </c>
      <c r="I306" t="str">
        <f>PROPER(TRIM([1]raw_orders!I306))</f>
        <v>Ludhiana</v>
      </c>
      <c r="J306" t="str">
        <f>PROPER(TRIM([1]raw_orders!J306))</f>
        <v>Furniture</v>
      </c>
      <c r="K306" t="str">
        <f>PROPER(TRIM([1]raw_orders!K306))</f>
        <v>Furnishings</v>
      </c>
      <c r="L306" t="str">
        <f>[1]raw_orders!L306</f>
        <v>Pro Furnishings 991</v>
      </c>
      <c r="M306" t="str">
        <f>IF(TRIM([1]raw_orders!M306)="","Unknown",PROPER(TRIM([1]raw_orders!M306)))</f>
        <v>Standard Class</v>
      </c>
      <c r="N306" s="5">
        <f>[1]raw_orders!N306</f>
        <v>6</v>
      </c>
      <c r="O306" s="5">
        <f>[1]raw_orders!O306</f>
        <v>2403.0500000000002</v>
      </c>
      <c r="P306" s="5">
        <f>[1]raw_orders!P306</f>
        <v>0.1</v>
      </c>
      <c r="Q306" t="str">
        <f>PROPER(TRIM([1]raw_orders!T306))</f>
        <v>Paid</v>
      </c>
      <c r="R306" t="str">
        <f>PROPER(TRIM([1]raw_orders!U306))</f>
        <v>Completed</v>
      </c>
      <c r="S306" s="5">
        <f>[1]raw_orders!S306</f>
        <v>2956.49</v>
      </c>
      <c r="T306" s="5">
        <f t="shared" si="32"/>
        <v>29.564899999999998</v>
      </c>
      <c r="U306" s="5">
        <f t="shared" si="33"/>
        <v>-411857.29767</v>
      </c>
      <c r="V306" s="5">
        <f t="shared" si="34"/>
        <v>-411857.39766999998</v>
      </c>
      <c r="W306" s="5">
        <f t="shared" si="35"/>
        <v>1.0000002428025447</v>
      </c>
      <c r="X306" s="5">
        <f t="shared" si="36"/>
        <v>-82</v>
      </c>
      <c r="Y306" s="5">
        <f t="shared" si="37"/>
        <v>6</v>
      </c>
      <c r="Z306" s="5">
        <f t="shared" si="38"/>
        <v>2024</v>
      </c>
      <c r="AA306" t="str">
        <f t="shared" si="39"/>
        <v>Invalid</v>
      </c>
    </row>
    <row r="307" spans="1:27" x14ac:dyDescent="0.3">
      <c r="A307" t="str">
        <f>[1]raw_orders!A307</f>
        <v>ORD-2024-10306</v>
      </c>
      <c r="B307" s="4">
        <f>IFERROR(DATEVALUE([1]raw_orders!B307), "Invalid Date")</f>
        <v>45413</v>
      </c>
      <c r="C307" s="4">
        <f>IFERROR(DATEVALUE([1]raw_orders!C307), "Invalid Date")</f>
        <v>45327</v>
      </c>
      <c r="D307" t="str">
        <f>[1]raw_orders!D307</f>
        <v>CUST-7246</v>
      </c>
      <c r="E307" t="str">
        <f>PROPER(TRIM([1]raw_orders!E307))</f>
        <v>Ananya Rao</v>
      </c>
      <c r="F307" t="str">
        <f>PROPER(TRIM([1]raw_orders!F307))</f>
        <v>Consumer</v>
      </c>
      <c r="G307" t="str">
        <f>IF(TRIM([1]raw_orders!G307)="","Unknown",PROPER(TRIM([1]raw_orders!G307)))</f>
        <v>East</v>
      </c>
      <c r="H307" t="str">
        <f>PROPER(TRIM([1]raw_orders!H307))</f>
        <v>Assam</v>
      </c>
      <c r="I307" t="str">
        <f>PROPER(TRIM([1]raw_orders!I307))</f>
        <v>Guwahati</v>
      </c>
      <c r="J307" t="str">
        <f>PROPER(TRIM([1]raw_orders!J307))</f>
        <v>Furniture</v>
      </c>
      <c r="K307" t="str">
        <f>PROPER(TRIM([1]raw_orders!K307))</f>
        <v>Chairs</v>
      </c>
      <c r="L307" t="str">
        <f>[1]raw_orders!L307</f>
        <v>Eco Chairs 105</v>
      </c>
      <c r="M307" t="str">
        <f>IF(TRIM([1]raw_orders!M307)="","Unknown",PROPER(TRIM([1]raw_orders!M307)))</f>
        <v>First Class</v>
      </c>
      <c r="N307" s="5">
        <f>[1]raw_orders!N307</f>
        <v>4</v>
      </c>
      <c r="O307" s="5">
        <f>[1]raw_orders!O307</f>
        <v>4156.0600000000004</v>
      </c>
      <c r="P307" s="5">
        <f>[1]raw_orders!P307</f>
        <v>0.55000000000000004</v>
      </c>
      <c r="Q307" t="str">
        <f>PROPER(TRIM([1]raw_orders!T307))</f>
        <v>Paid</v>
      </c>
      <c r="R307" t="str">
        <f>PROPER(TRIM([1]raw_orders!U307))</f>
        <v>Cancelled</v>
      </c>
      <c r="S307" s="5">
        <f>[1]raw_orders!S307</f>
        <v>3447.48</v>
      </c>
      <c r="T307" s="5">
        <f t="shared" si="32"/>
        <v>34.474800000000002</v>
      </c>
      <c r="U307" s="5">
        <f t="shared" si="33"/>
        <v>-556493.10915200005</v>
      </c>
      <c r="V307" s="5">
        <f t="shared" si="34"/>
        <v>-556493.65915200009</v>
      </c>
      <c r="W307" s="5">
        <f t="shared" si="35"/>
        <v>1.0000009883320944</v>
      </c>
      <c r="X307" s="5">
        <f t="shared" si="36"/>
        <v>-86</v>
      </c>
      <c r="Y307" s="5">
        <f t="shared" si="37"/>
        <v>5</v>
      </c>
      <c r="Z307" s="5">
        <f t="shared" si="38"/>
        <v>2024</v>
      </c>
      <c r="AA307" t="str">
        <f t="shared" si="39"/>
        <v>Invalid</v>
      </c>
    </row>
    <row r="308" spans="1:27" x14ac:dyDescent="0.3">
      <c r="A308" t="str">
        <f>[1]raw_orders!A308</f>
        <v>ORD-2025-10307</v>
      </c>
      <c r="B308" s="4">
        <f>IFERROR(DATEVALUE([1]raw_orders!B308), "Invalid Date")</f>
        <v>45708</v>
      </c>
      <c r="C308" s="4">
        <f>IFERROR(DATEVALUE([1]raw_orders!C308), "Invalid Date")</f>
        <v>45711</v>
      </c>
      <c r="D308" t="str">
        <f>[1]raw_orders!D308</f>
        <v>CUST-2589</v>
      </c>
      <c r="E308" t="str">
        <f>PROPER(TRIM([1]raw_orders!E308))</f>
        <v>Aarav Sharma</v>
      </c>
      <c r="F308" t="str">
        <f>PROPER(TRIM([1]raw_orders!F308))</f>
        <v>Consumer</v>
      </c>
      <c r="G308" t="str">
        <f>IF(TRIM([1]raw_orders!G308)="","Unknown",PROPER(TRIM([1]raw_orders!G308)))</f>
        <v>North</v>
      </c>
      <c r="H308" t="str">
        <f>PROPER(TRIM([1]raw_orders!H308))</f>
        <v>Rajasthan</v>
      </c>
      <c r="I308" t="str">
        <f>PROPER(TRIM([1]raw_orders!I308))</f>
        <v>Jaipur</v>
      </c>
      <c r="J308" t="str">
        <f>PROPER(TRIM([1]raw_orders!J308))</f>
        <v>Technology</v>
      </c>
      <c r="K308" t="str">
        <f>PROPER(TRIM([1]raw_orders!K308))</f>
        <v>Phones</v>
      </c>
      <c r="L308" t="str">
        <f>[1]raw_orders!L308</f>
        <v>Pro Phones 530</v>
      </c>
      <c r="M308" t="str">
        <f>IF(TRIM([1]raw_orders!M308)="","Unknown",PROPER(TRIM([1]raw_orders!M308)))</f>
        <v>Second Class</v>
      </c>
      <c r="N308" s="5">
        <f>[1]raw_orders!N308</f>
        <v>4</v>
      </c>
      <c r="O308" s="5">
        <f>[1]raw_orders!O308</f>
        <v>3673.11</v>
      </c>
      <c r="P308" s="5">
        <f>[1]raw_orders!P308</f>
        <v>0</v>
      </c>
      <c r="Q308" t="str">
        <f>PROPER(TRIM([1]raw_orders!T308))</f>
        <v>Paid</v>
      </c>
      <c r="R308" t="str">
        <f>PROPER(TRIM([1]raw_orders!U308))</f>
        <v>Completed</v>
      </c>
      <c r="S308" s="5">
        <f>[1]raw_orders!S308</f>
        <v>4610.25</v>
      </c>
      <c r="T308" s="5">
        <f t="shared" si="32"/>
        <v>46.102499999999999</v>
      </c>
      <c r="U308" s="5">
        <f t="shared" si="33"/>
        <v>-662665.77509999997</v>
      </c>
      <c r="V308" s="5">
        <f t="shared" si="34"/>
        <v>-662665.77509999997</v>
      </c>
      <c r="W308" s="5">
        <f t="shared" si="35"/>
        <v>1</v>
      </c>
      <c r="X308" s="5">
        <f t="shared" si="36"/>
        <v>3</v>
      </c>
      <c r="Y308" s="5">
        <f t="shared" si="37"/>
        <v>2</v>
      </c>
      <c r="Z308" s="5">
        <f t="shared" si="38"/>
        <v>2025</v>
      </c>
      <c r="AA308" t="str">
        <f t="shared" si="39"/>
        <v>Clean</v>
      </c>
    </row>
    <row r="309" spans="1:27" x14ac:dyDescent="0.3">
      <c r="A309" t="str">
        <f>[1]raw_orders!A309</f>
        <v>ORD-2025-10308</v>
      </c>
      <c r="B309" s="4">
        <f>IFERROR(DATEVALUE([1]raw_orders!B309), "Invalid Date")</f>
        <v>45850</v>
      </c>
      <c r="C309" s="4">
        <f>IFERROR(DATEVALUE([1]raw_orders!C309), "Invalid Date")</f>
        <v>45857</v>
      </c>
      <c r="D309" t="str">
        <f>[1]raw_orders!D309</f>
        <v>CUST-4153</v>
      </c>
      <c r="E309" t="str">
        <f>PROPER(TRIM([1]raw_orders!E309))</f>
        <v>Ananya Rao</v>
      </c>
      <c r="F309" t="str">
        <f>PROPER(TRIM([1]raw_orders!F309))</f>
        <v>Corporate</v>
      </c>
      <c r="G309" t="str">
        <f>IF(TRIM([1]raw_orders!G309)="","Unknown",PROPER(TRIM([1]raw_orders!G309)))</f>
        <v>North</v>
      </c>
      <c r="H309" t="str">
        <f>PROPER(TRIM([1]raw_orders!H309))</f>
        <v>Uttar Pradesh</v>
      </c>
      <c r="I309" t="str">
        <f>PROPER(TRIM([1]raw_orders!I309))</f>
        <v>Noida</v>
      </c>
      <c r="J309" t="str">
        <f>PROPER(TRIM([1]raw_orders!J309))</f>
        <v>Furniture</v>
      </c>
      <c r="K309" t="str">
        <f>PROPER(TRIM([1]raw_orders!K309))</f>
        <v>Tables</v>
      </c>
      <c r="L309" t="str">
        <f>[1]raw_orders!L309</f>
        <v>Basic Tables 911</v>
      </c>
      <c r="M309" t="str">
        <f>IF(TRIM([1]raw_orders!M309)="","Unknown",PROPER(TRIM([1]raw_orders!M309)))</f>
        <v>First Class</v>
      </c>
      <c r="N309" s="5">
        <f>[1]raw_orders!N309</f>
        <v>9</v>
      </c>
      <c r="O309" s="5">
        <f>[1]raw_orders!O309</f>
        <v>4093.04</v>
      </c>
      <c r="P309" s="5">
        <f>[1]raw_orders!P309</f>
        <v>0.2</v>
      </c>
      <c r="Q309" t="str">
        <f>PROPER(TRIM([1]raw_orders!T309))</f>
        <v>Pending</v>
      </c>
      <c r="R309" t="str">
        <f>PROPER(TRIM([1]raw_orders!U309))</f>
        <v>Cancelled</v>
      </c>
      <c r="S309" s="5">
        <f>[1]raw_orders!S309</f>
        <v>10534.38</v>
      </c>
      <c r="T309" s="5">
        <f t="shared" si="32"/>
        <v>105.34379999999999</v>
      </c>
      <c r="U309" s="5">
        <f t="shared" si="33"/>
        <v>-3843750.1243679994</v>
      </c>
      <c r="V309" s="5">
        <f t="shared" si="34"/>
        <v>-3843750.3243679996</v>
      </c>
      <c r="W309" s="5">
        <f t="shared" si="35"/>
        <v>1.0000000520325187</v>
      </c>
      <c r="X309" s="5">
        <f t="shared" si="36"/>
        <v>7</v>
      </c>
      <c r="Y309" s="5">
        <f t="shared" si="37"/>
        <v>7</v>
      </c>
      <c r="Z309" s="5">
        <f t="shared" si="38"/>
        <v>2025</v>
      </c>
      <c r="AA309" t="str">
        <f t="shared" si="39"/>
        <v>Clean</v>
      </c>
    </row>
    <row r="310" spans="1:27" x14ac:dyDescent="0.3">
      <c r="A310" t="str">
        <f>[1]raw_orders!A310</f>
        <v>ORD-2025-10309</v>
      </c>
      <c r="B310" s="4">
        <f>IFERROR(DATEVALUE([1]raw_orders!B310), "Invalid Date")</f>
        <v>45821</v>
      </c>
      <c r="C310" s="4">
        <f>IFERROR(DATEVALUE([1]raw_orders!C310), "Invalid Date")</f>
        <v>45827</v>
      </c>
      <c r="D310" t="str">
        <f>[1]raw_orders!D310</f>
        <v>CUST-6727</v>
      </c>
      <c r="E310" t="str">
        <f>PROPER(TRIM([1]raw_orders!E310))</f>
        <v>Rohan Mehta</v>
      </c>
      <c r="F310" t="str">
        <f>PROPER(TRIM([1]raw_orders!F310))</f>
        <v>Consumer</v>
      </c>
      <c r="G310" t="str">
        <f>IF(TRIM([1]raw_orders!G310)="","Unknown",PROPER(TRIM([1]raw_orders!G310)))</f>
        <v>North</v>
      </c>
      <c r="H310" t="str">
        <f>PROPER(TRIM([1]raw_orders!H310))</f>
        <v>Rajasthan</v>
      </c>
      <c r="I310" t="str">
        <f>PROPER(TRIM([1]raw_orders!I310))</f>
        <v>Jaipur</v>
      </c>
      <c r="J310" t="str">
        <f>PROPER(TRIM([1]raw_orders!J310))</f>
        <v>Furniture</v>
      </c>
      <c r="K310" t="str">
        <f>PROPER(TRIM([1]raw_orders!K310))</f>
        <v>Tables</v>
      </c>
      <c r="L310" t="str">
        <f>[1]raw_orders!L310</f>
        <v>Classic Tables 224</v>
      </c>
      <c r="M310" t="str">
        <f>IF(TRIM([1]raw_orders!M310)="","Unknown",PROPER(TRIM([1]raw_orders!M310)))</f>
        <v>First Class</v>
      </c>
      <c r="N310" s="5">
        <f>[1]raw_orders!N310</f>
        <v>4</v>
      </c>
      <c r="O310" s="5">
        <f>[1]raw_orders!O310</f>
        <v>731.57</v>
      </c>
      <c r="P310" s="5">
        <f>[1]raw_orders!P310</f>
        <v>0.2</v>
      </c>
      <c r="Q310" t="str">
        <f>PROPER(TRIM([1]raw_orders!T310))</f>
        <v>Paid</v>
      </c>
      <c r="R310" t="str">
        <f>PROPER(TRIM([1]raw_orders!U310))</f>
        <v>Completed</v>
      </c>
      <c r="S310" s="5">
        <f>[1]raw_orders!S310</f>
        <v>775.53</v>
      </c>
      <c r="T310" s="5">
        <f t="shared" si="32"/>
        <v>7.7553000000000001</v>
      </c>
      <c r="U310" s="5">
        <f t="shared" si="33"/>
        <v>-19767.899284000003</v>
      </c>
      <c r="V310" s="5">
        <f t="shared" si="34"/>
        <v>-19768.099284000004</v>
      </c>
      <c r="W310" s="5">
        <f t="shared" si="35"/>
        <v>1.0000101174129394</v>
      </c>
      <c r="X310" s="5">
        <f t="shared" si="36"/>
        <v>6</v>
      </c>
      <c r="Y310" s="5">
        <f t="shared" si="37"/>
        <v>6</v>
      </c>
      <c r="Z310" s="5">
        <f t="shared" si="38"/>
        <v>2025</v>
      </c>
      <c r="AA310" t="str">
        <f t="shared" si="39"/>
        <v>Clean</v>
      </c>
    </row>
    <row r="311" spans="1:27" x14ac:dyDescent="0.3">
      <c r="A311" t="str">
        <f>[1]raw_orders!A311</f>
        <v>ORD-2024-10310</v>
      </c>
      <c r="B311" s="4" t="str">
        <f>IFERROR(DATEVALUE([1]raw_orders!B311), "Invalid Date")</f>
        <v>Invalid Date</v>
      </c>
      <c r="C311" s="4">
        <f>IFERROR(DATEVALUE([1]raw_orders!C311), "Invalid Date")</f>
        <v>45495</v>
      </c>
      <c r="D311" t="str">
        <f>[1]raw_orders!D311</f>
        <v>CUST-8860</v>
      </c>
      <c r="E311" t="str">
        <f>PROPER(TRIM([1]raw_orders!E311))</f>
        <v>Ananya Rao</v>
      </c>
      <c r="F311" t="str">
        <f>PROPER(TRIM([1]raw_orders!F311))</f>
        <v>Consumer</v>
      </c>
      <c r="G311" t="str">
        <f>IF(TRIM([1]raw_orders!G311)="","Unknown",PROPER(TRIM([1]raw_orders!G311)))</f>
        <v>South</v>
      </c>
      <c r="H311" t="str">
        <f>PROPER(TRIM([1]raw_orders!H311))</f>
        <v>Tamil Nadu</v>
      </c>
      <c r="I311" t="str">
        <f>PROPER(TRIM([1]raw_orders!I311))</f>
        <v>Chennai</v>
      </c>
      <c r="J311" t="str">
        <f>PROPER(TRIM([1]raw_orders!J311))</f>
        <v>Furniture</v>
      </c>
      <c r="K311" t="str">
        <f>PROPER(TRIM([1]raw_orders!K311))</f>
        <v>Tables</v>
      </c>
      <c r="L311" t="str">
        <f>[1]raw_orders!L311</f>
        <v>Prime Tables 214</v>
      </c>
      <c r="M311" t="str">
        <f>IF(TRIM([1]raw_orders!M311)="","Unknown",PROPER(TRIM([1]raw_orders!M311)))</f>
        <v>First Class</v>
      </c>
      <c r="N311" s="5">
        <f>[1]raw_orders!N311</f>
        <v>7</v>
      </c>
      <c r="O311" s="5">
        <f>[1]raw_orders!O311</f>
        <v>2060.73</v>
      </c>
      <c r="P311" s="5">
        <f>[1]raw_orders!P311</f>
        <v>0.1</v>
      </c>
      <c r="Q311" t="str">
        <f>PROPER(TRIM([1]raw_orders!T311))</f>
        <v>Paid</v>
      </c>
      <c r="R311" t="str">
        <f>PROPER(TRIM([1]raw_orders!U311))</f>
        <v>Cancelled</v>
      </c>
      <c r="S311" s="5">
        <f>[1]raw_orders!S311</f>
        <v>5736.24</v>
      </c>
      <c r="T311" s="5">
        <f t="shared" si="32"/>
        <v>57.362400000000001</v>
      </c>
      <c r="U311" s="5">
        <f t="shared" si="33"/>
        <v>-813033.81986400008</v>
      </c>
      <c r="V311" s="5">
        <f t="shared" si="34"/>
        <v>-813033.91986400005</v>
      </c>
      <c r="W311" s="5">
        <f t="shared" si="35"/>
        <v>1.0000001229961135</v>
      </c>
      <c r="X311" s="5" t="str">
        <f t="shared" si="36"/>
        <v>Invalid Date</v>
      </c>
      <c r="Y311" s="5" t="e">
        <f t="shared" si="37"/>
        <v>#VALUE!</v>
      </c>
      <c r="Z311" s="5" t="e">
        <f t="shared" si="38"/>
        <v>#VALUE!</v>
      </c>
      <c r="AA311" t="str">
        <f t="shared" si="39"/>
        <v>Clean</v>
      </c>
    </row>
    <row r="312" spans="1:27" x14ac:dyDescent="0.3">
      <c r="A312" t="str">
        <f>[1]raw_orders!A312</f>
        <v>ORD-2024-10311</v>
      </c>
      <c r="B312" s="4">
        <f>IFERROR(DATEVALUE([1]raw_orders!B312), "Invalid Date")</f>
        <v>45477</v>
      </c>
      <c r="C312" s="4">
        <f>IFERROR(DATEVALUE([1]raw_orders!C312), "Invalid Date")</f>
        <v>45481</v>
      </c>
      <c r="D312" t="str">
        <f>[1]raw_orders!D312</f>
        <v>CUST-3784</v>
      </c>
      <c r="E312" t="str">
        <f>PROPER(TRIM([1]raw_orders!E312))</f>
        <v>Rohan Mehta</v>
      </c>
      <c r="F312" t="str">
        <f>PROPER(TRIM([1]raw_orders!F312))</f>
        <v>Small Business</v>
      </c>
      <c r="G312" t="str">
        <f>IF(TRIM([1]raw_orders!G312)="","Unknown",PROPER(TRIM([1]raw_orders!G312)))</f>
        <v>South</v>
      </c>
      <c r="H312" t="str">
        <f>PROPER(TRIM([1]raw_orders!H312))</f>
        <v>Tamil Nadu</v>
      </c>
      <c r="I312" t="str">
        <f>PROPER(TRIM([1]raw_orders!I312))</f>
        <v>Chennai</v>
      </c>
      <c r="J312" t="str">
        <f>PROPER(TRIM([1]raw_orders!J312))</f>
        <v>Technology</v>
      </c>
      <c r="K312" t="str">
        <f>PROPER(TRIM([1]raw_orders!K312))</f>
        <v>Machines</v>
      </c>
      <c r="L312" t="str">
        <f>[1]raw_orders!L312</f>
        <v>Max Machines 988</v>
      </c>
      <c r="M312" t="str">
        <f>IF(TRIM([1]raw_orders!M312)="","Unknown",PROPER(TRIM([1]raw_orders!M312)))</f>
        <v>First Class</v>
      </c>
      <c r="N312" s="5">
        <f>[1]raw_orders!N312</f>
        <v>8</v>
      </c>
      <c r="O312" s="5">
        <f>[1]raw_orders!O312</f>
        <v>2034.25</v>
      </c>
      <c r="P312" s="5">
        <f>[1]raw_orders!P312</f>
        <v>0</v>
      </c>
      <c r="Q312" t="str">
        <f>PROPER(TRIM([1]raw_orders!T312))</f>
        <v>Paid</v>
      </c>
      <c r="R312" t="str">
        <f>PROPER(TRIM([1]raw_orders!U312))</f>
        <v>Completed</v>
      </c>
      <c r="S312" s="5">
        <f>[1]raw_orders!S312</f>
        <v>6849.75</v>
      </c>
      <c r="T312" s="5">
        <f t="shared" si="32"/>
        <v>68.497500000000002</v>
      </c>
      <c r="U312" s="5">
        <f t="shared" si="33"/>
        <v>-1098454.3149999999</v>
      </c>
      <c r="V312" s="5">
        <f t="shared" si="34"/>
        <v>-1098454.3149999999</v>
      </c>
      <c r="W312" s="5">
        <f t="shared" si="35"/>
        <v>1</v>
      </c>
      <c r="X312" s="5">
        <f t="shared" si="36"/>
        <v>4</v>
      </c>
      <c r="Y312" s="5">
        <f t="shared" si="37"/>
        <v>7</v>
      </c>
      <c r="Z312" s="5">
        <f t="shared" si="38"/>
        <v>2024</v>
      </c>
      <c r="AA312" t="str">
        <f t="shared" si="39"/>
        <v>Clean</v>
      </c>
    </row>
    <row r="313" spans="1:27" x14ac:dyDescent="0.3">
      <c r="A313" t="str">
        <f>[1]raw_orders!A313</f>
        <v>ORD-2024-10312</v>
      </c>
      <c r="B313" s="4">
        <f>IFERROR(DATEVALUE([1]raw_orders!B313), "Invalid Date")</f>
        <v>45409</v>
      </c>
      <c r="C313" s="4">
        <f>IFERROR(DATEVALUE([1]raw_orders!C313), "Invalid Date")</f>
        <v>45414</v>
      </c>
      <c r="D313" t="str">
        <f>[1]raw_orders!D313</f>
        <v>CUST-3545</v>
      </c>
      <c r="E313" t="str">
        <f>PROPER(TRIM([1]raw_orders!E313))</f>
        <v>Mira Das</v>
      </c>
      <c r="F313" t="str">
        <f>PROPER(TRIM([1]raw_orders!F313))</f>
        <v>Corporate</v>
      </c>
      <c r="G313" t="str">
        <f>IF(TRIM([1]raw_orders!G313)="","Unknown",PROPER(TRIM([1]raw_orders!G313)))</f>
        <v>South</v>
      </c>
      <c r="H313" t="str">
        <f>PROPER(TRIM([1]raw_orders!H313))</f>
        <v>Karnataka</v>
      </c>
      <c r="I313" t="str">
        <f>PROPER(TRIM([1]raw_orders!I313))</f>
        <v>Bengaluru</v>
      </c>
      <c r="J313" t="str">
        <f>PROPER(TRIM([1]raw_orders!J313))</f>
        <v>Office Supplies</v>
      </c>
      <c r="K313" t="str">
        <f>PROPER(TRIM([1]raw_orders!K313))</f>
        <v>Binders</v>
      </c>
      <c r="L313" t="str">
        <f>[1]raw_orders!L313</f>
        <v>Max Binders 425</v>
      </c>
      <c r="M313" t="str">
        <f>IF(TRIM([1]raw_orders!M313)="","Unknown",PROPER(TRIM([1]raw_orders!M313)))</f>
        <v>Second Class</v>
      </c>
      <c r="N313" s="5">
        <f>[1]raw_orders!N313</f>
        <v>5</v>
      </c>
      <c r="O313" s="5">
        <f>[1]raw_orders!O313</f>
        <v>554.04</v>
      </c>
      <c r="P313" s="5">
        <f>[1]raw_orders!P313</f>
        <v>0.1</v>
      </c>
      <c r="Q313" t="str">
        <f>PROPER(TRIM([1]raw_orders!T313))</f>
        <v>Paid</v>
      </c>
      <c r="R313" t="str">
        <f>PROPER(TRIM([1]raw_orders!U313))</f>
        <v>Completed</v>
      </c>
      <c r="S313" s="5">
        <f>[1]raw_orders!S313</f>
        <v>729.18</v>
      </c>
      <c r="T313" s="5">
        <f t="shared" si="32"/>
        <v>7.2917999999999994</v>
      </c>
      <c r="U313" s="5">
        <f t="shared" si="33"/>
        <v>-17429.544359999996</v>
      </c>
      <c r="V313" s="5">
        <f t="shared" si="34"/>
        <v>-17429.644359999995</v>
      </c>
      <c r="W313" s="5">
        <f t="shared" si="35"/>
        <v>1.0000057373846345</v>
      </c>
      <c r="X313" s="5">
        <f t="shared" si="36"/>
        <v>5</v>
      </c>
      <c r="Y313" s="5">
        <f t="shared" si="37"/>
        <v>4</v>
      </c>
      <c r="Z313" s="5">
        <f t="shared" si="38"/>
        <v>2024</v>
      </c>
      <c r="AA313" t="str">
        <f t="shared" si="39"/>
        <v>Clean</v>
      </c>
    </row>
    <row r="314" spans="1:27" x14ac:dyDescent="0.3">
      <c r="A314" t="str">
        <f>[1]raw_orders!A314</f>
        <v>ORD-2024-10313</v>
      </c>
      <c r="B314" s="4" t="str">
        <f>IFERROR(DATEVALUE([1]raw_orders!B314), "Invalid Date")</f>
        <v>Invalid Date</v>
      </c>
      <c r="C314" s="4">
        <f>IFERROR(DATEVALUE([1]raw_orders!C314), "Invalid Date")</f>
        <v>45508</v>
      </c>
      <c r="D314" t="str">
        <f>[1]raw_orders!D314</f>
        <v>CUST-4851</v>
      </c>
      <c r="E314" t="str">
        <f>PROPER(TRIM([1]raw_orders!E314))</f>
        <v>Karan Malhotra</v>
      </c>
      <c r="F314" t="str">
        <f>PROPER(TRIM([1]raw_orders!F314))</f>
        <v>Small Business</v>
      </c>
      <c r="G314" t="str">
        <f>IF(TRIM([1]raw_orders!G314)="","Unknown",PROPER(TRIM([1]raw_orders!G314)))</f>
        <v>East</v>
      </c>
      <c r="H314" t="str">
        <f>PROPER(TRIM([1]raw_orders!H314))</f>
        <v>Assam</v>
      </c>
      <c r="I314" t="str">
        <f>PROPER(TRIM([1]raw_orders!I314))</f>
        <v>Guwahati</v>
      </c>
      <c r="J314" t="str">
        <f>PROPER(TRIM([1]raw_orders!J314))</f>
        <v>Technology</v>
      </c>
      <c r="K314" t="str">
        <f>PROPER(TRIM([1]raw_orders!K314))</f>
        <v>Phones</v>
      </c>
      <c r="L314" t="str">
        <f>[1]raw_orders!L314</f>
        <v>Elite Phones 679</v>
      </c>
      <c r="M314" t="str">
        <f>IF(TRIM([1]raw_orders!M314)="","Unknown",PROPER(TRIM([1]raw_orders!M314)))</f>
        <v>Standard Class</v>
      </c>
      <c r="N314" s="5">
        <f>[1]raw_orders!N314</f>
        <v>8</v>
      </c>
      <c r="O314" s="5">
        <f>[1]raw_orders!O314</f>
        <v>2614.7399999999998</v>
      </c>
      <c r="P314" s="5">
        <f>[1]raw_orders!P314</f>
        <v>0</v>
      </c>
      <c r="Q314" t="str">
        <f>PROPER(TRIM([1]raw_orders!T314))</f>
        <v>Paid</v>
      </c>
      <c r="R314" t="str">
        <f>PROPER(TRIM([1]raw_orders!U314))</f>
        <v>Cancelled</v>
      </c>
      <c r="S314" s="5">
        <f>[1]raw_orders!S314</f>
        <v>5641.11</v>
      </c>
      <c r="T314" s="5">
        <f t="shared" si="32"/>
        <v>56.411099999999998</v>
      </c>
      <c r="U314" s="5">
        <f t="shared" si="33"/>
        <v>-1159084.956912</v>
      </c>
      <c r="V314" s="5">
        <f t="shared" si="34"/>
        <v>-1159084.956912</v>
      </c>
      <c r="W314" s="5">
        <f t="shared" si="35"/>
        <v>1</v>
      </c>
      <c r="X314" s="5" t="str">
        <f t="shared" si="36"/>
        <v>Invalid Date</v>
      </c>
      <c r="Y314" s="5" t="e">
        <f t="shared" si="37"/>
        <v>#VALUE!</v>
      </c>
      <c r="Z314" s="5" t="e">
        <f t="shared" si="38"/>
        <v>#VALUE!</v>
      </c>
      <c r="AA314" t="str">
        <f t="shared" si="39"/>
        <v>Clean</v>
      </c>
    </row>
    <row r="315" spans="1:27" x14ac:dyDescent="0.3">
      <c r="A315" t="str">
        <f>[1]raw_orders!A315</f>
        <v>ORD-2025-10314</v>
      </c>
      <c r="B315" s="4">
        <f>IFERROR(DATEVALUE([1]raw_orders!B315), "Invalid Date")</f>
        <v>45807</v>
      </c>
      <c r="C315" s="4">
        <f>IFERROR(DATEVALUE([1]raw_orders!C315), "Invalid Date")</f>
        <v>45808</v>
      </c>
      <c r="D315" t="str">
        <f>[1]raw_orders!D315</f>
        <v>CUST-4770</v>
      </c>
      <c r="E315" t="str">
        <f>PROPER(TRIM([1]raw_orders!E315))</f>
        <v>Rahul Verma</v>
      </c>
      <c r="F315" t="str">
        <f>PROPER(TRIM([1]raw_orders!F315))</f>
        <v>Corporate</v>
      </c>
      <c r="G315" t="str">
        <f>IF(TRIM([1]raw_orders!G315)="","Unknown",PROPER(TRIM([1]raw_orders!G315)))</f>
        <v>North</v>
      </c>
      <c r="H315" t="str">
        <f>PROPER(TRIM([1]raw_orders!H315))</f>
        <v>Uttar Pradesh</v>
      </c>
      <c r="I315" t="str">
        <f>PROPER(TRIM([1]raw_orders!I315))</f>
        <v>Noida</v>
      </c>
      <c r="J315" t="str">
        <f>PROPER(TRIM([1]raw_orders!J315))</f>
        <v>Technology</v>
      </c>
      <c r="K315" t="str">
        <f>PROPER(TRIM([1]raw_orders!K315))</f>
        <v>Phones</v>
      </c>
      <c r="L315" t="str">
        <f>[1]raw_orders!L315</f>
        <v>Pro Phones 764</v>
      </c>
      <c r="M315" t="str">
        <f>IF(TRIM([1]raw_orders!M315)="","Unknown",PROPER(TRIM([1]raw_orders!M315)))</f>
        <v>First Class</v>
      </c>
      <c r="N315" s="5">
        <f>[1]raw_orders!N315</f>
        <v>8</v>
      </c>
      <c r="O315" s="5">
        <f>[1]raw_orders!O315</f>
        <v>2081.4299999999998</v>
      </c>
      <c r="P315" s="5">
        <f>[1]raw_orders!P315</f>
        <v>0.25</v>
      </c>
      <c r="Q315" t="str">
        <f>PROPER(TRIM([1]raw_orders!T315))</f>
        <v>Refunded</v>
      </c>
      <c r="R315" t="str">
        <f>PROPER(TRIM([1]raw_orders!U315))</f>
        <v>Cancelled</v>
      </c>
      <c r="S315" s="5">
        <f>[1]raw_orders!S315</f>
        <v>1771.18</v>
      </c>
      <c r="T315" s="5">
        <f t="shared" si="32"/>
        <v>17.7118</v>
      </c>
      <c r="U315" s="5">
        <f t="shared" si="33"/>
        <v>-278275.53499199997</v>
      </c>
      <c r="V315" s="5">
        <f t="shared" si="34"/>
        <v>-278275.78499199997</v>
      </c>
      <c r="W315" s="5">
        <f t="shared" si="35"/>
        <v>1.0000008983901514</v>
      </c>
      <c r="X315" s="5">
        <f t="shared" si="36"/>
        <v>1</v>
      </c>
      <c r="Y315" s="5">
        <f t="shared" si="37"/>
        <v>5</v>
      </c>
      <c r="Z315" s="5">
        <f t="shared" si="38"/>
        <v>2025</v>
      </c>
      <c r="AA315" t="str">
        <f t="shared" si="39"/>
        <v>Clean</v>
      </c>
    </row>
    <row r="316" spans="1:27" x14ac:dyDescent="0.3">
      <c r="A316" t="str">
        <f>[1]raw_orders!A316</f>
        <v>ORD-2025-10315</v>
      </c>
      <c r="B316" s="4" t="str">
        <f>IFERROR(DATEVALUE([1]raw_orders!B316), "Invalid Date")</f>
        <v>Invalid Date</v>
      </c>
      <c r="C316" s="4">
        <f>IFERROR(DATEVALUE([1]raw_orders!C316), "Invalid Date")</f>
        <v>45797</v>
      </c>
      <c r="D316" t="str">
        <f>[1]raw_orders!D316</f>
        <v>CUST-1945</v>
      </c>
      <c r="E316" t="str">
        <f>PROPER(TRIM([1]raw_orders!E316))</f>
        <v>Isha Nair</v>
      </c>
      <c r="F316" t="str">
        <f>PROPER(TRIM([1]raw_orders!F316))</f>
        <v>Corporate</v>
      </c>
      <c r="G316" t="str">
        <f>IF(TRIM([1]raw_orders!G316)="","Unknown",PROPER(TRIM([1]raw_orders!G316)))</f>
        <v>West</v>
      </c>
      <c r="H316" t="str">
        <f>PROPER(TRIM([1]raw_orders!H316))</f>
        <v>Madhya Pradesh</v>
      </c>
      <c r="I316" t="str">
        <f>PROPER(TRIM([1]raw_orders!I316))</f>
        <v>Indore</v>
      </c>
      <c r="J316" t="str">
        <f>PROPER(TRIM([1]raw_orders!J316))</f>
        <v>Office Supplies</v>
      </c>
      <c r="K316" t="str">
        <f>PROPER(TRIM([1]raw_orders!K316))</f>
        <v>Labels</v>
      </c>
      <c r="L316" t="str">
        <f>[1]raw_orders!L316</f>
        <v>Elite Labels 544</v>
      </c>
      <c r="M316" t="str">
        <f>IF(TRIM([1]raw_orders!M316)="","Unknown",PROPER(TRIM([1]raw_orders!M316)))</f>
        <v>Standard Class</v>
      </c>
      <c r="N316" s="5">
        <f>[1]raw_orders!N316</f>
        <v>9</v>
      </c>
      <c r="O316" s="5">
        <f>[1]raw_orders!O316</f>
        <v>847.76</v>
      </c>
      <c r="P316" s="5">
        <f>[1]raw_orders!P316</f>
        <v>0.15</v>
      </c>
      <c r="Q316" t="str">
        <f>PROPER(TRIM([1]raw_orders!T316))</f>
        <v>Failed</v>
      </c>
      <c r="R316" t="str">
        <f>PROPER(TRIM([1]raw_orders!U316))</f>
        <v>Returned</v>
      </c>
      <c r="S316" s="5">
        <f>[1]raw_orders!S316</f>
        <v>1109.19</v>
      </c>
      <c r="T316" s="5">
        <f t="shared" si="32"/>
        <v>11.091900000000001</v>
      </c>
      <c r="U316" s="5">
        <f t="shared" si="33"/>
        <v>-76999.582296000008</v>
      </c>
      <c r="V316" s="5">
        <f t="shared" si="34"/>
        <v>-76999.732296000002</v>
      </c>
      <c r="W316" s="5">
        <f t="shared" si="35"/>
        <v>1.0000019480625157</v>
      </c>
      <c r="X316" s="5" t="str">
        <f t="shared" si="36"/>
        <v>Invalid Date</v>
      </c>
      <c r="Y316" s="5" t="e">
        <f t="shared" si="37"/>
        <v>#VALUE!</v>
      </c>
      <c r="Z316" s="5" t="e">
        <f t="shared" si="38"/>
        <v>#VALUE!</v>
      </c>
      <c r="AA316" t="str">
        <f t="shared" si="39"/>
        <v>Clean</v>
      </c>
    </row>
    <row r="317" spans="1:27" x14ac:dyDescent="0.3">
      <c r="A317" t="str">
        <f>[1]raw_orders!A317</f>
        <v>ORD-2024-10316</v>
      </c>
      <c r="B317" s="4">
        <f>IFERROR(DATEVALUE([1]raw_orders!B317), "Invalid Date")</f>
        <v>45475</v>
      </c>
      <c r="C317" s="4">
        <f>IFERROR(DATEVALUE([1]raw_orders!C317), "Invalid Date")</f>
        <v>45481</v>
      </c>
      <c r="D317" t="str">
        <f>[1]raw_orders!D317</f>
        <v>CUST-7565</v>
      </c>
      <c r="E317" t="str">
        <f>PROPER(TRIM([1]raw_orders!E317))</f>
        <v>Rohan Mehta</v>
      </c>
      <c r="F317" t="str">
        <f>PROPER(TRIM([1]raw_orders!F317))</f>
        <v>Consumer</v>
      </c>
      <c r="G317" t="str">
        <f>IF(TRIM([1]raw_orders!G317)="","Unknown",PROPER(TRIM([1]raw_orders!G317)))</f>
        <v>North</v>
      </c>
      <c r="H317" t="str">
        <f>PROPER(TRIM([1]raw_orders!H317))</f>
        <v>Delhi</v>
      </c>
      <c r="I317" t="str">
        <f>PROPER(TRIM([1]raw_orders!I317))</f>
        <v>New Delhi</v>
      </c>
      <c r="J317" t="str">
        <f>PROPER(TRIM([1]raw_orders!J317))</f>
        <v>Office Supplies</v>
      </c>
      <c r="K317" t="str">
        <f>PROPER(TRIM([1]raw_orders!K317))</f>
        <v>Paper</v>
      </c>
      <c r="L317" t="str">
        <f>[1]raw_orders!L317</f>
        <v>Smart Paper 817</v>
      </c>
      <c r="M317" t="str">
        <f>IF(TRIM([1]raw_orders!M317)="","Unknown",PROPER(TRIM([1]raw_orders!M317)))</f>
        <v>Standard Class</v>
      </c>
      <c r="N317" s="5">
        <f>[1]raw_orders!N317</f>
        <v>9</v>
      </c>
      <c r="O317" s="5">
        <f>[1]raw_orders!O317</f>
        <v>3450.4</v>
      </c>
      <c r="P317" s="5">
        <f>[1]raw_orders!P317</f>
        <v>0.05</v>
      </c>
      <c r="Q317" t="str">
        <f>PROPER(TRIM([1]raw_orders!T317))</f>
        <v>Pending</v>
      </c>
      <c r="R317" t="str">
        <f>PROPER(TRIM([1]raw_orders!U317))</f>
        <v>Returned</v>
      </c>
      <c r="S317" s="5">
        <f>[1]raw_orders!S317</f>
        <v>11511.24</v>
      </c>
      <c r="T317" s="5">
        <f t="shared" si="32"/>
        <v>115.11239999999999</v>
      </c>
      <c r="U317" s="5">
        <f t="shared" si="33"/>
        <v>-3543600.8246400002</v>
      </c>
      <c r="V317" s="5">
        <f t="shared" si="34"/>
        <v>-3543600.8746400001</v>
      </c>
      <c r="W317" s="5">
        <f t="shared" si="35"/>
        <v>1.0000000141099414</v>
      </c>
      <c r="X317" s="5">
        <f t="shared" si="36"/>
        <v>6</v>
      </c>
      <c r="Y317" s="5">
        <f t="shared" si="37"/>
        <v>7</v>
      </c>
      <c r="Z317" s="5">
        <f t="shared" si="38"/>
        <v>2024</v>
      </c>
      <c r="AA317" t="str">
        <f t="shared" si="39"/>
        <v>Clean</v>
      </c>
    </row>
    <row r="318" spans="1:27" x14ac:dyDescent="0.3">
      <c r="A318" t="str">
        <f>[1]raw_orders!A318</f>
        <v>ORD-2024-10317</v>
      </c>
      <c r="B318" s="4">
        <f>IFERROR(DATEVALUE([1]raw_orders!B318), "Invalid Date")</f>
        <v>45338</v>
      </c>
      <c r="C318" s="4" t="str">
        <f>IFERROR(DATEVALUE([1]raw_orders!C318), "Invalid Date")</f>
        <v>Invalid Date</v>
      </c>
      <c r="D318" t="str">
        <f>[1]raw_orders!D318</f>
        <v>CUST-9913</v>
      </c>
      <c r="E318" t="str">
        <f>PROPER(TRIM([1]raw_orders!E318))</f>
        <v>Karan Malhotra</v>
      </c>
      <c r="F318" t="str">
        <f>PROPER(TRIM([1]raw_orders!F318))</f>
        <v>Corporate</v>
      </c>
      <c r="G318" t="str">
        <f>IF(TRIM([1]raw_orders!G318)="","Unknown",PROPER(TRIM([1]raw_orders!G318)))</f>
        <v>North</v>
      </c>
      <c r="H318" t="str">
        <f>PROPER(TRIM([1]raw_orders!H318))</f>
        <v>Punjab</v>
      </c>
      <c r="I318" t="str">
        <f>PROPER(TRIM([1]raw_orders!I318))</f>
        <v>Ludhiana</v>
      </c>
      <c r="J318" t="str">
        <f>PROPER(TRIM([1]raw_orders!J318))</f>
        <v>Office Supplies</v>
      </c>
      <c r="K318" t="str">
        <f>PROPER(TRIM([1]raw_orders!K318))</f>
        <v>Labels</v>
      </c>
      <c r="L318" t="str">
        <f>[1]raw_orders!L318</f>
        <v>Classic Labels 466</v>
      </c>
      <c r="M318" t="str">
        <f>IF(TRIM([1]raw_orders!M318)="","Unknown",PROPER(TRIM([1]raw_orders!M318)))</f>
        <v>Standard Class</v>
      </c>
      <c r="N318" s="5">
        <f>[1]raw_orders!N318</f>
        <v>2</v>
      </c>
      <c r="O318" s="5">
        <f>[1]raw_orders!O318</f>
        <v>1947.53</v>
      </c>
      <c r="P318" s="5">
        <f>[1]raw_orders!P318</f>
        <v>0.2</v>
      </c>
      <c r="Q318" t="str">
        <f>PROPER(TRIM([1]raw_orders!T318))</f>
        <v>Paid</v>
      </c>
      <c r="R318" t="str">
        <f>PROPER(TRIM([1]raw_orders!U318))</f>
        <v>Cancelled</v>
      </c>
      <c r="S318" s="5">
        <f>[1]raw_orders!S318</f>
        <v>1159.42</v>
      </c>
      <c r="T318" s="5">
        <f t="shared" si="32"/>
        <v>11.594200000000001</v>
      </c>
      <c r="U318" s="5">
        <f t="shared" si="33"/>
        <v>-41265.044652000004</v>
      </c>
      <c r="V318" s="5">
        <f t="shared" si="34"/>
        <v>-41265.244652000001</v>
      </c>
      <c r="W318" s="5">
        <f t="shared" si="35"/>
        <v>1.0000048467171594</v>
      </c>
      <c r="X318" s="5" t="str">
        <f t="shared" si="36"/>
        <v>Invalid Date</v>
      </c>
      <c r="Y318" s="5">
        <f t="shared" si="37"/>
        <v>2</v>
      </c>
      <c r="Z318" s="5">
        <f t="shared" si="38"/>
        <v>2024</v>
      </c>
      <c r="AA318" t="str">
        <f t="shared" si="39"/>
        <v>Clean</v>
      </c>
    </row>
    <row r="319" spans="1:27" x14ac:dyDescent="0.3">
      <c r="A319" t="str">
        <f>[1]raw_orders!A319</f>
        <v>ORD-2025-10318</v>
      </c>
      <c r="B319" s="4">
        <f>IFERROR(DATEVALUE([1]raw_orders!B319), "Invalid Date")</f>
        <v>45898</v>
      </c>
      <c r="C319" s="4">
        <f>IFERROR(DATEVALUE([1]raw_orders!C319), "Invalid Date")</f>
        <v>45904</v>
      </c>
      <c r="D319" t="str">
        <f>[1]raw_orders!D319</f>
        <v>CUST-7992</v>
      </c>
      <c r="E319" t="str">
        <f>PROPER(TRIM([1]raw_orders!E319))</f>
        <v>Neha Gupta</v>
      </c>
      <c r="F319" t="str">
        <f>PROPER(TRIM([1]raw_orders!F319))</f>
        <v>Corporate</v>
      </c>
      <c r="G319" t="str">
        <f>IF(TRIM([1]raw_orders!G319)="","Unknown",PROPER(TRIM([1]raw_orders!G319)))</f>
        <v>South</v>
      </c>
      <c r="H319" t="str">
        <f>PROPER(TRIM([1]raw_orders!H319))</f>
        <v>Kerala</v>
      </c>
      <c r="I319" t="str">
        <f>PROPER(TRIM([1]raw_orders!I319))</f>
        <v>Kochi</v>
      </c>
      <c r="J319" t="str">
        <f>PROPER(TRIM([1]raw_orders!J319))</f>
        <v>Furniture</v>
      </c>
      <c r="K319" t="str">
        <f>PROPER(TRIM([1]raw_orders!K319))</f>
        <v>Tables</v>
      </c>
      <c r="L319" t="str">
        <f>[1]raw_orders!L319</f>
        <v>Pro Tables 778</v>
      </c>
      <c r="M319" t="str">
        <f>IF(TRIM([1]raw_orders!M319)="","Unknown",PROPER(TRIM([1]raw_orders!M319)))</f>
        <v>First Class</v>
      </c>
      <c r="N319" s="5">
        <f>[1]raw_orders!N319</f>
        <v>9</v>
      </c>
      <c r="O319" s="5">
        <f>[1]raw_orders!O319</f>
        <v>2996.97</v>
      </c>
      <c r="P319" s="5">
        <f>[1]raw_orders!P319</f>
        <v>0.15</v>
      </c>
      <c r="Q319" t="str">
        <f>PROPER(TRIM([1]raw_orders!T319))</f>
        <v>Paid</v>
      </c>
      <c r="R319" t="str">
        <f>PROPER(TRIM([1]raw_orders!U319))</f>
        <v>Completed</v>
      </c>
      <c r="S319" s="5">
        <f>[1]raw_orders!S319</f>
        <v>8305.23</v>
      </c>
      <c r="T319" s="5">
        <f t="shared" si="32"/>
        <v>83.052300000000002</v>
      </c>
      <c r="U319" s="5">
        <f t="shared" si="33"/>
        <v>-2213174.5337789999</v>
      </c>
      <c r="V319" s="5">
        <f t="shared" si="34"/>
        <v>-2213174.6837789998</v>
      </c>
      <c r="W319" s="5">
        <f t="shared" si="35"/>
        <v>1.0000000677759471</v>
      </c>
      <c r="X319" s="5">
        <f t="shared" si="36"/>
        <v>6</v>
      </c>
      <c r="Y319" s="5">
        <f t="shared" si="37"/>
        <v>8</v>
      </c>
      <c r="Z319" s="5">
        <f t="shared" si="38"/>
        <v>2025</v>
      </c>
      <c r="AA319" t="str">
        <f t="shared" si="39"/>
        <v>Clean</v>
      </c>
    </row>
    <row r="320" spans="1:27" x14ac:dyDescent="0.3">
      <c r="A320" t="str">
        <f>[1]raw_orders!A320</f>
        <v>ORD-2024-10319</v>
      </c>
      <c r="B320" s="4">
        <f>IFERROR(DATEVALUE([1]raw_orders!B320), "Invalid Date")</f>
        <v>45407</v>
      </c>
      <c r="C320" s="4">
        <f>IFERROR(DATEVALUE([1]raw_orders!C320), "Invalid Date")</f>
        <v>45412</v>
      </c>
      <c r="D320" t="str">
        <f>[1]raw_orders!D320</f>
        <v>CUST-8877</v>
      </c>
      <c r="E320" t="str">
        <f>PROPER(TRIM([1]raw_orders!E320))</f>
        <v>Mira Das</v>
      </c>
      <c r="F320" t="str">
        <f>PROPER(TRIM([1]raw_orders!F320))</f>
        <v>Small Business</v>
      </c>
      <c r="G320" t="str">
        <f>IF(TRIM([1]raw_orders!G320)="","Unknown",PROPER(TRIM([1]raw_orders!G320)))</f>
        <v>South</v>
      </c>
      <c r="H320" t="str">
        <f>PROPER(TRIM([1]raw_orders!H320))</f>
        <v>Karnataka</v>
      </c>
      <c r="I320" t="str">
        <f>PROPER(TRIM([1]raw_orders!I320))</f>
        <v>Bengaluru</v>
      </c>
      <c r="J320" t="str">
        <f>PROPER(TRIM([1]raw_orders!J320))</f>
        <v>Technology</v>
      </c>
      <c r="K320" t="str">
        <f>PROPER(TRIM([1]raw_orders!K320))</f>
        <v>Phones</v>
      </c>
      <c r="L320" t="str">
        <f>[1]raw_orders!L320</f>
        <v>Basic Phones 789</v>
      </c>
      <c r="M320" t="str">
        <f>IF(TRIM([1]raw_orders!M320)="","Unknown",PROPER(TRIM([1]raw_orders!M320)))</f>
        <v>Standard Class</v>
      </c>
      <c r="N320" s="5">
        <f>[1]raw_orders!N320</f>
        <v>3</v>
      </c>
      <c r="O320" s="5">
        <f>[1]raw_orders!O320</f>
        <v>4149.46</v>
      </c>
      <c r="P320" s="5">
        <f>[1]raw_orders!P320</f>
        <v>0.1</v>
      </c>
      <c r="Q320" t="str">
        <f>PROPER(TRIM([1]raw_orders!T320))</f>
        <v>Paid</v>
      </c>
      <c r="R320" t="str">
        <f>PROPER(TRIM([1]raw_orders!U320))</f>
        <v>Completed</v>
      </c>
      <c r="S320" s="5">
        <f>[1]raw_orders!S320</f>
        <v>2750.61</v>
      </c>
      <c r="T320" s="5">
        <f t="shared" si="32"/>
        <v>27.5061</v>
      </c>
      <c r="U320" s="5">
        <f t="shared" si="33"/>
        <v>-329958.00511800003</v>
      </c>
      <c r="V320" s="5">
        <f t="shared" si="34"/>
        <v>-329958.10511800001</v>
      </c>
      <c r="W320" s="5">
        <f t="shared" si="35"/>
        <v>1.0000003030688707</v>
      </c>
      <c r="X320" s="5">
        <f t="shared" si="36"/>
        <v>5</v>
      </c>
      <c r="Y320" s="5">
        <f t="shared" si="37"/>
        <v>4</v>
      </c>
      <c r="Z320" s="5">
        <f t="shared" si="38"/>
        <v>2024</v>
      </c>
      <c r="AA320" t="str">
        <f t="shared" si="39"/>
        <v>Clean</v>
      </c>
    </row>
    <row r="321" spans="1:27" x14ac:dyDescent="0.3">
      <c r="A321" t="str">
        <f>[1]raw_orders!A321</f>
        <v>ORD-2024-10320</v>
      </c>
      <c r="B321" s="4">
        <f>IFERROR(DATEVALUE([1]raw_orders!B321), "Invalid Date")</f>
        <v>45525</v>
      </c>
      <c r="C321" s="4" t="str">
        <f>IFERROR(DATEVALUE([1]raw_orders!C321), "Invalid Date")</f>
        <v>Invalid Date</v>
      </c>
      <c r="D321" t="str">
        <f>[1]raw_orders!D321</f>
        <v>CUST-4589</v>
      </c>
      <c r="E321" t="str">
        <f>PROPER(TRIM([1]raw_orders!E321))</f>
        <v>Diya Patel</v>
      </c>
      <c r="F321" t="str">
        <f>PROPER(TRIM([1]raw_orders!F321))</f>
        <v>Consumer</v>
      </c>
      <c r="G321" t="str">
        <f>IF(TRIM([1]raw_orders!G321)="","Unknown",PROPER(TRIM([1]raw_orders!G321)))</f>
        <v>West</v>
      </c>
      <c r="H321" t="str">
        <f>PROPER(TRIM([1]raw_orders!H321))</f>
        <v>Gujarat</v>
      </c>
      <c r="I321" t="str">
        <f>PROPER(TRIM([1]raw_orders!I321))</f>
        <v>Ahmedabad</v>
      </c>
      <c r="J321" t="str">
        <f>PROPER(TRIM([1]raw_orders!J321))</f>
        <v>Office Supplies</v>
      </c>
      <c r="K321" t="str">
        <f>PROPER(TRIM([1]raw_orders!K321))</f>
        <v>Binders</v>
      </c>
      <c r="L321" t="str">
        <f>[1]raw_orders!L321</f>
        <v>Prime Binders 554</v>
      </c>
      <c r="M321" t="str">
        <f>IF(TRIM([1]raw_orders!M321)="","Unknown",PROPER(TRIM([1]raw_orders!M321)))</f>
        <v>First Class</v>
      </c>
      <c r="N321" s="5">
        <f>[1]raw_orders!N321</f>
        <v>1</v>
      </c>
      <c r="O321" s="5">
        <f>[1]raw_orders!O321</f>
        <v>270.27999999999997</v>
      </c>
      <c r="P321" s="5">
        <f>[1]raw_orders!P321</f>
        <v>0</v>
      </c>
      <c r="Q321" t="str">
        <f>PROPER(TRIM([1]raw_orders!T321))</f>
        <v>Paid</v>
      </c>
      <c r="R321" t="str">
        <f>PROPER(TRIM([1]raw_orders!U321))</f>
        <v>Completed</v>
      </c>
      <c r="S321" s="5">
        <f>[1]raw_orders!S321</f>
        <v>113.94</v>
      </c>
      <c r="T321" s="5">
        <f t="shared" si="32"/>
        <v>1.1394</v>
      </c>
      <c r="U321" s="5">
        <f t="shared" si="33"/>
        <v>-37.67703199999999</v>
      </c>
      <c r="V321" s="5">
        <f t="shared" si="34"/>
        <v>-37.67703199999999</v>
      </c>
      <c r="W321" s="5">
        <f t="shared" si="35"/>
        <v>1</v>
      </c>
      <c r="X321" s="5" t="str">
        <f t="shared" si="36"/>
        <v>Invalid Date</v>
      </c>
      <c r="Y321" s="5">
        <f t="shared" si="37"/>
        <v>8</v>
      </c>
      <c r="Z321" s="5">
        <f t="shared" si="38"/>
        <v>2024</v>
      </c>
      <c r="AA321" t="str">
        <f t="shared" si="39"/>
        <v>Clean</v>
      </c>
    </row>
    <row r="322" spans="1:27" x14ac:dyDescent="0.3">
      <c r="A322" t="str">
        <f>[1]raw_orders!A322</f>
        <v>ORD-2024-10321</v>
      </c>
      <c r="B322" s="4">
        <f>IFERROR(DATEVALUE([1]raw_orders!B322), "Invalid Date")</f>
        <v>45394</v>
      </c>
      <c r="C322" s="4">
        <f>IFERROR(DATEVALUE([1]raw_orders!C322), "Invalid Date")</f>
        <v>45455</v>
      </c>
      <c r="D322" t="str">
        <f>[1]raw_orders!D322</f>
        <v>CUST-4667</v>
      </c>
      <c r="E322" t="str">
        <f>PROPER(TRIM([1]raw_orders!E322))</f>
        <v>Aarav Sharma</v>
      </c>
      <c r="F322" t="str">
        <f>PROPER(TRIM([1]raw_orders!F322))</f>
        <v>Home Office</v>
      </c>
      <c r="G322" t="str">
        <f>IF(TRIM([1]raw_orders!G322)="","Unknown",PROPER(TRIM([1]raw_orders!G322)))</f>
        <v>East</v>
      </c>
      <c r="H322" t="str">
        <f>PROPER(TRIM([1]raw_orders!H322))</f>
        <v>West Bengal</v>
      </c>
      <c r="I322" t="str">
        <f>PROPER(TRIM([1]raw_orders!I322))</f>
        <v>Kolkata</v>
      </c>
      <c r="J322" t="str">
        <f>PROPER(TRIM([1]raw_orders!J322))</f>
        <v>Office Supplies</v>
      </c>
      <c r="K322" t="str">
        <f>PROPER(TRIM([1]raw_orders!K322))</f>
        <v>Art</v>
      </c>
      <c r="L322" t="str">
        <f>[1]raw_orders!L322</f>
        <v>Classic Art 299</v>
      </c>
      <c r="M322" t="str">
        <f>IF(TRIM([1]raw_orders!M322)="","Unknown",PROPER(TRIM([1]raw_orders!M322)))</f>
        <v>Second Class</v>
      </c>
      <c r="N322" s="5">
        <f>[1]raw_orders!N322</f>
        <v>3</v>
      </c>
      <c r="O322" s="5">
        <f>[1]raw_orders!O322</f>
        <v>876.14</v>
      </c>
      <c r="P322" s="5" t="str">
        <f>[1]raw_orders!P322</f>
        <v>70%</v>
      </c>
      <c r="Q322" t="str">
        <f>PROPER(TRIM([1]raw_orders!T322))</f>
        <v>Pending</v>
      </c>
      <c r="R322" t="str">
        <f>PROPER(TRIM([1]raw_orders!U322))</f>
        <v>Returned</v>
      </c>
      <c r="S322" s="5">
        <f>[1]raw_orders!S322</f>
        <v>1086.8800000000001</v>
      </c>
      <c r="T322" s="5">
        <f t="shared" si="32"/>
        <v>10.8688</v>
      </c>
      <c r="U322" s="5">
        <f t="shared" si="33"/>
        <v>-25939.351296000001</v>
      </c>
      <c r="V322" s="5" t="str">
        <f t="shared" si="34"/>
        <v>Calculation Error</v>
      </c>
      <c r="W322" s="5" t="str">
        <f t="shared" si="35"/>
        <v>Calculation Error</v>
      </c>
      <c r="X322" s="5">
        <f t="shared" si="36"/>
        <v>61</v>
      </c>
      <c r="Y322" s="5">
        <f t="shared" si="37"/>
        <v>4</v>
      </c>
      <c r="Z322" s="5">
        <f t="shared" si="38"/>
        <v>2024</v>
      </c>
      <c r="AA322" t="str">
        <f t="shared" si="39"/>
        <v>Clean</v>
      </c>
    </row>
    <row r="323" spans="1:27" x14ac:dyDescent="0.3">
      <c r="A323" t="str">
        <f>[1]raw_orders!A323</f>
        <v>ORD-2024-10322</v>
      </c>
      <c r="B323" s="4" t="str">
        <f>IFERROR(DATEVALUE([1]raw_orders!B323), "Invalid Date")</f>
        <v>Invalid Date</v>
      </c>
      <c r="C323" s="4">
        <f>IFERROR(DATEVALUE([1]raw_orders!C323), "Invalid Date")</f>
        <v>45473</v>
      </c>
      <c r="D323" t="str">
        <f>[1]raw_orders!D323</f>
        <v>CUST-7821</v>
      </c>
      <c r="E323" t="str">
        <f>PROPER(TRIM([1]raw_orders!E323))</f>
        <v>Neha Gupta</v>
      </c>
      <c r="F323" t="str">
        <f>PROPER(TRIM([1]raw_orders!F323))</f>
        <v>Small Business</v>
      </c>
      <c r="G323" t="str">
        <f>IF(TRIM([1]raw_orders!G323)="","Unknown",PROPER(TRIM([1]raw_orders!G323)))</f>
        <v>West</v>
      </c>
      <c r="H323" t="str">
        <f>PROPER(TRIM([1]raw_orders!H323))</f>
        <v>Goa</v>
      </c>
      <c r="I323" t="str">
        <f>PROPER(TRIM([1]raw_orders!I323))</f>
        <v>Panaji</v>
      </c>
      <c r="J323" t="str">
        <f>PROPER(TRIM([1]raw_orders!J323))</f>
        <v>Technology</v>
      </c>
      <c r="K323" t="str">
        <f>PROPER(TRIM([1]raw_orders!K323))</f>
        <v>Accessories</v>
      </c>
      <c r="L323" t="str">
        <f>[1]raw_orders!L323</f>
        <v>Eco Accessories 220</v>
      </c>
      <c r="M323" t="str">
        <f>IF(TRIM([1]raw_orders!M323)="","Unknown",PROPER(TRIM([1]raw_orders!M323)))</f>
        <v>Same Day</v>
      </c>
      <c r="N323" s="5">
        <f>[1]raw_orders!N323</f>
        <v>4</v>
      </c>
      <c r="O323" s="5">
        <f>[1]raw_orders!O323</f>
        <v>674.82</v>
      </c>
      <c r="P323" s="5">
        <f>[1]raw_orders!P323</f>
        <v>0</v>
      </c>
      <c r="Q323" t="str">
        <f>PROPER(TRIM([1]raw_orders!T323))</f>
        <v>Failed</v>
      </c>
      <c r="R323" t="str">
        <f>PROPER(TRIM([1]raw_orders!U323))</f>
        <v>Cancelled</v>
      </c>
      <c r="S323" s="5">
        <f>[1]raw_orders!S323</f>
        <v>939.52</v>
      </c>
      <c r="T323" s="5">
        <f t="shared" ref="T323:T386" si="40">IF(AND(ISNUMBER(S323),S323&gt;=0,S323&lt;=1),S323,IF(S323="",0,IF(S323&lt;0,"INVALID - Negative",IF(S323&gt;1,S323/100,"INVALID"))))</f>
        <v>9.3951999999999991</v>
      </c>
      <c r="U323" s="5">
        <f t="shared" ref="U323:U386" si="41">IF(AND(ISNUMBER(N323),ISNUMBER(O323),OR(ISNUMBER(T323),T323=0)),N323*O323*(1-IF(ISNUMBER(T323),T323,0)),"Calculation Error")</f>
        <v>-22660.995456000001</v>
      </c>
      <c r="V323" s="5">
        <f t="shared" ref="V323:V386" si="42">IF(AND(ISNUMBER(U323),ISNUMBER(P323)),U323-P323,"Calculation Error")</f>
        <v>-22660.995456000001</v>
      </c>
      <c r="W323" s="5">
        <f t="shared" ref="W323:W386" si="43">IF(AND(ISNUMBER(V323),ISNUMBER(U323),U323&lt;&gt;0),V323/U323,IF(U323=0,"N/A","Calculation Error"))</f>
        <v>1</v>
      </c>
      <c r="X323" s="5" t="str">
        <f t="shared" ref="X323:X386" si="44">IF(AND(ISNUMBER(B323),ISNUMBER(C323)),C323-B323,"Invalid Date")</f>
        <v>Invalid Date</v>
      </c>
      <c r="Y323" s="5" t="e">
        <f t="shared" ref="Y323:Y386" si="45">MONTH(B323)</f>
        <v>#VALUE!</v>
      </c>
      <c r="Z323" s="5" t="e">
        <f t="shared" ref="Z323:Z386" si="46">YEAR(B323)</f>
        <v>#VALUE!</v>
      </c>
      <c r="AA323" t="str">
        <f t="shared" ref="AA323:AA386" si="47">IF(OR(G323="Unknown",M323="Unknown",T323="INVALID - Negative",T323="INVALID",X323&lt;0,R323="Duplicate ID - Review Required"),IF(OR(T323="INVALID - Negative",T323="INVALID",X323&lt;0,R323="Duplicate ID - Review Required"),"Invalid","Warning"),"Clean")</f>
        <v>Clean</v>
      </c>
    </row>
    <row r="324" spans="1:27" x14ac:dyDescent="0.3">
      <c r="A324" t="str">
        <f>[1]raw_orders!A324</f>
        <v>ORD-2024-10323</v>
      </c>
      <c r="B324" s="4">
        <f>IFERROR(DATEVALUE([1]raw_orders!B324), "Invalid Date")</f>
        <v>45608</v>
      </c>
      <c r="C324" s="4">
        <f>IFERROR(DATEVALUE([1]raw_orders!C324), "Invalid Date")</f>
        <v>45608</v>
      </c>
      <c r="D324" t="str">
        <f>[1]raw_orders!D324</f>
        <v>CUST-8579</v>
      </c>
      <c r="E324" t="str">
        <f>PROPER(TRIM([1]raw_orders!E324))</f>
        <v>Isha Nair</v>
      </c>
      <c r="F324" t="str">
        <f>PROPER(TRIM([1]raw_orders!F324))</f>
        <v>Consumer</v>
      </c>
      <c r="G324" t="str">
        <f>IF(TRIM([1]raw_orders!G324)="","Unknown",PROPER(TRIM([1]raw_orders!G324)))</f>
        <v>North</v>
      </c>
      <c r="H324" t="str">
        <f>PROPER(TRIM([1]raw_orders!H324))</f>
        <v>Uttar Pradesh</v>
      </c>
      <c r="I324" t="str">
        <f>PROPER(TRIM([1]raw_orders!I324))</f>
        <v>Noida</v>
      </c>
      <c r="J324" t="str">
        <f>PROPER(TRIM([1]raw_orders!J324))</f>
        <v>Technology</v>
      </c>
      <c r="K324" t="str">
        <f>PROPER(TRIM([1]raw_orders!K324))</f>
        <v>Phones</v>
      </c>
      <c r="L324" t="str">
        <f>[1]raw_orders!L324</f>
        <v>Max Phones 422</v>
      </c>
      <c r="M324" t="str">
        <f>IF(TRIM([1]raw_orders!M324)="","Unknown",PROPER(TRIM([1]raw_orders!M324)))</f>
        <v>Second Class</v>
      </c>
      <c r="N324" s="5">
        <f>[1]raw_orders!N324</f>
        <v>6</v>
      </c>
      <c r="O324" s="5">
        <f>[1]raw_orders!O324</f>
        <v>1369.48</v>
      </c>
      <c r="P324" s="5">
        <f>[1]raw_orders!P324</f>
        <v>0.15</v>
      </c>
      <c r="Q324" t="str">
        <f>PROPER(TRIM([1]raw_orders!T324))</f>
        <v>Paid</v>
      </c>
      <c r="R324" t="str">
        <f>PROPER(TRIM([1]raw_orders!U324))</f>
        <v>Completed</v>
      </c>
      <c r="S324" s="5">
        <f>[1]raw_orders!S324</f>
        <v>2960.72</v>
      </c>
      <c r="T324" s="5">
        <f t="shared" si="40"/>
        <v>29.607199999999999</v>
      </c>
      <c r="U324" s="5">
        <f t="shared" si="41"/>
        <v>-235061.92953600001</v>
      </c>
      <c r="V324" s="5">
        <f t="shared" si="42"/>
        <v>-235062.079536</v>
      </c>
      <c r="W324" s="5">
        <f t="shared" si="43"/>
        <v>1.000000638129706</v>
      </c>
      <c r="X324" s="5">
        <f t="shared" si="44"/>
        <v>0</v>
      </c>
      <c r="Y324" s="5">
        <f t="shared" si="45"/>
        <v>11</v>
      </c>
      <c r="Z324" s="5">
        <f t="shared" si="46"/>
        <v>2024</v>
      </c>
      <c r="AA324" t="str">
        <f t="shared" si="47"/>
        <v>Clean</v>
      </c>
    </row>
    <row r="325" spans="1:27" x14ac:dyDescent="0.3">
      <c r="A325" t="str">
        <f>[1]raw_orders!A325</f>
        <v>ORD-2024-10324</v>
      </c>
      <c r="B325" s="4">
        <f>IFERROR(DATEVALUE([1]raw_orders!B325), "Invalid Date")</f>
        <v>45347</v>
      </c>
      <c r="C325" s="4">
        <f>IFERROR(DATEVALUE([1]raw_orders!C325), "Invalid Date")</f>
        <v>45351</v>
      </c>
      <c r="D325" t="str">
        <f>[1]raw_orders!D325</f>
        <v>CUST-6909</v>
      </c>
      <c r="E325" t="str">
        <f>PROPER(TRIM([1]raw_orders!E325))</f>
        <v>Isha Nair</v>
      </c>
      <c r="F325" t="str">
        <f>PROPER(TRIM([1]raw_orders!F325))</f>
        <v>Small Business</v>
      </c>
      <c r="G325" t="str">
        <f>IF(TRIM([1]raw_orders!G325)="","Unknown",PROPER(TRIM([1]raw_orders!G325)))</f>
        <v>West</v>
      </c>
      <c r="H325" t="str">
        <f>PROPER(TRIM([1]raw_orders!H325))</f>
        <v>Goa</v>
      </c>
      <c r="I325" t="str">
        <f>PROPER(TRIM([1]raw_orders!I325))</f>
        <v>Panaji</v>
      </c>
      <c r="J325" t="str">
        <f>PROPER(TRIM([1]raw_orders!J325))</f>
        <v>Furniture</v>
      </c>
      <c r="K325" t="str">
        <f>PROPER(TRIM([1]raw_orders!K325))</f>
        <v>Furnishings</v>
      </c>
      <c r="L325" t="str">
        <f>[1]raw_orders!L325</f>
        <v>Eco Furnishings 897</v>
      </c>
      <c r="M325" t="str">
        <f>IF(TRIM([1]raw_orders!M325)="","Unknown",PROPER(TRIM([1]raw_orders!M325)))</f>
        <v>Standard Class</v>
      </c>
      <c r="N325" s="5">
        <f>[1]raw_orders!N325</f>
        <v>9</v>
      </c>
      <c r="O325" s="5">
        <f>[1]raw_orders!O325</f>
        <v>1331.46</v>
      </c>
      <c r="P325" s="5">
        <f>[1]raw_orders!P325</f>
        <v>0.15</v>
      </c>
      <c r="Q325" t="str">
        <f>PROPER(TRIM([1]raw_orders!T325))</f>
        <v>Paid</v>
      </c>
      <c r="R325" t="str">
        <f>PROPER(TRIM([1]raw_orders!U325))</f>
        <v>Completed</v>
      </c>
      <c r="S325" s="5">
        <f>[1]raw_orders!S325</f>
        <v>3706.36</v>
      </c>
      <c r="T325" s="5">
        <f t="shared" si="40"/>
        <v>37.063600000000001</v>
      </c>
      <c r="U325" s="5">
        <f t="shared" si="41"/>
        <v>-432155.16770399996</v>
      </c>
      <c r="V325" s="5">
        <f t="shared" si="42"/>
        <v>-432155.31770399999</v>
      </c>
      <c r="W325" s="5">
        <f t="shared" si="43"/>
        <v>1.0000003470975503</v>
      </c>
      <c r="X325" s="5">
        <f t="shared" si="44"/>
        <v>4</v>
      </c>
      <c r="Y325" s="5">
        <f t="shared" si="45"/>
        <v>2</v>
      </c>
      <c r="Z325" s="5">
        <f t="shared" si="46"/>
        <v>2024</v>
      </c>
      <c r="AA325" t="str">
        <f t="shared" si="47"/>
        <v>Clean</v>
      </c>
    </row>
    <row r="326" spans="1:27" x14ac:dyDescent="0.3">
      <c r="A326" t="str">
        <f>[1]raw_orders!A326</f>
        <v>ORD-2025-10325</v>
      </c>
      <c r="B326" s="4">
        <f>IFERROR(DATEVALUE([1]raw_orders!B326), "Invalid Date")</f>
        <v>45869</v>
      </c>
      <c r="C326" s="4">
        <f>IFERROR(DATEVALUE([1]raw_orders!C326), "Invalid Date")</f>
        <v>45871</v>
      </c>
      <c r="D326" t="str">
        <f>[1]raw_orders!D326</f>
        <v>CUST-7212</v>
      </c>
      <c r="E326" t="str">
        <f>PROPER(TRIM([1]raw_orders!E326))</f>
        <v>Rohan Mehta</v>
      </c>
      <c r="F326" t="str">
        <f>PROPER(TRIM([1]raw_orders!F326))</f>
        <v>Home Office</v>
      </c>
      <c r="G326" t="str">
        <f>IF(TRIM([1]raw_orders!G326)="","Unknown",PROPER(TRIM([1]raw_orders!G326)))</f>
        <v>South</v>
      </c>
      <c r="H326" t="str">
        <f>PROPER(TRIM([1]raw_orders!H326))</f>
        <v>Andhra Pradesh</v>
      </c>
      <c r="I326" t="str">
        <f>PROPER(TRIM([1]raw_orders!I326))</f>
        <v>Vijayawada</v>
      </c>
      <c r="J326" t="str">
        <f>PROPER(TRIM([1]raw_orders!J326))</f>
        <v>Office Supplies</v>
      </c>
      <c r="K326" t="str">
        <f>PROPER(TRIM([1]raw_orders!K326))</f>
        <v>Labels</v>
      </c>
      <c r="L326" t="str">
        <f>[1]raw_orders!L326</f>
        <v>Basic Labels 102</v>
      </c>
      <c r="M326" t="str">
        <f>IF(TRIM([1]raw_orders!M326)="","Unknown",PROPER(TRIM([1]raw_orders!M326)))</f>
        <v>Same Day</v>
      </c>
      <c r="N326" s="5">
        <f>[1]raw_orders!N326</f>
        <v>1</v>
      </c>
      <c r="O326" s="5">
        <f>[1]raw_orders!O326</f>
        <v>1947.88</v>
      </c>
      <c r="P326" s="5">
        <f>[1]raw_orders!P326</f>
        <v>0.15</v>
      </c>
      <c r="Q326" t="str">
        <f>PROPER(TRIM([1]raw_orders!T326))</f>
        <v>Paid</v>
      </c>
      <c r="R326" t="str">
        <f>PROPER(TRIM([1]raw_orders!U326))</f>
        <v>Returned</v>
      </c>
      <c r="S326" s="5">
        <f>[1]raw_orders!S326</f>
        <v>300.89999999999998</v>
      </c>
      <c r="T326" s="5">
        <f t="shared" si="40"/>
        <v>3.0089999999999999</v>
      </c>
      <c r="U326" s="5">
        <f t="shared" si="41"/>
        <v>-3913.2909199999999</v>
      </c>
      <c r="V326" s="5">
        <f t="shared" si="42"/>
        <v>-3913.44092</v>
      </c>
      <c r="W326" s="5">
        <f t="shared" si="43"/>
        <v>1.000038330909474</v>
      </c>
      <c r="X326" s="5">
        <f t="shared" si="44"/>
        <v>2</v>
      </c>
      <c r="Y326" s="5">
        <f t="shared" si="45"/>
        <v>7</v>
      </c>
      <c r="Z326" s="5">
        <f t="shared" si="46"/>
        <v>2025</v>
      </c>
      <c r="AA326" t="str">
        <f t="shared" si="47"/>
        <v>Clean</v>
      </c>
    </row>
    <row r="327" spans="1:27" x14ac:dyDescent="0.3">
      <c r="A327" t="str">
        <f>[1]raw_orders!A327</f>
        <v>ORD-2025-10326</v>
      </c>
      <c r="B327" s="4" t="str">
        <f>IFERROR(DATEVALUE([1]raw_orders!B327), "Invalid Date")</f>
        <v>Invalid Date</v>
      </c>
      <c r="C327" s="4">
        <f>IFERROR(DATEVALUE([1]raw_orders!C327), "Invalid Date")</f>
        <v>45922</v>
      </c>
      <c r="D327" t="str">
        <f>[1]raw_orders!D327</f>
        <v>CUST-7980</v>
      </c>
      <c r="E327" t="str">
        <f>PROPER(TRIM([1]raw_orders!E327))</f>
        <v>Sneha Kapoor</v>
      </c>
      <c r="F327" t="str">
        <f>PROPER(TRIM([1]raw_orders!F327))</f>
        <v>Home Office</v>
      </c>
      <c r="G327" t="str">
        <f>IF(TRIM([1]raw_orders!G327)="","Unknown",PROPER(TRIM([1]raw_orders!G327)))</f>
        <v>East</v>
      </c>
      <c r="H327" t="str">
        <f>PROPER(TRIM([1]raw_orders!H327))</f>
        <v>West Bengal</v>
      </c>
      <c r="I327" t="str">
        <f>PROPER(TRIM([1]raw_orders!I327))</f>
        <v>Kolkata</v>
      </c>
      <c r="J327" t="str">
        <f>PROPER(TRIM([1]raw_orders!J327))</f>
        <v>Technology</v>
      </c>
      <c r="K327" t="str">
        <f>PROPER(TRIM([1]raw_orders!K327))</f>
        <v>Copiers</v>
      </c>
      <c r="L327" t="str">
        <f>[1]raw_orders!L327</f>
        <v>Prime Copiers 170</v>
      </c>
      <c r="M327" t="str">
        <f>IF(TRIM([1]raw_orders!M327)="","Unknown",PROPER(TRIM([1]raw_orders!M327)))</f>
        <v>Second Class</v>
      </c>
      <c r="N327" s="5">
        <f>[1]raw_orders!N327</f>
        <v>5</v>
      </c>
      <c r="O327" s="5">
        <f>[1]raw_orders!O327</f>
        <v>3671.2</v>
      </c>
      <c r="P327" s="5">
        <f>[1]raw_orders!P327</f>
        <v>0.15</v>
      </c>
      <c r="Q327" t="str">
        <f>PROPER(TRIM([1]raw_orders!T327))</f>
        <v>Paid</v>
      </c>
      <c r="R327" t="str">
        <f>PROPER(TRIM([1]raw_orders!U327))</f>
        <v>Completed</v>
      </c>
      <c r="S327" s="5">
        <f>[1]raw_orders!S327</f>
        <v>3694.08</v>
      </c>
      <c r="T327" s="5">
        <f t="shared" si="40"/>
        <v>36.940799999999996</v>
      </c>
      <c r="U327" s="5">
        <f t="shared" si="41"/>
        <v>-659729.32479999994</v>
      </c>
      <c r="V327" s="5">
        <f t="shared" si="42"/>
        <v>-659729.47479999997</v>
      </c>
      <c r="W327" s="5">
        <f t="shared" si="43"/>
        <v>1.0000002273659732</v>
      </c>
      <c r="X327" s="5" t="str">
        <f t="shared" si="44"/>
        <v>Invalid Date</v>
      </c>
      <c r="Y327" s="5" t="e">
        <f t="shared" si="45"/>
        <v>#VALUE!</v>
      </c>
      <c r="Z327" s="5" t="e">
        <f t="shared" si="46"/>
        <v>#VALUE!</v>
      </c>
      <c r="AA327" t="str">
        <f t="shared" si="47"/>
        <v>Clean</v>
      </c>
    </row>
    <row r="328" spans="1:27" x14ac:dyDescent="0.3">
      <c r="A328" t="str">
        <f>[1]raw_orders!A328</f>
        <v>ORD-2025-10327</v>
      </c>
      <c r="B328" s="4">
        <f>IFERROR(DATEVALUE([1]raw_orders!B328), "Invalid Date")</f>
        <v>45860</v>
      </c>
      <c r="C328" s="4" t="str">
        <f>IFERROR(DATEVALUE([1]raw_orders!C328), "Invalid Date")</f>
        <v>Invalid Date</v>
      </c>
      <c r="D328" t="str">
        <f>[1]raw_orders!D328</f>
        <v>CUST-1966</v>
      </c>
      <c r="E328" t="str">
        <f>PROPER(TRIM([1]raw_orders!E328))</f>
        <v>Sneha Kapoor</v>
      </c>
      <c r="F328" t="str">
        <f>PROPER(TRIM([1]raw_orders!F328))</f>
        <v>Corporate</v>
      </c>
      <c r="G328" t="str">
        <f>IF(TRIM([1]raw_orders!G328)="","Unknown",PROPER(TRIM([1]raw_orders!G328)))</f>
        <v>East</v>
      </c>
      <c r="H328" t="str">
        <f>PROPER(TRIM([1]raw_orders!H328))</f>
        <v>Jharkhand</v>
      </c>
      <c r="I328" t="str">
        <f>PROPER(TRIM([1]raw_orders!I328))</f>
        <v>Ranchi</v>
      </c>
      <c r="J328" t="str">
        <f>PROPER(TRIM([1]raw_orders!J328))</f>
        <v>Furniture</v>
      </c>
      <c r="K328" t="str">
        <f>PROPER(TRIM([1]raw_orders!K328))</f>
        <v>Furnishings</v>
      </c>
      <c r="L328" t="str">
        <f>[1]raw_orders!L328</f>
        <v>Smart Furnishings 533</v>
      </c>
      <c r="M328" t="str">
        <f>IF(TRIM([1]raw_orders!M328)="","Unknown",PROPER(TRIM([1]raw_orders!M328)))</f>
        <v>Same Day</v>
      </c>
      <c r="N328" s="5">
        <f>[1]raw_orders!N328</f>
        <v>5</v>
      </c>
      <c r="O328" s="5">
        <f>[1]raw_orders!O328</f>
        <v>3187.05</v>
      </c>
      <c r="P328" s="5">
        <f>[1]raw_orders!P328</f>
        <v>0.05</v>
      </c>
      <c r="Q328" t="str">
        <f>PROPER(TRIM([1]raw_orders!T328))</f>
        <v>Paid</v>
      </c>
      <c r="R328" t="str">
        <f>PROPER(TRIM([1]raw_orders!U328))</f>
        <v>Completed</v>
      </c>
      <c r="S328" s="5">
        <f>[1]raw_orders!S328</f>
        <v>3902.77</v>
      </c>
      <c r="T328" s="5">
        <f t="shared" si="40"/>
        <v>39.027700000000003</v>
      </c>
      <c r="U328" s="5">
        <f t="shared" si="41"/>
        <v>-605980.90642500005</v>
      </c>
      <c r="V328" s="5">
        <f t="shared" si="42"/>
        <v>-605980.9564250001</v>
      </c>
      <c r="W328" s="5">
        <f t="shared" si="43"/>
        <v>1.0000000825108506</v>
      </c>
      <c r="X328" s="5" t="str">
        <f t="shared" si="44"/>
        <v>Invalid Date</v>
      </c>
      <c r="Y328" s="5">
        <f t="shared" si="45"/>
        <v>7</v>
      </c>
      <c r="Z328" s="5">
        <f t="shared" si="46"/>
        <v>2025</v>
      </c>
      <c r="AA328" t="str">
        <f t="shared" si="47"/>
        <v>Clean</v>
      </c>
    </row>
    <row r="329" spans="1:27" x14ac:dyDescent="0.3">
      <c r="A329" t="str">
        <f>[1]raw_orders!A329</f>
        <v>ORD-2024-10328</v>
      </c>
      <c r="B329" s="4">
        <f>IFERROR(DATEVALUE([1]raw_orders!B329), "Invalid Date")</f>
        <v>45497</v>
      </c>
      <c r="C329" s="4">
        <f>IFERROR(DATEVALUE([1]raw_orders!C329), "Invalid Date")</f>
        <v>45500</v>
      </c>
      <c r="D329" t="str">
        <f>[1]raw_orders!D329</f>
        <v>CUST-6163</v>
      </c>
      <c r="E329" t="str">
        <f>PROPER(TRIM([1]raw_orders!E329))</f>
        <v>Isha Nair</v>
      </c>
      <c r="F329" t="str">
        <f>PROPER(TRIM([1]raw_orders!F329))</f>
        <v>Consumer</v>
      </c>
      <c r="G329" t="str">
        <f>IF(TRIM([1]raw_orders!G329)="","Unknown",PROPER(TRIM([1]raw_orders!G329)))</f>
        <v>West</v>
      </c>
      <c r="H329" t="str">
        <f>PROPER(TRIM([1]raw_orders!H329))</f>
        <v>Rajasthan</v>
      </c>
      <c r="I329" t="str">
        <f>PROPER(TRIM([1]raw_orders!I329))</f>
        <v>Udaipur</v>
      </c>
      <c r="J329" t="str">
        <f>PROPER(TRIM([1]raw_orders!J329))</f>
        <v>Technology</v>
      </c>
      <c r="K329" t="str">
        <f>PROPER(TRIM([1]raw_orders!K329))</f>
        <v>Accessories</v>
      </c>
      <c r="L329" t="str">
        <f>[1]raw_orders!L329</f>
        <v>Classic Accessories 489</v>
      </c>
      <c r="M329" t="str">
        <f>IF(TRIM([1]raw_orders!M329)="","Unknown",PROPER(TRIM([1]raw_orders!M329)))</f>
        <v>Second Class</v>
      </c>
      <c r="N329" s="5">
        <f>[1]raw_orders!N329</f>
        <v>3</v>
      </c>
      <c r="O329" s="5">
        <f>[1]raw_orders!O329</f>
        <v>1834.55</v>
      </c>
      <c r="P329" s="5">
        <f>[1]raw_orders!P329</f>
        <v>0.2</v>
      </c>
      <c r="Q329" t="str">
        <f>PROPER(TRIM([1]raw_orders!T329))</f>
        <v>Pending</v>
      </c>
      <c r="R329" t="str">
        <f>PROPER(TRIM([1]raw_orders!U329))</f>
        <v>Cancelled</v>
      </c>
      <c r="S329" s="5">
        <f>[1]raw_orders!S329</f>
        <v>1408.98</v>
      </c>
      <c r="T329" s="5">
        <f t="shared" si="40"/>
        <v>14.0898</v>
      </c>
      <c r="U329" s="5">
        <f t="shared" si="41"/>
        <v>-72041.677769999995</v>
      </c>
      <c r="V329" s="5">
        <f t="shared" si="42"/>
        <v>-72041.877769999992</v>
      </c>
      <c r="W329" s="5">
        <f t="shared" si="43"/>
        <v>1.0000027761707693</v>
      </c>
      <c r="X329" s="5">
        <f t="shared" si="44"/>
        <v>3</v>
      </c>
      <c r="Y329" s="5">
        <f t="shared" si="45"/>
        <v>7</v>
      </c>
      <c r="Z329" s="5">
        <f t="shared" si="46"/>
        <v>2024</v>
      </c>
      <c r="AA329" t="str">
        <f t="shared" si="47"/>
        <v>Clean</v>
      </c>
    </row>
    <row r="330" spans="1:27" x14ac:dyDescent="0.3">
      <c r="A330" t="str">
        <f>[1]raw_orders!A330</f>
        <v>ORD-2025-10329</v>
      </c>
      <c r="B330" s="4">
        <f>IFERROR(DATEVALUE([1]raw_orders!B330), "Invalid Date")</f>
        <v>45806</v>
      </c>
      <c r="C330" s="4">
        <f>IFERROR(DATEVALUE([1]raw_orders!C330), "Invalid Date")</f>
        <v>45812</v>
      </c>
      <c r="D330" t="str">
        <f>[1]raw_orders!D330</f>
        <v>CUST-7239</v>
      </c>
      <c r="E330" t="str">
        <f>PROPER(TRIM([1]raw_orders!E330))</f>
        <v>Diya Patel</v>
      </c>
      <c r="F330" t="str">
        <f>PROPER(TRIM([1]raw_orders!F330))</f>
        <v>Consumer</v>
      </c>
      <c r="G330" t="str">
        <f>IF(TRIM([1]raw_orders!G330)="","Unknown",PROPER(TRIM([1]raw_orders!G330)))</f>
        <v>West</v>
      </c>
      <c r="H330" t="str">
        <f>PROPER(TRIM([1]raw_orders!H330))</f>
        <v>Maharashtra</v>
      </c>
      <c r="I330" t="str">
        <f>PROPER(TRIM([1]raw_orders!I330))</f>
        <v>Mumbai</v>
      </c>
      <c r="J330" t="str">
        <f>PROPER(TRIM([1]raw_orders!J330))</f>
        <v>Office Supplies</v>
      </c>
      <c r="K330" t="str">
        <f>PROPER(TRIM([1]raw_orders!K330))</f>
        <v>Storage</v>
      </c>
      <c r="L330" t="str">
        <f>[1]raw_orders!L330</f>
        <v>Smart Storage 439</v>
      </c>
      <c r="M330" t="str">
        <f>IF(TRIM([1]raw_orders!M330)="","Unknown",PROPER(TRIM([1]raw_orders!M330)))</f>
        <v>First Class</v>
      </c>
      <c r="N330" s="5">
        <f>[1]raw_orders!N330</f>
        <v>6</v>
      </c>
      <c r="O330" s="5">
        <f>[1]raw_orders!O330</f>
        <v>3100.68</v>
      </c>
      <c r="P330" s="5">
        <f>[1]raw_orders!P330</f>
        <v>0</v>
      </c>
      <c r="Q330" t="str">
        <f>PROPER(TRIM([1]raw_orders!T330))</f>
        <v>Paid</v>
      </c>
      <c r="R330" t="str">
        <f>PROPER(TRIM([1]raw_orders!U330))</f>
        <v>Completed</v>
      </c>
      <c r="S330" s="5">
        <f>[1]raw_orders!S330</f>
        <v>2769.78</v>
      </c>
      <c r="T330" s="5">
        <f t="shared" si="40"/>
        <v>27.697800000000001</v>
      </c>
      <c r="U330" s="5">
        <f t="shared" si="41"/>
        <v>-496688.00702399999</v>
      </c>
      <c r="V330" s="5">
        <f t="shared" si="42"/>
        <v>-496688.00702399999</v>
      </c>
      <c r="W330" s="5">
        <f t="shared" si="43"/>
        <v>1</v>
      </c>
      <c r="X330" s="5">
        <f t="shared" si="44"/>
        <v>6</v>
      </c>
      <c r="Y330" s="5">
        <f t="shared" si="45"/>
        <v>5</v>
      </c>
      <c r="Z330" s="5">
        <f t="shared" si="46"/>
        <v>2025</v>
      </c>
      <c r="AA330" t="str">
        <f t="shared" si="47"/>
        <v>Clean</v>
      </c>
    </row>
    <row r="331" spans="1:27" x14ac:dyDescent="0.3">
      <c r="A331" t="str">
        <f>[1]raw_orders!A331</f>
        <v>ORD-2025-10330</v>
      </c>
      <c r="B331" s="4">
        <f>IFERROR(DATEVALUE([1]raw_orders!B331), "Invalid Date")</f>
        <v>45789</v>
      </c>
      <c r="C331" s="4">
        <f>IFERROR(DATEVALUE([1]raw_orders!C331), "Invalid Date")</f>
        <v>45795</v>
      </c>
      <c r="D331" t="str">
        <f>[1]raw_orders!D331</f>
        <v>CUST-9718</v>
      </c>
      <c r="E331" t="str">
        <f>PROPER(TRIM([1]raw_orders!E331))</f>
        <v>Neha Gupta</v>
      </c>
      <c r="F331" t="str">
        <f>PROPER(TRIM([1]raw_orders!F331))</f>
        <v>Small Business</v>
      </c>
      <c r="G331" t="str">
        <f>IF(TRIM([1]raw_orders!G331)="","Unknown",PROPER(TRIM([1]raw_orders!G331)))</f>
        <v>West</v>
      </c>
      <c r="H331" t="str">
        <f>PROPER(TRIM([1]raw_orders!H331))</f>
        <v>Maharashtra</v>
      </c>
      <c r="I331" t="str">
        <f>PROPER(TRIM([1]raw_orders!I331))</f>
        <v>Mumbai</v>
      </c>
      <c r="J331" t="str">
        <f>PROPER(TRIM([1]raw_orders!J331))</f>
        <v>Office Supplies</v>
      </c>
      <c r="K331" t="str">
        <f>PROPER(TRIM([1]raw_orders!K331))</f>
        <v>Storage</v>
      </c>
      <c r="L331" t="str">
        <f>[1]raw_orders!L331</f>
        <v>Prime Storage 232</v>
      </c>
      <c r="M331" t="str">
        <f>IF(TRIM([1]raw_orders!M331)="","Unknown",PROPER(TRIM([1]raw_orders!M331)))</f>
        <v>Standard Class</v>
      </c>
      <c r="N331" s="5">
        <f>[1]raw_orders!N331</f>
        <v>4</v>
      </c>
      <c r="O331" s="5">
        <f>[1]raw_orders!O331</f>
        <v>4053.03</v>
      </c>
      <c r="P331" s="5">
        <f>[1]raw_orders!P331</f>
        <v>0.05</v>
      </c>
      <c r="Q331" t="str">
        <f>PROPER(TRIM([1]raw_orders!T331))</f>
        <v>Paid</v>
      </c>
      <c r="R331" t="str">
        <f>PROPER(TRIM([1]raw_orders!U331))</f>
        <v>Completed</v>
      </c>
      <c r="S331" s="5">
        <f>[1]raw_orders!S331</f>
        <v>6751.09</v>
      </c>
      <c r="T331" s="5">
        <f t="shared" si="40"/>
        <v>67.510900000000007</v>
      </c>
      <c r="U331" s="5">
        <f t="shared" si="41"/>
        <v>-1078282.6921080002</v>
      </c>
      <c r="V331" s="5">
        <f t="shared" si="42"/>
        <v>-1078282.7421080002</v>
      </c>
      <c r="W331" s="5">
        <f t="shared" si="43"/>
        <v>1.0000000463700294</v>
      </c>
      <c r="X331" s="5">
        <f t="shared" si="44"/>
        <v>6</v>
      </c>
      <c r="Y331" s="5">
        <f t="shared" si="45"/>
        <v>5</v>
      </c>
      <c r="Z331" s="5">
        <f t="shared" si="46"/>
        <v>2025</v>
      </c>
      <c r="AA331" t="str">
        <f t="shared" si="47"/>
        <v>Clean</v>
      </c>
    </row>
    <row r="332" spans="1:27" x14ac:dyDescent="0.3">
      <c r="A332" t="str">
        <f>[1]raw_orders!A332</f>
        <v>ORD-2024-10331</v>
      </c>
      <c r="B332" s="4" t="str">
        <f>IFERROR(DATEVALUE([1]raw_orders!B332), "Invalid Date")</f>
        <v>Invalid Date</v>
      </c>
      <c r="C332" s="4" t="str">
        <f>IFERROR(DATEVALUE([1]raw_orders!C332), "Invalid Date")</f>
        <v>Invalid Date</v>
      </c>
      <c r="D332" t="str">
        <f>[1]raw_orders!D332</f>
        <v>CUST-1116</v>
      </c>
      <c r="E332" t="str">
        <f>PROPER(TRIM([1]raw_orders!E332))</f>
        <v>Arjun Bose</v>
      </c>
      <c r="F332" t="str">
        <f>PROPER(TRIM([1]raw_orders!F332))</f>
        <v>Home Office</v>
      </c>
      <c r="G332" t="str">
        <f>IF(TRIM([1]raw_orders!G332)="","Unknown",PROPER(TRIM([1]raw_orders!G332)))</f>
        <v>North</v>
      </c>
      <c r="H332" t="str">
        <f>PROPER(TRIM([1]raw_orders!H332))</f>
        <v>Punjab</v>
      </c>
      <c r="I332" t="str">
        <f>PROPER(TRIM([1]raw_orders!I332))</f>
        <v>Ludhiana</v>
      </c>
      <c r="J332" t="str">
        <f>PROPER(TRIM([1]raw_orders!J332))</f>
        <v>Technology</v>
      </c>
      <c r="K332" t="str">
        <f>PROPER(TRIM([1]raw_orders!K332))</f>
        <v>Accessories</v>
      </c>
      <c r="L332" t="str">
        <f>[1]raw_orders!L332</f>
        <v>Prime Accessories 335</v>
      </c>
      <c r="M332" t="str">
        <f>IF(TRIM([1]raw_orders!M332)="","Unknown",PROPER(TRIM([1]raw_orders!M332)))</f>
        <v>Same Day</v>
      </c>
      <c r="N332" s="5">
        <f>[1]raw_orders!N332</f>
        <v>1</v>
      </c>
      <c r="O332" s="5">
        <f>[1]raw_orders!O332</f>
        <v>783.09</v>
      </c>
      <c r="P332" s="5">
        <f>[1]raw_orders!P332</f>
        <v>0</v>
      </c>
      <c r="Q332" t="str">
        <f>PROPER(TRIM([1]raw_orders!T332))</f>
        <v>Failed</v>
      </c>
      <c r="R332" t="str">
        <f>PROPER(TRIM([1]raw_orders!U332))</f>
        <v>Cancelled</v>
      </c>
      <c r="S332" s="5">
        <f>[1]raw_orders!S332</f>
        <v>279.2</v>
      </c>
      <c r="T332" s="5">
        <f t="shared" si="40"/>
        <v>2.7919999999999998</v>
      </c>
      <c r="U332" s="5">
        <f t="shared" si="41"/>
        <v>-1403.29728</v>
      </c>
      <c r="V332" s="5">
        <f t="shared" si="42"/>
        <v>-1403.29728</v>
      </c>
      <c r="W332" s="5">
        <f t="shared" si="43"/>
        <v>1</v>
      </c>
      <c r="X332" s="5" t="str">
        <f t="shared" si="44"/>
        <v>Invalid Date</v>
      </c>
      <c r="Y332" s="5" t="e">
        <f t="shared" si="45"/>
        <v>#VALUE!</v>
      </c>
      <c r="Z332" s="5" t="e">
        <f t="shared" si="46"/>
        <v>#VALUE!</v>
      </c>
      <c r="AA332" t="str">
        <f t="shared" si="47"/>
        <v>Clean</v>
      </c>
    </row>
    <row r="333" spans="1:27" x14ac:dyDescent="0.3">
      <c r="A333" t="str">
        <f>[1]raw_orders!A333</f>
        <v>ORD-2024-10332</v>
      </c>
      <c r="B333" s="4">
        <f>IFERROR(DATEVALUE([1]raw_orders!B333), "Invalid Date")</f>
        <v>45630</v>
      </c>
      <c r="C333" s="4">
        <f>IFERROR(DATEVALUE([1]raw_orders!C333), "Invalid Date")</f>
        <v>45632</v>
      </c>
      <c r="D333" t="str">
        <f>[1]raw_orders!D333</f>
        <v>CUST-9346</v>
      </c>
      <c r="E333" t="str">
        <f>PROPER(TRIM([1]raw_orders!E333))</f>
        <v>Sneha Kapoor</v>
      </c>
      <c r="F333" t="str">
        <f>PROPER(TRIM([1]raw_orders!F333))</f>
        <v>Home Office</v>
      </c>
      <c r="G333" t="str">
        <f>IF(TRIM([1]raw_orders!G333)="","Unknown",PROPER(TRIM([1]raw_orders!G333)))</f>
        <v>East</v>
      </c>
      <c r="H333" t="str">
        <f>PROPER(TRIM([1]raw_orders!H333))</f>
        <v>Odisha</v>
      </c>
      <c r="I333" t="str">
        <f>PROPER(TRIM([1]raw_orders!I333))</f>
        <v>Bhubaneswar</v>
      </c>
      <c r="J333" t="str">
        <f>PROPER(TRIM([1]raw_orders!J333))</f>
        <v>Office Supplies</v>
      </c>
      <c r="K333" t="str">
        <f>PROPER(TRIM([1]raw_orders!K333))</f>
        <v>Binders</v>
      </c>
      <c r="L333" t="str">
        <f>[1]raw_orders!L333</f>
        <v>Smart Binders 939</v>
      </c>
      <c r="M333" t="str">
        <f>IF(TRIM([1]raw_orders!M333)="","Unknown",PROPER(TRIM([1]raw_orders!M333)))</f>
        <v>Second Class</v>
      </c>
      <c r="N333" s="5">
        <f>[1]raw_orders!N333</f>
        <v>4</v>
      </c>
      <c r="O333" s="5">
        <f>[1]raw_orders!O333</f>
        <v>2685.66</v>
      </c>
      <c r="P333" s="5">
        <f>[1]raw_orders!P333</f>
        <v>0</v>
      </c>
      <c r="Q333" t="str">
        <f>PROPER(TRIM([1]raw_orders!T333))</f>
        <v>Paid</v>
      </c>
      <c r="R333" t="str">
        <f>PROPER(TRIM([1]raw_orders!U333))</f>
        <v>Returned</v>
      </c>
      <c r="S333" s="5">
        <f>[1]raw_orders!S333</f>
        <v>4265.2700000000004</v>
      </c>
      <c r="T333" s="5">
        <f t="shared" si="40"/>
        <v>42.652700000000003</v>
      </c>
      <c r="U333" s="5">
        <f t="shared" si="41"/>
        <v>-447459.961128</v>
      </c>
      <c r="V333" s="5">
        <f t="shared" si="42"/>
        <v>-447459.961128</v>
      </c>
      <c r="W333" s="5">
        <f t="shared" si="43"/>
        <v>1</v>
      </c>
      <c r="X333" s="5">
        <f t="shared" si="44"/>
        <v>2</v>
      </c>
      <c r="Y333" s="5">
        <f t="shared" si="45"/>
        <v>12</v>
      </c>
      <c r="Z333" s="5">
        <f t="shared" si="46"/>
        <v>2024</v>
      </c>
      <c r="AA333" t="str">
        <f t="shared" si="47"/>
        <v>Clean</v>
      </c>
    </row>
    <row r="334" spans="1:27" x14ac:dyDescent="0.3">
      <c r="A334" t="str">
        <f>[1]raw_orders!A334</f>
        <v>ORD-2025-10333</v>
      </c>
      <c r="B334" s="4">
        <f>IFERROR(DATEVALUE([1]raw_orders!B334), "Invalid Date")</f>
        <v>45804</v>
      </c>
      <c r="C334" s="4">
        <f>IFERROR(DATEVALUE([1]raw_orders!C334), "Invalid Date")</f>
        <v>45805</v>
      </c>
      <c r="D334" t="str">
        <f>[1]raw_orders!D334</f>
        <v>CUST-5332</v>
      </c>
      <c r="E334" t="str">
        <f>PROPER(TRIM([1]raw_orders!E334))</f>
        <v>Aarav Sharma</v>
      </c>
      <c r="F334" t="str">
        <f>PROPER(TRIM([1]raw_orders!F334))</f>
        <v>Consumer</v>
      </c>
      <c r="G334" t="str">
        <f>IF(TRIM([1]raw_orders!G334)="","Unknown",PROPER(TRIM([1]raw_orders!G334)))</f>
        <v>South</v>
      </c>
      <c r="H334" t="str">
        <f>PROPER(TRIM([1]raw_orders!H334))</f>
        <v>Andhra Pradesh</v>
      </c>
      <c r="I334" t="str">
        <f>PROPER(TRIM([1]raw_orders!I334))</f>
        <v>Vijayawada</v>
      </c>
      <c r="J334" t="str">
        <f>PROPER(TRIM([1]raw_orders!J334))</f>
        <v>Technology</v>
      </c>
      <c r="K334" t="str">
        <f>PROPER(TRIM([1]raw_orders!K334))</f>
        <v>Machines</v>
      </c>
      <c r="L334" t="str">
        <f>[1]raw_orders!L334</f>
        <v>Basic Machines 601</v>
      </c>
      <c r="M334" t="str">
        <f>IF(TRIM([1]raw_orders!M334)="","Unknown",PROPER(TRIM([1]raw_orders!M334)))</f>
        <v>Second Class</v>
      </c>
      <c r="N334" s="5">
        <f>[1]raw_orders!N334</f>
        <v>2</v>
      </c>
      <c r="O334" s="5">
        <f>[1]raw_orders!O334</f>
        <v>3911.96</v>
      </c>
      <c r="P334" s="5">
        <f>[1]raw_orders!P334</f>
        <v>0</v>
      </c>
      <c r="Q334" t="str">
        <f>PROPER(TRIM([1]raw_orders!T334))</f>
        <v>Paid</v>
      </c>
      <c r="R334" t="str">
        <f>PROPER(TRIM([1]raw_orders!U334))</f>
        <v>Completed</v>
      </c>
      <c r="S334" s="5">
        <f>[1]raw_orders!S334</f>
        <v>1789.29</v>
      </c>
      <c r="T334" s="5">
        <f t="shared" si="40"/>
        <v>17.892900000000001</v>
      </c>
      <c r="U334" s="5">
        <f t="shared" si="41"/>
        <v>-132168.698168</v>
      </c>
      <c r="V334" s="5">
        <f t="shared" si="42"/>
        <v>-132168.698168</v>
      </c>
      <c r="W334" s="5">
        <f t="shared" si="43"/>
        <v>1</v>
      </c>
      <c r="X334" s="5">
        <f t="shared" si="44"/>
        <v>1</v>
      </c>
      <c r="Y334" s="5">
        <f t="shared" si="45"/>
        <v>5</v>
      </c>
      <c r="Z334" s="5">
        <f t="shared" si="46"/>
        <v>2025</v>
      </c>
      <c r="AA334" t="str">
        <f t="shared" si="47"/>
        <v>Clean</v>
      </c>
    </row>
    <row r="335" spans="1:27" x14ac:dyDescent="0.3">
      <c r="A335" t="str">
        <f>[1]raw_orders!A335</f>
        <v>ORD-2025-10334</v>
      </c>
      <c r="B335" s="4">
        <f>IFERROR(DATEVALUE([1]raw_orders!B335), "Invalid Date")</f>
        <v>45830</v>
      </c>
      <c r="C335" s="4">
        <f>IFERROR(DATEVALUE([1]raw_orders!C335), "Invalid Date")</f>
        <v>45835</v>
      </c>
      <c r="D335" t="str">
        <f>[1]raw_orders!D335</f>
        <v>CUST-8081</v>
      </c>
      <c r="E335" t="str">
        <f>PROPER(TRIM([1]raw_orders!E335))</f>
        <v>Rohan Mehta</v>
      </c>
      <c r="F335" t="str">
        <f>PROPER(TRIM([1]raw_orders!F335))</f>
        <v>Home Office</v>
      </c>
      <c r="G335" t="str">
        <f>IF(TRIM([1]raw_orders!G335)="","Unknown",PROPER(TRIM([1]raw_orders!G335)))</f>
        <v>Unknown</v>
      </c>
      <c r="H335" t="str">
        <f>PROPER(TRIM([1]raw_orders!H335))</f>
        <v>Delhi</v>
      </c>
      <c r="I335" t="str">
        <f>PROPER(TRIM([1]raw_orders!I335))</f>
        <v>New Delhi</v>
      </c>
      <c r="J335" t="str">
        <f>PROPER(TRIM([1]raw_orders!J335))</f>
        <v>Technology</v>
      </c>
      <c r="K335" t="str">
        <f>PROPER(TRIM([1]raw_orders!K335))</f>
        <v>Phones</v>
      </c>
      <c r="L335" t="str">
        <f>[1]raw_orders!L335</f>
        <v>Pro Phones 968</v>
      </c>
      <c r="M335" t="str">
        <f>IF(TRIM([1]raw_orders!M335)="","Unknown",PROPER(TRIM([1]raw_orders!M335)))</f>
        <v>First Class</v>
      </c>
      <c r="N335" s="5">
        <f>[1]raw_orders!N335</f>
        <v>2</v>
      </c>
      <c r="O335" s="5">
        <f>[1]raw_orders!O335</f>
        <v>1468.05</v>
      </c>
      <c r="P335" s="5">
        <f>[1]raw_orders!P335</f>
        <v>0</v>
      </c>
      <c r="Q335" t="str">
        <f>PROPER(TRIM([1]raw_orders!T335))</f>
        <v>Paid</v>
      </c>
      <c r="R335" t="str">
        <f>PROPER(TRIM([1]raw_orders!U335))</f>
        <v>Completed</v>
      </c>
      <c r="S335" s="5">
        <f>[1]raw_orders!S335</f>
        <v>1013</v>
      </c>
      <c r="T335" s="5">
        <f t="shared" si="40"/>
        <v>10.130000000000001</v>
      </c>
      <c r="U335" s="5">
        <f t="shared" si="41"/>
        <v>-26806.593000000001</v>
      </c>
      <c r="V335" s="5">
        <f t="shared" si="42"/>
        <v>-26806.593000000001</v>
      </c>
      <c r="W335" s="5">
        <f t="shared" si="43"/>
        <v>1</v>
      </c>
      <c r="X335" s="5">
        <f t="shared" si="44"/>
        <v>5</v>
      </c>
      <c r="Y335" s="5">
        <f t="shared" si="45"/>
        <v>6</v>
      </c>
      <c r="Z335" s="5">
        <f t="shared" si="46"/>
        <v>2025</v>
      </c>
      <c r="AA335" t="str">
        <f t="shared" si="47"/>
        <v>Warning</v>
      </c>
    </row>
    <row r="336" spans="1:27" x14ac:dyDescent="0.3">
      <c r="A336" t="str">
        <f>[1]raw_orders!A336</f>
        <v>ORD-2024-10335</v>
      </c>
      <c r="B336" s="4">
        <f>IFERROR(DATEVALUE([1]raw_orders!B336), "Invalid Date")</f>
        <v>45547</v>
      </c>
      <c r="C336" s="4">
        <f>IFERROR(DATEVALUE([1]raw_orders!C336), "Invalid Date")</f>
        <v>45552</v>
      </c>
      <c r="D336" t="str">
        <f>[1]raw_orders!D336</f>
        <v>CUST-3062</v>
      </c>
      <c r="E336" t="str">
        <f>PROPER(TRIM([1]raw_orders!E336))</f>
        <v>Ananya Rao</v>
      </c>
      <c r="F336" t="str">
        <f>PROPER(TRIM([1]raw_orders!F336))</f>
        <v>Consumer</v>
      </c>
      <c r="G336" t="str">
        <f>IF(TRIM([1]raw_orders!G336)="","Unknown",PROPER(TRIM([1]raw_orders!G336)))</f>
        <v>East</v>
      </c>
      <c r="H336" t="str">
        <f>PROPER(TRIM([1]raw_orders!H336))</f>
        <v>Jharkhand</v>
      </c>
      <c r="I336" t="str">
        <f>PROPER(TRIM([1]raw_orders!I336))</f>
        <v>Ranchi</v>
      </c>
      <c r="J336" t="str">
        <f>PROPER(TRIM([1]raw_orders!J336))</f>
        <v>Office Supplies</v>
      </c>
      <c r="K336" t="str">
        <f>PROPER(TRIM([1]raw_orders!K336))</f>
        <v>Storage</v>
      </c>
      <c r="L336" t="str">
        <f>[1]raw_orders!L336</f>
        <v>Pro Storage 563</v>
      </c>
      <c r="M336" t="str">
        <f>IF(TRIM([1]raw_orders!M336)="","Unknown",PROPER(TRIM([1]raw_orders!M336)))</f>
        <v>First Class</v>
      </c>
      <c r="N336" s="5">
        <f>[1]raw_orders!N336</f>
        <v>9</v>
      </c>
      <c r="O336" s="5">
        <f>[1]raw_orders!O336</f>
        <v>1921.47</v>
      </c>
      <c r="P336" s="5">
        <f>[1]raw_orders!P336</f>
        <v>0.25</v>
      </c>
      <c r="Q336" t="str">
        <f>PROPER(TRIM([1]raw_orders!T336))</f>
        <v>Paid</v>
      </c>
      <c r="R336" t="str">
        <f>PROPER(TRIM([1]raw_orders!U336))</f>
        <v>Completed</v>
      </c>
      <c r="S336" s="5">
        <f>[1]raw_orders!S336</f>
        <v>3571.46</v>
      </c>
      <c r="T336" s="5">
        <f t="shared" si="40"/>
        <v>35.714599999999997</v>
      </c>
      <c r="U336" s="5">
        <f t="shared" si="41"/>
        <v>-600327.56215799996</v>
      </c>
      <c r="V336" s="5">
        <f t="shared" si="42"/>
        <v>-600327.81215799996</v>
      </c>
      <c r="W336" s="5">
        <f t="shared" si="43"/>
        <v>1.000000416439317</v>
      </c>
      <c r="X336" s="5">
        <f t="shared" si="44"/>
        <v>5</v>
      </c>
      <c r="Y336" s="5">
        <f t="shared" si="45"/>
        <v>9</v>
      </c>
      <c r="Z336" s="5">
        <f t="shared" si="46"/>
        <v>2024</v>
      </c>
      <c r="AA336" t="str">
        <f t="shared" si="47"/>
        <v>Clean</v>
      </c>
    </row>
    <row r="337" spans="1:27" x14ac:dyDescent="0.3">
      <c r="A337" t="str">
        <f>[1]raw_orders!A337</f>
        <v>ORD-2025-10336</v>
      </c>
      <c r="B337" s="4" t="str">
        <f>IFERROR(DATEVALUE([1]raw_orders!B337), "Invalid Date")</f>
        <v>Invalid Date</v>
      </c>
      <c r="C337" s="4">
        <f>IFERROR(DATEVALUE([1]raw_orders!C337), "Invalid Date")</f>
        <v>45826</v>
      </c>
      <c r="D337" t="str">
        <f>[1]raw_orders!D337</f>
        <v>CUST-3621</v>
      </c>
      <c r="E337" t="str">
        <f>PROPER(TRIM([1]raw_orders!E337))</f>
        <v>Rahul Verma</v>
      </c>
      <c r="F337" t="str">
        <f>PROPER(TRIM([1]raw_orders!F337))</f>
        <v>Home Office</v>
      </c>
      <c r="G337" t="str">
        <f>IF(TRIM([1]raw_orders!G337)="","Unknown",PROPER(TRIM([1]raw_orders!G337)))</f>
        <v>West</v>
      </c>
      <c r="H337" t="str">
        <f>PROPER(TRIM([1]raw_orders!H337))</f>
        <v>Madhya Pradesh</v>
      </c>
      <c r="I337" t="str">
        <f>PROPER(TRIM([1]raw_orders!I337))</f>
        <v>Indore</v>
      </c>
      <c r="J337" t="str">
        <f>PROPER(TRIM([1]raw_orders!J337))</f>
        <v>Office Supplies</v>
      </c>
      <c r="K337" t="str">
        <f>PROPER(TRIM([1]raw_orders!K337))</f>
        <v>Paper</v>
      </c>
      <c r="L337" t="str">
        <f>[1]raw_orders!L337</f>
        <v>Prime Paper 559</v>
      </c>
      <c r="M337" t="str">
        <f>IF(TRIM([1]raw_orders!M337)="","Unknown",PROPER(TRIM([1]raw_orders!M337)))</f>
        <v>First Class</v>
      </c>
      <c r="N337" s="5">
        <f>[1]raw_orders!N337</f>
        <v>3</v>
      </c>
      <c r="O337" s="5">
        <f>[1]raw_orders!O337</f>
        <v>4289.37</v>
      </c>
      <c r="P337" s="5">
        <f>[1]raw_orders!P337</f>
        <v>0.1</v>
      </c>
      <c r="Q337" t="str">
        <f>PROPER(TRIM([1]raw_orders!T337))</f>
        <v>Paid</v>
      </c>
      <c r="R337" t="str">
        <f>PROPER(TRIM([1]raw_orders!U337))</f>
        <v>Completed</v>
      </c>
      <c r="S337" s="5">
        <f>[1]raw_orders!S337</f>
        <v>4751.87</v>
      </c>
      <c r="T337" s="5">
        <f t="shared" si="40"/>
        <v>47.518699999999995</v>
      </c>
      <c r="U337" s="5">
        <f t="shared" si="41"/>
        <v>-598607.74865700002</v>
      </c>
      <c r="V337" s="5">
        <f t="shared" si="42"/>
        <v>-598607.848657</v>
      </c>
      <c r="W337" s="5">
        <f t="shared" si="43"/>
        <v>1.0000001670543026</v>
      </c>
      <c r="X337" s="5" t="str">
        <f t="shared" si="44"/>
        <v>Invalid Date</v>
      </c>
      <c r="Y337" s="5" t="e">
        <f t="shared" si="45"/>
        <v>#VALUE!</v>
      </c>
      <c r="Z337" s="5" t="e">
        <f t="shared" si="46"/>
        <v>#VALUE!</v>
      </c>
      <c r="AA337" t="str">
        <f t="shared" si="47"/>
        <v>Clean</v>
      </c>
    </row>
    <row r="338" spans="1:27" x14ac:dyDescent="0.3">
      <c r="A338" t="str">
        <f>[1]raw_orders!A338</f>
        <v>ORD-2024-10337</v>
      </c>
      <c r="B338" s="4">
        <f>IFERROR(DATEVALUE([1]raw_orders!B338), "Invalid Date")</f>
        <v>45368</v>
      </c>
      <c r="C338" s="4" t="str">
        <f>IFERROR(DATEVALUE([1]raw_orders!C338), "Invalid Date")</f>
        <v>Invalid Date</v>
      </c>
      <c r="D338" t="str">
        <f>[1]raw_orders!D338</f>
        <v>CUST-2103</v>
      </c>
      <c r="E338" t="str">
        <f>PROPER(TRIM([1]raw_orders!E338))</f>
        <v>Aarav Sharma</v>
      </c>
      <c r="F338" t="str">
        <f>PROPER(TRIM([1]raw_orders!F338))</f>
        <v>Consumer</v>
      </c>
      <c r="G338" t="str">
        <f>IF(TRIM([1]raw_orders!G338)="","Unknown",PROPER(TRIM([1]raw_orders!G338)))</f>
        <v>North</v>
      </c>
      <c r="H338" t="str">
        <f>PROPER(TRIM([1]raw_orders!H338))</f>
        <v>Rajasthan</v>
      </c>
      <c r="I338" t="str">
        <f>PROPER(TRIM([1]raw_orders!I338))</f>
        <v>Jaipur</v>
      </c>
      <c r="J338" t="str">
        <f>PROPER(TRIM([1]raw_orders!J338))</f>
        <v>Technology</v>
      </c>
      <c r="K338" t="str">
        <f>PROPER(TRIM([1]raw_orders!K338))</f>
        <v>Copiers</v>
      </c>
      <c r="L338" t="str">
        <f>[1]raw_orders!L338</f>
        <v>Pro Copiers 999</v>
      </c>
      <c r="M338" t="str">
        <f>IF(TRIM([1]raw_orders!M338)="","Unknown",PROPER(TRIM([1]raw_orders!M338)))</f>
        <v>First Class</v>
      </c>
      <c r="N338" s="5">
        <f>[1]raw_orders!N338</f>
        <v>8</v>
      </c>
      <c r="O338" s="5">
        <f>[1]raw_orders!O338</f>
        <v>1992.57</v>
      </c>
      <c r="P338" s="5">
        <f>[1]raw_orders!P338</f>
        <v>0</v>
      </c>
      <c r="Q338" t="str">
        <f>PROPER(TRIM([1]raw_orders!T338))</f>
        <v>Paid</v>
      </c>
      <c r="R338" t="str">
        <f>PROPER(TRIM([1]raw_orders!U338))</f>
        <v>Completed</v>
      </c>
      <c r="S338" s="5">
        <f>[1]raw_orders!S338</f>
        <v>3593.41</v>
      </c>
      <c r="T338" s="5">
        <f t="shared" si="40"/>
        <v>35.934100000000001</v>
      </c>
      <c r="U338" s="5">
        <f t="shared" si="41"/>
        <v>-556869.117096</v>
      </c>
      <c r="V338" s="5">
        <f t="shared" si="42"/>
        <v>-556869.117096</v>
      </c>
      <c r="W338" s="5">
        <f t="shared" si="43"/>
        <v>1</v>
      </c>
      <c r="X338" s="5" t="str">
        <f t="shared" si="44"/>
        <v>Invalid Date</v>
      </c>
      <c r="Y338" s="5">
        <f t="shared" si="45"/>
        <v>3</v>
      </c>
      <c r="Z338" s="5">
        <f t="shared" si="46"/>
        <v>2024</v>
      </c>
      <c r="AA338" t="str">
        <f t="shared" si="47"/>
        <v>Clean</v>
      </c>
    </row>
    <row r="339" spans="1:27" x14ac:dyDescent="0.3">
      <c r="A339" t="str">
        <f>[1]raw_orders!A339</f>
        <v>ORD-2024-10338</v>
      </c>
      <c r="B339" s="4">
        <f>IFERROR(DATEVALUE([1]raw_orders!B339), "Invalid Date")</f>
        <v>45516</v>
      </c>
      <c r="C339" s="4">
        <f>IFERROR(DATEVALUE([1]raw_orders!C339), "Invalid Date")</f>
        <v>45522</v>
      </c>
      <c r="D339" t="str">
        <f>[1]raw_orders!D339</f>
        <v>CUST-4599</v>
      </c>
      <c r="E339" t="str">
        <f>PROPER(TRIM([1]raw_orders!E339))</f>
        <v>Ananya Rao</v>
      </c>
      <c r="F339" t="str">
        <f>PROPER(TRIM([1]raw_orders!F339))</f>
        <v>Consumer</v>
      </c>
      <c r="G339" t="str">
        <f>IF(TRIM([1]raw_orders!G339)="","Unknown",PROPER(TRIM([1]raw_orders!G339)))</f>
        <v>East</v>
      </c>
      <c r="H339" t="str">
        <f>PROPER(TRIM([1]raw_orders!H339))</f>
        <v>Assam</v>
      </c>
      <c r="I339" t="str">
        <f>PROPER(TRIM([1]raw_orders!I339))</f>
        <v>Guwahati</v>
      </c>
      <c r="J339" t="str">
        <f>PROPER(TRIM([1]raw_orders!J339))</f>
        <v>Office Supplies</v>
      </c>
      <c r="K339" t="str">
        <f>PROPER(TRIM([1]raw_orders!K339))</f>
        <v>Labels</v>
      </c>
      <c r="L339" t="str">
        <f>[1]raw_orders!L339</f>
        <v>Classic Labels 206</v>
      </c>
      <c r="M339" t="str">
        <f>IF(TRIM([1]raw_orders!M339)="","Unknown",PROPER(TRIM([1]raw_orders!M339)))</f>
        <v>Same Day</v>
      </c>
      <c r="N339" s="5">
        <f>[1]raw_orders!N339</f>
        <v>6</v>
      </c>
      <c r="O339" s="5">
        <f>[1]raw_orders!O339</f>
        <v>1181.74</v>
      </c>
      <c r="P339" s="5">
        <f>[1]raw_orders!P339</f>
        <v>0</v>
      </c>
      <c r="Q339" t="str">
        <f>PROPER(TRIM([1]raw_orders!T339))</f>
        <v>Paid</v>
      </c>
      <c r="R339" t="str">
        <f>PROPER(TRIM([1]raw_orders!U339))</f>
        <v>Completed</v>
      </c>
      <c r="S339" s="5">
        <f>[1]raw_orders!S339</f>
        <v>1262.8699999999999</v>
      </c>
      <c r="T339" s="5">
        <f t="shared" si="40"/>
        <v>12.628699999999998</v>
      </c>
      <c r="U339" s="5">
        <f t="shared" si="41"/>
        <v>-82452.599627999996</v>
      </c>
      <c r="V339" s="5">
        <f t="shared" si="42"/>
        <v>-82452.599627999996</v>
      </c>
      <c r="W339" s="5">
        <f t="shared" si="43"/>
        <v>1</v>
      </c>
      <c r="X339" s="5">
        <f t="shared" si="44"/>
        <v>6</v>
      </c>
      <c r="Y339" s="5">
        <f t="shared" si="45"/>
        <v>8</v>
      </c>
      <c r="Z339" s="5">
        <f t="shared" si="46"/>
        <v>2024</v>
      </c>
      <c r="AA339" t="str">
        <f t="shared" si="47"/>
        <v>Clean</v>
      </c>
    </row>
    <row r="340" spans="1:27" x14ac:dyDescent="0.3">
      <c r="A340" t="str">
        <f>[1]raw_orders!A340</f>
        <v>ORD-2024-10339</v>
      </c>
      <c r="B340" s="4">
        <f>IFERROR(DATEVALUE([1]raw_orders!B340), "Invalid Date")</f>
        <v>45634</v>
      </c>
      <c r="C340" s="4">
        <f>IFERROR(DATEVALUE([1]raw_orders!C340), "Invalid Date")</f>
        <v>45516</v>
      </c>
      <c r="D340" t="str">
        <f>[1]raw_orders!D340</f>
        <v>CUST-3066</v>
      </c>
      <c r="E340" t="str">
        <f>PROPER(TRIM([1]raw_orders!E340))</f>
        <v>Arjun Bose</v>
      </c>
      <c r="F340" t="str">
        <f>PROPER(TRIM([1]raw_orders!F340))</f>
        <v>Small Business</v>
      </c>
      <c r="G340" t="str">
        <f>IF(TRIM([1]raw_orders!G340)="","Unknown",PROPER(TRIM([1]raw_orders!G340)))</f>
        <v>South</v>
      </c>
      <c r="H340" t="str">
        <f>PROPER(TRIM([1]raw_orders!H340))</f>
        <v>Andhra Pradesh</v>
      </c>
      <c r="I340" t="str">
        <f>PROPER(TRIM([1]raw_orders!I340))</f>
        <v>Vijayawada</v>
      </c>
      <c r="J340" t="str">
        <f>PROPER(TRIM([1]raw_orders!J340))</f>
        <v>Technology</v>
      </c>
      <c r="K340" t="str">
        <f>PROPER(TRIM([1]raw_orders!K340))</f>
        <v>Accessories</v>
      </c>
      <c r="L340" t="str">
        <f>[1]raw_orders!L340</f>
        <v>Eco Accessories 315</v>
      </c>
      <c r="M340" t="str">
        <f>IF(TRIM([1]raw_orders!M340)="","Unknown",PROPER(TRIM([1]raw_orders!M340)))</f>
        <v>First Class</v>
      </c>
      <c r="N340" s="5">
        <f>[1]raw_orders!N340</f>
        <v>8</v>
      </c>
      <c r="O340" s="5">
        <f>[1]raw_orders!O340</f>
        <v>4402.3599999999997</v>
      </c>
      <c r="P340" s="5">
        <f>[1]raw_orders!P340</f>
        <v>0.25</v>
      </c>
      <c r="Q340" t="str">
        <f>PROPER(TRIM([1]raw_orders!T340))</f>
        <v>Paid</v>
      </c>
      <c r="R340" t="str">
        <f>PROPER(TRIM([1]raw_orders!U340))</f>
        <v>Completed</v>
      </c>
      <c r="S340" s="5">
        <f>[1]raw_orders!S340</f>
        <v>4591.63</v>
      </c>
      <c r="T340" s="5">
        <f t="shared" si="40"/>
        <v>45.9163</v>
      </c>
      <c r="U340" s="5">
        <f t="shared" si="41"/>
        <v>-1581901.7797439999</v>
      </c>
      <c r="V340" s="5">
        <f t="shared" si="42"/>
        <v>-1581902.0297439999</v>
      </c>
      <c r="W340" s="5">
        <f t="shared" si="43"/>
        <v>1.0000001580376248</v>
      </c>
      <c r="X340" s="5">
        <f t="shared" si="44"/>
        <v>-118</v>
      </c>
      <c r="Y340" s="5">
        <f t="shared" si="45"/>
        <v>12</v>
      </c>
      <c r="Z340" s="5">
        <f t="shared" si="46"/>
        <v>2024</v>
      </c>
      <c r="AA340" t="str">
        <f t="shared" si="47"/>
        <v>Invalid</v>
      </c>
    </row>
    <row r="341" spans="1:27" x14ac:dyDescent="0.3">
      <c r="A341" t="str">
        <f>[1]raw_orders!A341</f>
        <v>ORD-2025-10340</v>
      </c>
      <c r="B341" s="4">
        <f>IFERROR(DATEVALUE([1]raw_orders!B341), "Invalid Date")</f>
        <v>45708</v>
      </c>
      <c r="C341" s="4">
        <f>IFERROR(DATEVALUE([1]raw_orders!C341), "Invalid Date")</f>
        <v>45710</v>
      </c>
      <c r="D341" t="str">
        <f>[1]raw_orders!D341</f>
        <v>CUST-2752</v>
      </c>
      <c r="E341" t="str">
        <f>PROPER(TRIM([1]raw_orders!E341))</f>
        <v>Neha Gupta</v>
      </c>
      <c r="F341" t="str">
        <f>PROPER(TRIM([1]raw_orders!F341))</f>
        <v>Corporate</v>
      </c>
      <c r="G341" t="str">
        <f>IF(TRIM([1]raw_orders!G341)="","Unknown",PROPER(TRIM([1]raw_orders!G341)))</f>
        <v>East</v>
      </c>
      <c r="H341" t="str">
        <f>PROPER(TRIM([1]raw_orders!H341))</f>
        <v>Jharkhand</v>
      </c>
      <c r="I341" t="str">
        <f>PROPER(TRIM([1]raw_orders!I341))</f>
        <v>Ranchi</v>
      </c>
      <c r="J341" t="str">
        <f>PROPER(TRIM([1]raw_orders!J341))</f>
        <v>Furniture</v>
      </c>
      <c r="K341" t="str">
        <f>PROPER(TRIM([1]raw_orders!K341))</f>
        <v>Bookcases</v>
      </c>
      <c r="L341" t="str">
        <f>[1]raw_orders!L341</f>
        <v>Elite Bookcases 988</v>
      </c>
      <c r="M341" t="str">
        <f>IF(TRIM([1]raw_orders!M341)="","Unknown",PROPER(TRIM([1]raw_orders!M341)))</f>
        <v>Standard Class</v>
      </c>
      <c r="N341" s="5">
        <f>[1]raw_orders!N341</f>
        <v>8</v>
      </c>
      <c r="O341" s="5">
        <f>[1]raw_orders!O341</f>
        <v>3265.76</v>
      </c>
      <c r="P341" s="5">
        <f>[1]raw_orders!P341</f>
        <v>0.2</v>
      </c>
      <c r="Q341" t="str">
        <f>PROPER(TRIM([1]raw_orders!T341))</f>
        <v>Paid</v>
      </c>
      <c r="R341" t="str">
        <f>PROPER(TRIM([1]raw_orders!U341))</f>
        <v>Completed</v>
      </c>
      <c r="S341" s="5">
        <f>[1]raw_orders!S341</f>
        <v>8387.7199999999993</v>
      </c>
      <c r="T341" s="5">
        <f t="shared" si="40"/>
        <v>83.877199999999988</v>
      </c>
      <c r="U341" s="5">
        <f t="shared" si="41"/>
        <v>-2165256.3573759999</v>
      </c>
      <c r="V341" s="5">
        <f t="shared" si="42"/>
        <v>-2165256.5573760001</v>
      </c>
      <c r="W341" s="5">
        <f t="shared" si="43"/>
        <v>1.0000000923678156</v>
      </c>
      <c r="X341" s="5">
        <f t="shared" si="44"/>
        <v>2</v>
      </c>
      <c r="Y341" s="5">
        <f t="shared" si="45"/>
        <v>2</v>
      </c>
      <c r="Z341" s="5">
        <f t="shared" si="46"/>
        <v>2025</v>
      </c>
      <c r="AA341" t="str">
        <f t="shared" si="47"/>
        <v>Clean</v>
      </c>
    </row>
    <row r="342" spans="1:27" x14ac:dyDescent="0.3">
      <c r="A342" t="str">
        <f>[1]raw_orders!A342</f>
        <v>ORD-2024-10341</v>
      </c>
      <c r="B342" s="4">
        <f>IFERROR(DATEVALUE([1]raw_orders!B342), "Invalid Date")</f>
        <v>45312</v>
      </c>
      <c r="C342" s="4" t="str">
        <f>IFERROR(DATEVALUE([1]raw_orders!C342), "Invalid Date")</f>
        <v>Invalid Date</v>
      </c>
      <c r="D342" t="str">
        <f>[1]raw_orders!D342</f>
        <v>CUST-6291</v>
      </c>
      <c r="E342" t="str">
        <f>PROPER(TRIM([1]raw_orders!E342))</f>
        <v>Neha Gupta</v>
      </c>
      <c r="F342" t="str">
        <f>PROPER(TRIM([1]raw_orders!F342))</f>
        <v>Consumer</v>
      </c>
      <c r="G342" t="str">
        <f>IF(TRIM([1]raw_orders!G342)="","Unknown",PROPER(TRIM([1]raw_orders!G342)))</f>
        <v>South</v>
      </c>
      <c r="H342" t="str">
        <f>PROPER(TRIM([1]raw_orders!H342))</f>
        <v>Karnataka</v>
      </c>
      <c r="I342" t="str">
        <f>PROPER(TRIM([1]raw_orders!I342))</f>
        <v>Bengaluru</v>
      </c>
      <c r="J342" t="str">
        <f>PROPER(TRIM([1]raw_orders!J342))</f>
        <v>Office Supplies</v>
      </c>
      <c r="K342" t="str">
        <f>PROPER(TRIM([1]raw_orders!K342))</f>
        <v>Binders</v>
      </c>
      <c r="L342" t="str">
        <f>[1]raw_orders!L342</f>
        <v>Smart Binders 414</v>
      </c>
      <c r="M342" t="str">
        <f>IF(TRIM([1]raw_orders!M342)="","Unknown",PROPER(TRIM([1]raw_orders!M342)))</f>
        <v>Standard Class</v>
      </c>
      <c r="N342" s="5">
        <f>[1]raw_orders!N342</f>
        <v>5</v>
      </c>
      <c r="O342" s="5">
        <f>[1]raw_orders!O342</f>
        <v>4058.08</v>
      </c>
      <c r="P342" s="5">
        <f>[1]raw_orders!P342</f>
        <v>0.1</v>
      </c>
      <c r="Q342" t="str">
        <f>PROPER(TRIM([1]raw_orders!T342))</f>
        <v>Paid</v>
      </c>
      <c r="R342" t="str">
        <f>PROPER(TRIM([1]raw_orders!U342))</f>
        <v>Completed</v>
      </c>
      <c r="S342" s="5">
        <f>[1]raw_orders!S342</f>
        <v>6861.42</v>
      </c>
      <c r="T342" s="5">
        <f t="shared" si="40"/>
        <v>68.614199999999997</v>
      </c>
      <c r="U342" s="5">
        <f t="shared" si="41"/>
        <v>-1371919.16368</v>
      </c>
      <c r="V342" s="5">
        <f t="shared" si="42"/>
        <v>-1371919.2636800001</v>
      </c>
      <c r="W342" s="5">
        <f t="shared" si="43"/>
        <v>1.000000072890592</v>
      </c>
      <c r="X342" s="5" t="str">
        <f t="shared" si="44"/>
        <v>Invalid Date</v>
      </c>
      <c r="Y342" s="5">
        <f t="shared" si="45"/>
        <v>1</v>
      </c>
      <c r="Z342" s="5">
        <f t="shared" si="46"/>
        <v>2024</v>
      </c>
      <c r="AA342" t="str">
        <f t="shared" si="47"/>
        <v>Clean</v>
      </c>
    </row>
    <row r="343" spans="1:27" x14ac:dyDescent="0.3">
      <c r="A343" t="str">
        <f>[1]raw_orders!A343</f>
        <v>ORD-2025-10342</v>
      </c>
      <c r="B343" s="4">
        <f>IFERROR(DATEVALUE([1]raw_orders!B343), "Invalid Date")</f>
        <v>45908</v>
      </c>
      <c r="C343" s="4">
        <f>IFERROR(DATEVALUE([1]raw_orders!C343), "Invalid Date")</f>
        <v>45909</v>
      </c>
      <c r="D343" t="str">
        <f>[1]raw_orders!D343</f>
        <v>CUST-9969</v>
      </c>
      <c r="E343" t="str">
        <f>PROPER(TRIM([1]raw_orders!E343))</f>
        <v>Rohan Mehta</v>
      </c>
      <c r="F343" t="str">
        <f>PROPER(TRIM([1]raw_orders!F343))</f>
        <v>Home Office</v>
      </c>
      <c r="G343" t="str">
        <f>IF(TRIM([1]raw_orders!G343)="","Unknown",PROPER(TRIM([1]raw_orders!G343)))</f>
        <v>West</v>
      </c>
      <c r="H343" t="str">
        <f>PROPER(TRIM([1]raw_orders!H343))</f>
        <v>Gujarat</v>
      </c>
      <c r="I343" t="str">
        <f>PROPER(TRIM([1]raw_orders!I343))</f>
        <v>Ahmedabad</v>
      </c>
      <c r="J343" t="str">
        <f>PROPER(TRIM([1]raw_orders!J343))</f>
        <v>Furniture</v>
      </c>
      <c r="K343" t="str">
        <f>PROPER(TRIM([1]raw_orders!K343))</f>
        <v>Chairs</v>
      </c>
      <c r="L343" t="str">
        <f>[1]raw_orders!L343</f>
        <v>Eco Chairs 552</v>
      </c>
      <c r="M343" t="str">
        <f>IF(TRIM([1]raw_orders!M343)="","Unknown",PROPER(TRIM([1]raw_orders!M343)))</f>
        <v>Second Class</v>
      </c>
      <c r="N343" s="5">
        <f>[1]raw_orders!N343</f>
        <v>2</v>
      </c>
      <c r="O343" s="5">
        <f>[1]raw_orders!O343</f>
        <v>3960.33</v>
      </c>
      <c r="P343" s="5">
        <f>[1]raw_orders!P343</f>
        <v>0.05</v>
      </c>
      <c r="Q343" t="str">
        <f>PROPER(TRIM([1]raw_orders!T343))</f>
        <v>Paid</v>
      </c>
      <c r="R343" t="str">
        <f>PROPER(TRIM([1]raw_orders!U343))</f>
        <v>Completed</v>
      </c>
      <c r="S343" s="5">
        <f>[1]raw_orders!S343</f>
        <v>1295.03</v>
      </c>
      <c r="T343" s="5">
        <f t="shared" si="40"/>
        <v>12.9503</v>
      </c>
      <c r="U343" s="5">
        <f t="shared" si="41"/>
        <v>-94654.263198000001</v>
      </c>
      <c r="V343" s="5">
        <f t="shared" si="42"/>
        <v>-94654.313198000003</v>
      </c>
      <c r="W343" s="5">
        <f t="shared" si="43"/>
        <v>1.0000005282382252</v>
      </c>
      <c r="X343" s="5">
        <f t="shared" si="44"/>
        <v>1</v>
      </c>
      <c r="Y343" s="5">
        <f t="shared" si="45"/>
        <v>9</v>
      </c>
      <c r="Z343" s="5">
        <f t="shared" si="46"/>
        <v>2025</v>
      </c>
      <c r="AA343" t="str">
        <f t="shared" si="47"/>
        <v>Clean</v>
      </c>
    </row>
    <row r="344" spans="1:27" x14ac:dyDescent="0.3">
      <c r="A344" t="str">
        <f>[1]raw_orders!A344</f>
        <v>ORD-2025-10343</v>
      </c>
      <c r="B344" s="4">
        <f>IFERROR(DATEVALUE([1]raw_orders!B344), "Invalid Date")</f>
        <v>45862</v>
      </c>
      <c r="C344" s="4">
        <f>IFERROR(DATEVALUE([1]raw_orders!C344), "Invalid Date")</f>
        <v>45870</v>
      </c>
      <c r="D344" t="str">
        <f>[1]raw_orders!D344</f>
        <v>CUST-3335</v>
      </c>
      <c r="E344" t="str">
        <f>PROPER(TRIM([1]raw_orders!E344))</f>
        <v>Kabir Singh</v>
      </c>
      <c r="F344" t="str">
        <f>PROPER(TRIM([1]raw_orders!F344))</f>
        <v>Small Business</v>
      </c>
      <c r="G344" t="str">
        <f>IF(TRIM([1]raw_orders!G344)="","Unknown",PROPER(TRIM([1]raw_orders!G344)))</f>
        <v>East</v>
      </c>
      <c r="H344" t="str">
        <f>PROPER(TRIM([1]raw_orders!H344))</f>
        <v>Jharkhand</v>
      </c>
      <c r="I344" t="str">
        <f>PROPER(TRIM([1]raw_orders!I344))</f>
        <v>Ranchi</v>
      </c>
      <c r="J344" t="str">
        <f>PROPER(TRIM([1]raw_orders!J344))</f>
        <v>Office Supplies</v>
      </c>
      <c r="K344" t="str">
        <f>PROPER(TRIM([1]raw_orders!K344))</f>
        <v>Binders</v>
      </c>
      <c r="L344" t="str">
        <f>[1]raw_orders!L344</f>
        <v>Smart Binders 574</v>
      </c>
      <c r="M344" t="str">
        <f>IF(TRIM([1]raw_orders!M344)="","Unknown",PROPER(TRIM([1]raw_orders!M344)))</f>
        <v>First Class</v>
      </c>
      <c r="N344" s="5">
        <f>[1]raw_orders!N344</f>
        <v>8</v>
      </c>
      <c r="O344" s="5">
        <f>[1]raw_orders!O344</f>
        <v>1528.92</v>
      </c>
      <c r="P344" s="5">
        <f>[1]raw_orders!P344</f>
        <v>0</v>
      </c>
      <c r="Q344" t="str">
        <f>PROPER(TRIM([1]raw_orders!T344))</f>
        <v>Paid</v>
      </c>
      <c r="R344" t="str">
        <f>PROPER(TRIM([1]raw_orders!U344))</f>
        <v>Completed</v>
      </c>
      <c r="S344" s="5">
        <f>[1]raw_orders!S344</f>
        <v>3464.46</v>
      </c>
      <c r="T344" s="5">
        <f t="shared" si="40"/>
        <v>34.644599999999997</v>
      </c>
      <c r="U344" s="5">
        <f t="shared" si="41"/>
        <v>-411519.21465599997</v>
      </c>
      <c r="V344" s="5">
        <f t="shared" si="42"/>
        <v>-411519.21465599997</v>
      </c>
      <c r="W344" s="5">
        <f t="shared" si="43"/>
        <v>1</v>
      </c>
      <c r="X344" s="5">
        <f t="shared" si="44"/>
        <v>8</v>
      </c>
      <c r="Y344" s="5">
        <f t="shared" si="45"/>
        <v>7</v>
      </c>
      <c r="Z344" s="5">
        <f t="shared" si="46"/>
        <v>2025</v>
      </c>
      <c r="AA344" t="str">
        <f t="shared" si="47"/>
        <v>Clean</v>
      </c>
    </row>
    <row r="345" spans="1:27" x14ac:dyDescent="0.3">
      <c r="A345" t="str">
        <f>[1]raw_orders!A345</f>
        <v>ORD-2025-10344</v>
      </c>
      <c r="B345" s="4">
        <f>IFERROR(DATEVALUE([1]raw_orders!B345), "Invalid Date")</f>
        <v>45726</v>
      </c>
      <c r="C345" s="4">
        <f>IFERROR(DATEVALUE([1]raw_orders!C345), "Invalid Date")</f>
        <v>45938</v>
      </c>
      <c r="D345" t="str">
        <f>[1]raw_orders!D345</f>
        <v>CUST-7358</v>
      </c>
      <c r="E345" t="str">
        <f>PROPER(TRIM([1]raw_orders!E345))</f>
        <v>Aarav Sharma</v>
      </c>
      <c r="F345" t="str">
        <f>PROPER(TRIM([1]raw_orders!F345))</f>
        <v>Corporate</v>
      </c>
      <c r="G345" t="str">
        <f>IF(TRIM([1]raw_orders!G345)="","Unknown",PROPER(TRIM([1]raw_orders!G345)))</f>
        <v>West</v>
      </c>
      <c r="H345" t="str">
        <f>PROPER(TRIM([1]raw_orders!H345))</f>
        <v>Madhya Pradesh</v>
      </c>
      <c r="I345" t="str">
        <f>PROPER(TRIM([1]raw_orders!I345))</f>
        <v>Indore</v>
      </c>
      <c r="J345" t="str">
        <f>PROPER(TRIM([1]raw_orders!J345))</f>
        <v>Technology</v>
      </c>
      <c r="K345" t="str">
        <f>PROPER(TRIM([1]raw_orders!K345))</f>
        <v>Machines</v>
      </c>
      <c r="L345" t="str">
        <f>[1]raw_orders!L345</f>
        <v>Pro Machines 444</v>
      </c>
      <c r="M345" t="str">
        <f>IF(TRIM([1]raw_orders!M345)="","Unknown",PROPER(TRIM([1]raw_orders!M345)))</f>
        <v>Same Day</v>
      </c>
      <c r="N345" s="5">
        <f>[1]raw_orders!N345</f>
        <v>9</v>
      </c>
      <c r="O345" s="5">
        <f>[1]raw_orders!O345</f>
        <v>3837</v>
      </c>
      <c r="P345" s="5">
        <f>[1]raw_orders!P345</f>
        <v>0.1</v>
      </c>
      <c r="Q345" t="str">
        <f>PROPER(TRIM([1]raw_orders!T345))</f>
        <v>Paid</v>
      </c>
      <c r="R345" t="str">
        <f>PROPER(TRIM([1]raw_orders!U345))</f>
        <v>Completed</v>
      </c>
      <c r="S345" s="5">
        <f>[1]raw_orders!S345</f>
        <v>13321.45</v>
      </c>
      <c r="T345" s="5">
        <f t="shared" si="40"/>
        <v>133.21450000000002</v>
      </c>
      <c r="U345" s="5">
        <f t="shared" si="41"/>
        <v>-4565763.3285000008</v>
      </c>
      <c r="V345" s="5">
        <f t="shared" si="42"/>
        <v>-4565763.4285000004</v>
      </c>
      <c r="W345" s="5">
        <f t="shared" si="43"/>
        <v>1.0000000219021425</v>
      </c>
      <c r="X345" s="5">
        <f t="shared" si="44"/>
        <v>212</v>
      </c>
      <c r="Y345" s="5">
        <f t="shared" si="45"/>
        <v>3</v>
      </c>
      <c r="Z345" s="5">
        <f t="shared" si="46"/>
        <v>2025</v>
      </c>
      <c r="AA345" t="str">
        <f t="shared" si="47"/>
        <v>Clean</v>
      </c>
    </row>
    <row r="346" spans="1:27" x14ac:dyDescent="0.3">
      <c r="A346" t="str">
        <f>[1]raw_orders!A346</f>
        <v>ORD-2024-10345</v>
      </c>
      <c r="B346" s="4">
        <f>IFERROR(DATEVALUE([1]raw_orders!B346), "Invalid Date")</f>
        <v>45362</v>
      </c>
      <c r="C346" s="4">
        <f>IFERROR(DATEVALUE([1]raw_orders!C346), "Invalid Date")</f>
        <v>45362</v>
      </c>
      <c r="D346" t="str">
        <f>[1]raw_orders!D346</f>
        <v>CUST-8025</v>
      </c>
      <c r="E346" t="str">
        <f>PROPER(TRIM([1]raw_orders!E346))</f>
        <v>Priya Menon</v>
      </c>
      <c r="F346" t="str">
        <f>PROPER(TRIM([1]raw_orders!F346))</f>
        <v>Consumer</v>
      </c>
      <c r="G346" t="str">
        <f>IF(TRIM([1]raw_orders!G346)="","Unknown",PROPER(TRIM([1]raw_orders!G346)))</f>
        <v>North</v>
      </c>
      <c r="H346" t="str">
        <f>PROPER(TRIM([1]raw_orders!H346))</f>
        <v>Punjab</v>
      </c>
      <c r="I346" t="str">
        <f>PROPER(TRIM([1]raw_orders!I346))</f>
        <v>Ludhiana</v>
      </c>
      <c r="J346" t="str">
        <f>PROPER(TRIM([1]raw_orders!J346))</f>
        <v>Furniture</v>
      </c>
      <c r="K346" t="str">
        <f>PROPER(TRIM([1]raw_orders!K346))</f>
        <v>Bookcases</v>
      </c>
      <c r="L346" t="str">
        <f>[1]raw_orders!L346</f>
        <v>Elite Bookcases 184</v>
      </c>
      <c r="M346" t="str">
        <f>IF(TRIM([1]raw_orders!M346)="","Unknown",PROPER(TRIM([1]raw_orders!M346)))</f>
        <v>Same Day</v>
      </c>
      <c r="N346" s="5">
        <f>[1]raw_orders!N346</f>
        <v>9</v>
      </c>
      <c r="O346" s="5">
        <f>[1]raw_orders!O346</f>
        <v>3456.38</v>
      </c>
      <c r="P346" s="5">
        <f>[1]raw_orders!P346</f>
        <v>0</v>
      </c>
      <c r="Q346" t="str">
        <f>PROPER(TRIM([1]raw_orders!T346))</f>
        <v>Pending</v>
      </c>
      <c r="R346" t="str">
        <f>PROPER(TRIM([1]raw_orders!U346))</f>
        <v>Returned</v>
      </c>
      <c r="S346" s="5">
        <f>[1]raw_orders!S346</f>
        <v>10960.76</v>
      </c>
      <c r="T346" s="5">
        <f t="shared" si="40"/>
        <v>109.60760000000001</v>
      </c>
      <c r="U346" s="5">
        <f t="shared" si="41"/>
        <v>-3378502.2283920003</v>
      </c>
      <c r="V346" s="5">
        <f t="shared" si="42"/>
        <v>-3378502.2283920003</v>
      </c>
      <c r="W346" s="5">
        <f t="shared" si="43"/>
        <v>1</v>
      </c>
      <c r="X346" s="5">
        <f t="shared" si="44"/>
        <v>0</v>
      </c>
      <c r="Y346" s="5">
        <f t="shared" si="45"/>
        <v>3</v>
      </c>
      <c r="Z346" s="5">
        <f t="shared" si="46"/>
        <v>2024</v>
      </c>
      <c r="AA346" t="str">
        <f t="shared" si="47"/>
        <v>Clean</v>
      </c>
    </row>
    <row r="347" spans="1:27" x14ac:dyDescent="0.3">
      <c r="A347" t="str">
        <f>[1]raw_orders!A347</f>
        <v>ORD-2024-10346</v>
      </c>
      <c r="B347" s="4">
        <f>IFERROR(DATEVALUE([1]raw_orders!B347), "Invalid Date")</f>
        <v>45549</v>
      </c>
      <c r="C347" s="4">
        <f>IFERROR(DATEVALUE([1]raw_orders!C347), "Invalid Date")</f>
        <v>45557</v>
      </c>
      <c r="D347" t="str">
        <f>[1]raw_orders!D347</f>
        <v>CUST-4634</v>
      </c>
      <c r="E347" t="str">
        <f>PROPER(TRIM([1]raw_orders!E347))</f>
        <v>Karan Malhotra</v>
      </c>
      <c r="F347" t="str">
        <f>PROPER(TRIM([1]raw_orders!F347))</f>
        <v>Consumer</v>
      </c>
      <c r="G347" t="str">
        <f>IF(TRIM([1]raw_orders!G347)="","Unknown",PROPER(TRIM([1]raw_orders!G347)))</f>
        <v>West</v>
      </c>
      <c r="H347" t="str">
        <f>PROPER(TRIM([1]raw_orders!H347))</f>
        <v>Madhya Pradesh</v>
      </c>
      <c r="I347" t="str">
        <f>PROPER(TRIM([1]raw_orders!I347))</f>
        <v>Indore</v>
      </c>
      <c r="J347" t="str">
        <f>PROPER(TRIM([1]raw_orders!J347))</f>
        <v>Furniture</v>
      </c>
      <c r="K347" t="str">
        <f>PROPER(TRIM([1]raw_orders!K347))</f>
        <v>Furnishings</v>
      </c>
      <c r="L347" t="str">
        <f>[1]raw_orders!L347</f>
        <v>Elite Furnishings 138</v>
      </c>
      <c r="M347" t="str">
        <f>IF(TRIM([1]raw_orders!M347)="","Unknown",PROPER(TRIM([1]raw_orders!M347)))</f>
        <v>Second Class</v>
      </c>
      <c r="N347" s="5">
        <f>[1]raw_orders!N347</f>
        <v>2</v>
      </c>
      <c r="O347" s="5">
        <f>[1]raw_orders!O347</f>
        <v>2765.3</v>
      </c>
      <c r="P347" s="5">
        <f>[1]raw_orders!P347</f>
        <v>0</v>
      </c>
      <c r="Q347" t="str">
        <f>PROPER(TRIM([1]raw_orders!T347))</f>
        <v>Paid</v>
      </c>
      <c r="R347" t="str">
        <f>PROPER(TRIM([1]raw_orders!U347))</f>
        <v>Completed</v>
      </c>
      <c r="S347" s="5">
        <f>[1]raw_orders!S347</f>
        <v>1077.49</v>
      </c>
      <c r="T347" s="5">
        <f t="shared" si="40"/>
        <v>10.774900000000001</v>
      </c>
      <c r="U347" s="5">
        <f t="shared" si="41"/>
        <v>-54061.061940000007</v>
      </c>
      <c r="V347" s="5">
        <f t="shared" si="42"/>
        <v>-54061.061940000007</v>
      </c>
      <c r="W347" s="5">
        <f t="shared" si="43"/>
        <v>1</v>
      </c>
      <c r="X347" s="5">
        <f t="shared" si="44"/>
        <v>8</v>
      </c>
      <c r="Y347" s="5">
        <f t="shared" si="45"/>
        <v>9</v>
      </c>
      <c r="Z347" s="5">
        <f t="shared" si="46"/>
        <v>2024</v>
      </c>
      <c r="AA347" t="str">
        <f t="shared" si="47"/>
        <v>Clean</v>
      </c>
    </row>
    <row r="348" spans="1:27" x14ac:dyDescent="0.3">
      <c r="A348" t="str">
        <f>[1]raw_orders!A348</f>
        <v>ORD-2025-10347</v>
      </c>
      <c r="B348" s="4">
        <f>IFERROR(DATEVALUE([1]raw_orders!B348), "Invalid Date")</f>
        <v>45860</v>
      </c>
      <c r="C348" s="4">
        <f>IFERROR(DATEVALUE([1]raw_orders!C348), "Invalid Date")</f>
        <v>45866</v>
      </c>
      <c r="D348" t="str">
        <f>[1]raw_orders!D348</f>
        <v>CUST-3400</v>
      </c>
      <c r="E348" t="str">
        <f>PROPER(TRIM([1]raw_orders!E348))</f>
        <v>Rahul Verma</v>
      </c>
      <c r="F348" t="str">
        <f>PROPER(TRIM([1]raw_orders!F348))</f>
        <v>Corporate</v>
      </c>
      <c r="G348" t="str">
        <f>IF(TRIM([1]raw_orders!G348)="","Unknown",PROPER(TRIM([1]raw_orders!G348)))</f>
        <v>South</v>
      </c>
      <c r="H348" t="str">
        <f>PROPER(TRIM([1]raw_orders!H348))</f>
        <v>Kerala</v>
      </c>
      <c r="I348" t="str">
        <f>PROPER(TRIM([1]raw_orders!I348))</f>
        <v>Kochi</v>
      </c>
      <c r="J348" t="str">
        <f>PROPER(TRIM([1]raw_orders!J348))</f>
        <v>Furniture</v>
      </c>
      <c r="K348" t="str">
        <f>PROPER(TRIM([1]raw_orders!K348))</f>
        <v>Chairs</v>
      </c>
      <c r="L348" t="str">
        <f>[1]raw_orders!L348</f>
        <v>Eco Chairs 369</v>
      </c>
      <c r="M348" t="str">
        <f>IF(TRIM([1]raw_orders!M348)="","Unknown",PROPER(TRIM([1]raw_orders!M348)))</f>
        <v>Second Class</v>
      </c>
      <c r="N348" s="5">
        <f>[1]raw_orders!N348</f>
        <v>6</v>
      </c>
      <c r="O348" s="5">
        <f>[1]raw_orders!O348</f>
        <v>1607.46</v>
      </c>
      <c r="P348" s="5">
        <f>[1]raw_orders!P348</f>
        <v>0.2</v>
      </c>
      <c r="Q348" t="str">
        <f>PROPER(TRIM([1]raw_orders!T348))</f>
        <v>Paid</v>
      </c>
      <c r="R348" t="str">
        <f>PROPER(TRIM([1]raw_orders!U348))</f>
        <v>Completed</v>
      </c>
      <c r="S348" s="5">
        <f>[1]raw_orders!S348</f>
        <v>3457.39</v>
      </c>
      <c r="T348" s="5">
        <f t="shared" si="40"/>
        <v>34.573900000000002</v>
      </c>
      <c r="U348" s="5">
        <f t="shared" si="41"/>
        <v>-323812.20776400005</v>
      </c>
      <c r="V348" s="5">
        <f t="shared" si="42"/>
        <v>-323812.40776400006</v>
      </c>
      <c r="W348" s="5">
        <f t="shared" si="43"/>
        <v>1.0000006176419394</v>
      </c>
      <c r="X348" s="5">
        <f t="shared" si="44"/>
        <v>6</v>
      </c>
      <c r="Y348" s="5">
        <f t="shared" si="45"/>
        <v>7</v>
      </c>
      <c r="Z348" s="5">
        <f t="shared" si="46"/>
        <v>2025</v>
      </c>
      <c r="AA348" t="str">
        <f t="shared" si="47"/>
        <v>Clean</v>
      </c>
    </row>
    <row r="349" spans="1:27" x14ac:dyDescent="0.3">
      <c r="A349" t="str">
        <f>[1]raw_orders!A349</f>
        <v>ORD-2024-10348</v>
      </c>
      <c r="B349" s="4">
        <f>IFERROR(DATEVALUE([1]raw_orders!B349), "Invalid Date")</f>
        <v>45627</v>
      </c>
      <c r="C349" s="4">
        <f>IFERROR(DATEVALUE([1]raw_orders!C349), "Invalid Date")</f>
        <v>45516</v>
      </c>
      <c r="D349" t="str">
        <f>[1]raw_orders!D349</f>
        <v>CUST-1172</v>
      </c>
      <c r="E349" t="str">
        <f>PROPER(TRIM([1]raw_orders!E349))</f>
        <v>Aarav Sharma</v>
      </c>
      <c r="F349" t="str">
        <f>PROPER(TRIM([1]raw_orders!F349))</f>
        <v>Small Business</v>
      </c>
      <c r="G349" t="str">
        <f>IF(TRIM([1]raw_orders!G349)="","Unknown",PROPER(TRIM([1]raw_orders!G349)))</f>
        <v>West</v>
      </c>
      <c r="H349" t="str">
        <f>PROPER(TRIM([1]raw_orders!H349))</f>
        <v>Goa</v>
      </c>
      <c r="I349" t="str">
        <f>PROPER(TRIM([1]raw_orders!I349))</f>
        <v>Panaji</v>
      </c>
      <c r="J349" t="str">
        <f>PROPER(TRIM([1]raw_orders!J349))</f>
        <v>Furniture</v>
      </c>
      <c r="K349" t="str">
        <f>PROPER(TRIM([1]raw_orders!K349))</f>
        <v>Chairs</v>
      </c>
      <c r="L349" t="str">
        <f>[1]raw_orders!L349</f>
        <v>Max Chairs 487</v>
      </c>
      <c r="M349" t="str">
        <f>IF(TRIM([1]raw_orders!M349)="","Unknown",PROPER(TRIM([1]raw_orders!M349)))</f>
        <v>Second Class</v>
      </c>
      <c r="N349" s="5">
        <f>[1]raw_orders!N349</f>
        <v>5</v>
      </c>
      <c r="O349" s="5">
        <f>[1]raw_orders!O349</f>
        <v>2981.49</v>
      </c>
      <c r="P349" s="5">
        <f>[1]raw_orders!P349</f>
        <v>0.2</v>
      </c>
      <c r="Q349" t="str">
        <f>PROPER(TRIM([1]raw_orders!T349))</f>
        <v>Refunded</v>
      </c>
      <c r="R349" t="str">
        <f>PROPER(TRIM([1]raw_orders!U349))</f>
        <v>Returned</v>
      </c>
      <c r="S349" s="5">
        <f>[1]raw_orders!S349</f>
        <v>1822.45</v>
      </c>
      <c r="T349" s="5">
        <f t="shared" si="40"/>
        <v>18.224499999999999</v>
      </c>
      <c r="U349" s="5">
        <f t="shared" si="41"/>
        <v>-256773.37252499996</v>
      </c>
      <c r="V349" s="5">
        <f t="shared" si="42"/>
        <v>-256773.57252499997</v>
      </c>
      <c r="W349" s="5">
        <f t="shared" si="43"/>
        <v>1.0000007788969629</v>
      </c>
      <c r="X349" s="5">
        <f t="shared" si="44"/>
        <v>-111</v>
      </c>
      <c r="Y349" s="5">
        <f t="shared" si="45"/>
        <v>12</v>
      </c>
      <c r="Z349" s="5">
        <f t="shared" si="46"/>
        <v>2024</v>
      </c>
      <c r="AA349" t="str">
        <f t="shared" si="47"/>
        <v>Invalid</v>
      </c>
    </row>
    <row r="350" spans="1:27" x14ac:dyDescent="0.3">
      <c r="A350" t="str">
        <f>[1]raw_orders!A350</f>
        <v>ORD-2024-10349</v>
      </c>
      <c r="B350" s="4">
        <f>IFERROR(DATEVALUE([1]raw_orders!B350), "Invalid Date")</f>
        <v>45328</v>
      </c>
      <c r="C350" s="4">
        <f>IFERROR(DATEVALUE([1]raw_orders!C350), "Invalid Date")</f>
        <v>45479</v>
      </c>
      <c r="D350" t="str">
        <f>[1]raw_orders!D350</f>
        <v>CUST-9517</v>
      </c>
      <c r="E350" t="str">
        <f>PROPER(TRIM([1]raw_orders!E350))</f>
        <v>Aarav Sharma</v>
      </c>
      <c r="F350" t="str">
        <f>PROPER(TRIM([1]raw_orders!F350))</f>
        <v>Corporate</v>
      </c>
      <c r="G350" t="str">
        <f>IF(TRIM([1]raw_orders!G350)="","Unknown",PROPER(TRIM([1]raw_orders!G350)))</f>
        <v>South</v>
      </c>
      <c r="H350" t="str">
        <f>PROPER(TRIM([1]raw_orders!H350))</f>
        <v>Karnataka</v>
      </c>
      <c r="I350" t="str">
        <f>PROPER(TRIM([1]raw_orders!I350))</f>
        <v>Bengaluru</v>
      </c>
      <c r="J350" t="str">
        <f>PROPER(TRIM([1]raw_orders!J350))</f>
        <v>Technology</v>
      </c>
      <c r="K350" t="str">
        <f>PROPER(TRIM([1]raw_orders!K350))</f>
        <v>Phones</v>
      </c>
      <c r="L350" t="str">
        <f>[1]raw_orders!L350</f>
        <v>Classic Phones 989</v>
      </c>
      <c r="M350" t="str">
        <f>IF(TRIM([1]raw_orders!M350)="","Unknown",PROPER(TRIM([1]raw_orders!M350)))</f>
        <v>Same Day</v>
      </c>
      <c r="N350" s="5">
        <f>[1]raw_orders!N350</f>
        <v>9</v>
      </c>
      <c r="O350" s="5">
        <f>[1]raw_orders!O350</f>
        <v>2860.26</v>
      </c>
      <c r="P350" s="5">
        <f>[1]raw_orders!P350</f>
        <v>0.25</v>
      </c>
      <c r="Q350" t="str">
        <f>PROPER(TRIM([1]raw_orders!T350))</f>
        <v>Paid</v>
      </c>
      <c r="R350" t="str">
        <f>PROPER(TRIM([1]raw_orders!U350))</f>
        <v>Completed</v>
      </c>
      <c r="S350" s="5">
        <f>[1]raw_orders!S350</f>
        <v>4864.38</v>
      </c>
      <c r="T350" s="5">
        <f t="shared" si="40"/>
        <v>48.643799999999999</v>
      </c>
      <c r="U350" s="5">
        <f t="shared" si="41"/>
        <v>-1226462.8984920001</v>
      </c>
      <c r="V350" s="5">
        <f t="shared" si="42"/>
        <v>-1226463.1484920001</v>
      </c>
      <c r="W350" s="5">
        <f t="shared" si="43"/>
        <v>1.0000002038382085</v>
      </c>
      <c r="X350" s="5">
        <f t="shared" si="44"/>
        <v>151</v>
      </c>
      <c r="Y350" s="5">
        <f t="shared" si="45"/>
        <v>2</v>
      </c>
      <c r="Z350" s="5">
        <f t="shared" si="46"/>
        <v>2024</v>
      </c>
      <c r="AA350" t="str">
        <f t="shared" si="47"/>
        <v>Clean</v>
      </c>
    </row>
    <row r="351" spans="1:27" x14ac:dyDescent="0.3">
      <c r="A351" t="str">
        <f>[1]raw_orders!A351</f>
        <v>ORD-2025-10350</v>
      </c>
      <c r="B351" s="4">
        <f>IFERROR(DATEVALUE([1]raw_orders!B351), "Invalid Date")</f>
        <v>45927</v>
      </c>
      <c r="C351" s="4" t="str">
        <f>IFERROR(DATEVALUE([1]raw_orders!C351), "Invalid Date")</f>
        <v>Invalid Date</v>
      </c>
      <c r="D351" t="str">
        <f>[1]raw_orders!D351</f>
        <v>CUST-6697</v>
      </c>
      <c r="E351" t="str">
        <f>PROPER(TRIM([1]raw_orders!E351))</f>
        <v>Kabir Singh</v>
      </c>
      <c r="F351" t="str">
        <f>PROPER(TRIM([1]raw_orders!F351))</f>
        <v>Home Office</v>
      </c>
      <c r="G351" t="str">
        <f>IF(TRIM([1]raw_orders!G351)="","Unknown",PROPER(TRIM([1]raw_orders!G351)))</f>
        <v>East</v>
      </c>
      <c r="H351" t="str">
        <f>PROPER(TRIM([1]raw_orders!H351))</f>
        <v>Jharkhand</v>
      </c>
      <c r="I351" t="str">
        <f>PROPER(TRIM([1]raw_orders!I351))</f>
        <v>Ranchi</v>
      </c>
      <c r="J351" t="str">
        <f>PROPER(TRIM([1]raw_orders!J351))</f>
        <v>Furniture</v>
      </c>
      <c r="K351" t="str">
        <f>PROPER(TRIM([1]raw_orders!K351))</f>
        <v>Furnishings</v>
      </c>
      <c r="L351" t="str">
        <f>[1]raw_orders!L351</f>
        <v>Max Furnishings 628</v>
      </c>
      <c r="M351" t="str">
        <f>IF(TRIM([1]raw_orders!M351)="","Unknown",PROPER(TRIM([1]raw_orders!M351)))</f>
        <v>Second Class</v>
      </c>
      <c r="N351" s="5">
        <f>[1]raw_orders!N351</f>
        <v>9</v>
      </c>
      <c r="O351" s="5">
        <f>[1]raw_orders!O351</f>
        <v>2867.55</v>
      </c>
      <c r="P351" s="5">
        <f>[1]raw_orders!P351</f>
        <v>0.25</v>
      </c>
      <c r="Q351" t="str">
        <f>PROPER(TRIM([1]raw_orders!T351))</f>
        <v>Paid</v>
      </c>
      <c r="R351" t="str">
        <f>PROPER(TRIM([1]raw_orders!U351))</f>
        <v>Completed</v>
      </c>
      <c r="S351" s="5">
        <f>[1]raw_orders!S351</f>
        <v>4017.4</v>
      </c>
      <c r="T351" s="5">
        <f t="shared" si="40"/>
        <v>40.173999999999999</v>
      </c>
      <c r="U351" s="5">
        <f t="shared" si="41"/>
        <v>-1011000.6333</v>
      </c>
      <c r="V351" s="5">
        <f t="shared" si="42"/>
        <v>-1011000.8833</v>
      </c>
      <c r="W351" s="5">
        <f t="shared" si="43"/>
        <v>1.000000247279766</v>
      </c>
      <c r="X351" s="5" t="str">
        <f t="shared" si="44"/>
        <v>Invalid Date</v>
      </c>
      <c r="Y351" s="5">
        <f t="shared" si="45"/>
        <v>9</v>
      </c>
      <c r="Z351" s="5">
        <f t="shared" si="46"/>
        <v>2025</v>
      </c>
      <c r="AA351" t="str">
        <f t="shared" si="47"/>
        <v>Clean</v>
      </c>
    </row>
    <row r="352" spans="1:27" x14ac:dyDescent="0.3">
      <c r="A352" t="str">
        <f>[1]raw_orders!A352</f>
        <v>ORD-2024-10351</v>
      </c>
      <c r="B352" s="4">
        <f>IFERROR(DATEVALUE([1]raw_orders!B352), "Invalid Date")</f>
        <v>45298</v>
      </c>
      <c r="C352" s="4">
        <f>IFERROR(DATEVALUE([1]raw_orders!C352), "Invalid Date")</f>
        <v>45305</v>
      </c>
      <c r="D352" t="str">
        <f>[1]raw_orders!D352</f>
        <v>CUST-7644</v>
      </c>
      <c r="E352" t="str">
        <f>PROPER(TRIM([1]raw_orders!E352))</f>
        <v>Sneha Kapoor</v>
      </c>
      <c r="F352" t="str">
        <f>PROPER(TRIM([1]raw_orders!F352))</f>
        <v>Small Business</v>
      </c>
      <c r="G352" t="str">
        <f>IF(TRIM([1]raw_orders!G352)="","Unknown",PROPER(TRIM([1]raw_orders!G352)))</f>
        <v>East</v>
      </c>
      <c r="H352" t="str">
        <f>PROPER(TRIM([1]raw_orders!H352))</f>
        <v>Jharkhand</v>
      </c>
      <c r="I352" t="str">
        <f>PROPER(TRIM([1]raw_orders!I352))</f>
        <v>Ranchi</v>
      </c>
      <c r="J352" t="str">
        <f>PROPER(TRIM([1]raw_orders!J352))</f>
        <v>Furniture</v>
      </c>
      <c r="K352" t="str">
        <f>PROPER(TRIM([1]raw_orders!K352))</f>
        <v>Furnishings</v>
      </c>
      <c r="L352" t="str">
        <f>[1]raw_orders!L352</f>
        <v>Elite Furnishings 279</v>
      </c>
      <c r="M352" t="str">
        <f>IF(TRIM([1]raw_orders!M352)="","Unknown",PROPER(TRIM([1]raw_orders!M352)))</f>
        <v>Second Class</v>
      </c>
      <c r="N352" s="5">
        <f>[1]raw_orders!N352</f>
        <v>4</v>
      </c>
      <c r="O352" s="5">
        <f>[1]raw_orders!O352</f>
        <v>3309.54</v>
      </c>
      <c r="P352" s="5">
        <f>[1]raw_orders!P352</f>
        <v>0.1</v>
      </c>
      <c r="Q352" t="str">
        <f>PROPER(TRIM([1]raw_orders!T352))</f>
        <v>Refunded</v>
      </c>
      <c r="R352" t="str">
        <f>PROPER(TRIM([1]raw_orders!U352))</f>
        <v>Returned</v>
      </c>
      <c r="S352" s="5">
        <f>[1]raw_orders!S352</f>
        <v>2143.1</v>
      </c>
      <c r="T352" s="5">
        <f t="shared" si="40"/>
        <v>21.430999999999997</v>
      </c>
      <c r="U352" s="5">
        <f t="shared" si="41"/>
        <v>-270468.84695999994</v>
      </c>
      <c r="V352" s="5">
        <f t="shared" si="42"/>
        <v>-270468.94695999991</v>
      </c>
      <c r="W352" s="5">
        <f t="shared" si="43"/>
        <v>1.0000003697283479</v>
      </c>
      <c r="X352" s="5">
        <f t="shared" si="44"/>
        <v>7</v>
      </c>
      <c r="Y352" s="5">
        <f t="shared" si="45"/>
        <v>1</v>
      </c>
      <c r="Z352" s="5">
        <f t="shared" si="46"/>
        <v>2024</v>
      </c>
      <c r="AA352" t="str">
        <f t="shared" si="47"/>
        <v>Clean</v>
      </c>
    </row>
    <row r="353" spans="1:27" x14ac:dyDescent="0.3">
      <c r="A353" t="str">
        <f>[1]raw_orders!A353</f>
        <v>ORD-2025-10352</v>
      </c>
      <c r="B353" s="4">
        <f>IFERROR(DATEVALUE([1]raw_orders!B353), "Invalid Date")</f>
        <v>45800</v>
      </c>
      <c r="C353" s="4">
        <f>IFERROR(DATEVALUE([1]raw_orders!C353), "Invalid Date")</f>
        <v>45804</v>
      </c>
      <c r="D353" t="str">
        <f>[1]raw_orders!D353</f>
        <v>CUST-9963</v>
      </c>
      <c r="E353" t="str">
        <f>PROPER(TRIM([1]raw_orders!E353))</f>
        <v>Vikram Iyer</v>
      </c>
      <c r="F353" t="str">
        <f>PROPER(TRIM([1]raw_orders!F353))</f>
        <v>Small Business</v>
      </c>
      <c r="G353" t="str">
        <f>IF(TRIM([1]raw_orders!G353)="","Unknown",PROPER(TRIM([1]raw_orders!G353)))</f>
        <v>South</v>
      </c>
      <c r="H353" t="str">
        <f>PROPER(TRIM([1]raw_orders!H353))</f>
        <v>Telangana</v>
      </c>
      <c r="I353" t="str">
        <f>PROPER(TRIM([1]raw_orders!I353))</f>
        <v>Hyderabad</v>
      </c>
      <c r="J353" t="str">
        <f>PROPER(TRIM([1]raw_orders!J353))</f>
        <v>Office Supplies</v>
      </c>
      <c r="K353" t="str">
        <f>PROPER(TRIM([1]raw_orders!K353))</f>
        <v>Storage</v>
      </c>
      <c r="L353" t="str">
        <f>[1]raw_orders!L353</f>
        <v>Pro Storage 847</v>
      </c>
      <c r="M353" t="str">
        <f>IF(TRIM([1]raw_orders!M353)="","Unknown",PROPER(TRIM([1]raw_orders!M353)))</f>
        <v>First Class</v>
      </c>
      <c r="N353" s="5">
        <f>[1]raw_orders!N353</f>
        <v>6</v>
      </c>
      <c r="O353" s="5">
        <f>[1]raw_orders!O353</f>
        <v>719.44</v>
      </c>
      <c r="P353" s="5">
        <f>[1]raw_orders!P353</f>
        <v>0.25</v>
      </c>
      <c r="Q353" t="str">
        <f>PROPER(TRIM([1]raw_orders!T353))</f>
        <v>Pending</v>
      </c>
      <c r="R353" t="str">
        <f>PROPER(TRIM([1]raw_orders!U353))</f>
        <v>Cancelled</v>
      </c>
      <c r="S353" s="5">
        <f>[1]raw_orders!S353</f>
        <v>1119.1400000000001</v>
      </c>
      <c r="T353" s="5">
        <f t="shared" si="40"/>
        <v>11.191400000000002</v>
      </c>
      <c r="U353" s="5">
        <f t="shared" si="41"/>
        <v>-43992.604896000012</v>
      </c>
      <c r="V353" s="5">
        <f t="shared" si="42"/>
        <v>-43992.854896000012</v>
      </c>
      <c r="W353" s="5">
        <f t="shared" si="43"/>
        <v>1.0000056827732886</v>
      </c>
      <c r="X353" s="5">
        <f t="shared" si="44"/>
        <v>4</v>
      </c>
      <c r="Y353" s="5">
        <f t="shared" si="45"/>
        <v>5</v>
      </c>
      <c r="Z353" s="5">
        <f t="shared" si="46"/>
        <v>2025</v>
      </c>
      <c r="AA353" t="str">
        <f t="shared" si="47"/>
        <v>Clean</v>
      </c>
    </row>
    <row r="354" spans="1:27" x14ac:dyDescent="0.3">
      <c r="A354" t="str">
        <f>[1]raw_orders!A354</f>
        <v>ORD-2025-10353</v>
      </c>
      <c r="B354" s="4">
        <f>IFERROR(DATEVALUE([1]raw_orders!B354), "Invalid Date")</f>
        <v>45884</v>
      </c>
      <c r="C354" s="4" t="str">
        <f>IFERROR(DATEVALUE([1]raw_orders!C354), "Invalid Date")</f>
        <v>Invalid Date</v>
      </c>
      <c r="D354" t="str">
        <f>[1]raw_orders!D354</f>
        <v>CUST-6382</v>
      </c>
      <c r="E354" t="str">
        <f>PROPER(TRIM([1]raw_orders!E354))</f>
        <v>Diya Patel</v>
      </c>
      <c r="F354" t="str">
        <f>PROPER(TRIM([1]raw_orders!F354))</f>
        <v>Small Business</v>
      </c>
      <c r="G354" t="str">
        <f>IF(TRIM([1]raw_orders!G354)="","Unknown",PROPER(TRIM([1]raw_orders!G354)))</f>
        <v>East</v>
      </c>
      <c r="H354" t="str">
        <f>PROPER(TRIM([1]raw_orders!H354))</f>
        <v>Assam</v>
      </c>
      <c r="I354" t="str">
        <f>PROPER(TRIM([1]raw_orders!I354))</f>
        <v>Guwahati</v>
      </c>
      <c r="J354" t="str">
        <f>PROPER(TRIM([1]raw_orders!J354))</f>
        <v>Technology</v>
      </c>
      <c r="K354" t="str">
        <f>PROPER(TRIM([1]raw_orders!K354))</f>
        <v>Copiers</v>
      </c>
      <c r="L354" t="str">
        <f>[1]raw_orders!L354</f>
        <v>Elite Copiers 706</v>
      </c>
      <c r="M354" t="str">
        <f>IF(TRIM([1]raw_orders!M354)="","Unknown",PROPER(TRIM([1]raw_orders!M354)))</f>
        <v>First Class</v>
      </c>
      <c r="N354" s="5">
        <f>[1]raw_orders!N354</f>
        <v>5</v>
      </c>
      <c r="O354" s="5">
        <f>[1]raw_orders!O354</f>
        <v>2862.6</v>
      </c>
      <c r="P354" s="5">
        <f>[1]raw_orders!P354</f>
        <v>0.25</v>
      </c>
      <c r="Q354" t="str">
        <f>PROPER(TRIM([1]raw_orders!T354))</f>
        <v>Paid</v>
      </c>
      <c r="R354" t="str">
        <f>PROPER(TRIM([1]raw_orders!U354))</f>
        <v>Completed</v>
      </c>
      <c r="S354" s="5">
        <f>[1]raw_orders!S354</f>
        <v>4259.0200000000004</v>
      </c>
      <c r="T354" s="5">
        <f t="shared" si="40"/>
        <v>42.590200000000003</v>
      </c>
      <c r="U354" s="5">
        <f t="shared" si="41"/>
        <v>-595280.53260000004</v>
      </c>
      <c r="V354" s="5">
        <f t="shared" si="42"/>
        <v>-595280.78260000004</v>
      </c>
      <c r="W354" s="5">
        <f t="shared" si="43"/>
        <v>1.0000004199700583</v>
      </c>
      <c r="X354" s="5" t="str">
        <f t="shared" si="44"/>
        <v>Invalid Date</v>
      </c>
      <c r="Y354" s="5">
        <f t="shared" si="45"/>
        <v>8</v>
      </c>
      <c r="Z354" s="5">
        <f t="shared" si="46"/>
        <v>2025</v>
      </c>
      <c r="AA354" t="str">
        <f t="shared" si="47"/>
        <v>Clean</v>
      </c>
    </row>
    <row r="355" spans="1:27" x14ac:dyDescent="0.3">
      <c r="A355" t="str">
        <f>[1]raw_orders!A355</f>
        <v>ORD-2025-10354</v>
      </c>
      <c r="B355" s="4">
        <f>IFERROR(DATEVALUE([1]raw_orders!B355), "Invalid Date")</f>
        <v>45709</v>
      </c>
      <c r="C355" s="4">
        <f>IFERROR(DATEVALUE([1]raw_orders!C355), "Invalid Date")</f>
        <v>45715</v>
      </c>
      <c r="D355" t="str">
        <f>[1]raw_orders!D355</f>
        <v>CUST-3253</v>
      </c>
      <c r="E355" t="str">
        <f>PROPER(TRIM([1]raw_orders!E355))</f>
        <v>Ananya Rao</v>
      </c>
      <c r="F355" t="str">
        <f>PROPER(TRIM([1]raw_orders!F355))</f>
        <v>Consumer</v>
      </c>
      <c r="G355" t="str">
        <f>IF(TRIM([1]raw_orders!G355)="","Unknown",PROPER(TRIM([1]raw_orders!G355)))</f>
        <v>North</v>
      </c>
      <c r="H355" t="str">
        <f>PROPER(TRIM([1]raw_orders!H355))</f>
        <v>Rajasthan</v>
      </c>
      <c r="I355" t="str">
        <f>PROPER(TRIM([1]raw_orders!I355))</f>
        <v>Jaipur</v>
      </c>
      <c r="J355" t="str">
        <f>PROPER(TRIM([1]raw_orders!J355))</f>
        <v>Office Supplies</v>
      </c>
      <c r="K355" t="str">
        <f>PROPER(TRIM([1]raw_orders!K355))</f>
        <v>Art</v>
      </c>
      <c r="L355" t="str">
        <f>[1]raw_orders!L355</f>
        <v>Prime Art 978</v>
      </c>
      <c r="M355" t="str">
        <f>IF(TRIM([1]raw_orders!M355)="","Unknown",PROPER(TRIM([1]raw_orders!M355)))</f>
        <v>Same Day</v>
      </c>
      <c r="N355" s="5">
        <f>[1]raw_orders!N355</f>
        <v>9</v>
      </c>
      <c r="O355" s="5">
        <f>[1]raw_orders!O355</f>
        <v>1431.67</v>
      </c>
      <c r="P355" s="5">
        <f>[1]raw_orders!P355</f>
        <v>0.2</v>
      </c>
      <c r="Q355" t="str">
        <f>PROPER(TRIM([1]raw_orders!T355))</f>
        <v>Paid</v>
      </c>
      <c r="R355" t="str">
        <f>PROPER(TRIM([1]raw_orders!U355))</f>
        <v>Completed</v>
      </c>
      <c r="S355" s="5">
        <f>[1]raw_orders!S355</f>
        <v>4485.71</v>
      </c>
      <c r="T355" s="5">
        <f t="shared" si="40"/>
        <v>44.857100000000003</v>
      </c>
      <c r="U355" s="5">
        <f t="shared" si="41"/>
        <v>-565100.04921300011</v>
      </c>
      <c r="V355" s="5">
        <f t="shared" si="42"/>
        <v>-565100.24921300006</v>
      </c>
      <c r="W355" s="5">
        <f t="shared" si="43"/>
        <v>1.0000003539196294</v>
      </c>
      <c r="X355" s="5">
        <f t="shared" si="44"/>
        <v>6</v>
      </c>
      <c r="Y355" s="5">
        <f t="shared" si="45"/>
        <v>2</v>
      </c>
      <c r="Z355" s="5">
        <f t="shared" si="46"/>
        <v>2025</v>
      </c>
      <c r="AA355" t="str">
        <f t="shared" si="47"/>
        <v>Clean</v>
      </c>
    </row>
    <row r="356" spans="1:27" x14ac:dyDescent="0.3">
      <c r="A356" t="str">
        <f>[1]raw_orders!A356</f>
        <v>ORD-2024-10355</v>
      </c>
      <c r="B356" s="4">
        <f>IFERROR(DATEVALUE([1]raw_orders!B356), "Invalid Date")</f>
        <v>45653</v>
      </c>
      <c r="C356" s="4">
        <f>IFERROR(DATEVALUE([1]raw_orders!C356), "Invalid Date")</f>
        <v>45657</v>
      </c>
      <c r="D356" t="str">
        <f>[1]raw_orders!D356</f>
        <v>CUST-1058</v>
      </c>
      <c r="E356" t="str">
        <f>PROPER(TRIM([1]raw_orders!E356))</f>
        <v>Kabir Singh</v>
      </c>
      <c r="F356" t="str">
        <f>PROPER(TRIM([1]raw_orders!F356))</f>
        <v>Corporate</v>
      </c>
      <c r="G356" t="str">
        <f>IF(TRIM([1]raw_orders!G356)="","Unknown",PROPER(TRIM([1]raw_orders!G356)))</f>
        <v>North</v>
      </c>
      <c r="H356" t="str">
        <f>PROPER(TRIM([1]raw_orders!H356))</f>
        <v>Punjab</v>
      </c>
      <c r="I356" t="str">
        <f>PROPER(TRIM([1]raw_orders!I356))</f>
        <v>Ludhiana</v>
      </c>
      <c r="J356" t="str">
        <f>PROPER(TRIM([1]raw_orders!J356))</f>
        <v>Furniture</v>
      </c>
      <c r="K356" t="str">
        <f>PROPER(TRIM([1]raw_orders!K356))</f>
        <v>Furnishings</v>
      </c>
      <c r="L356" t="str">
        <f>[1]raw_orders!L356</f>
        <v>Classic Furnishings 498</v>
      </c>
      <c r="M356" t="str">
        <f>IF(TRIM([1]raw_orders!M356)="","Unknown",PROPER(TRIM([1]raw_orders!M356)))</f>
        <v>Standard Class</v>
      </c>
      <c r="N356" s="5">
        <f>[1]raw_orders!N356</f>
        <v>6</v>
      </c>
      <c r="O356" s="5">
        <f>[1]raw_orders!O356</f>
        <v>3346.78</v>
      </c>
      <c r="P356" s="5">
        <f>[1]raw_orders!P356</f>
        <v>-0.06</v>
      </c>
      <c r="Q356" t="str">
        <f>PROPER(TRIM([1]raw_orders!T356))</f>
        <v>Pending</v>
      </c>
      <c r="R356" t="str">
        <f>PROPER(TRIM([1]raw_orders!U356))</f>
        <v>Cancelled</v>
      </c>
      <c r="S356" s="5">
        <f>[1]raw_orders!S356</f>
        <v>7171.84</v>
      </c>
      <c r="T356" s="5">
        <f t="shared" si="40"/>
        <v>71.718400000000003</v>
      </c>
      <c r="U356" s="5">
        <f t="shared" si="41"/>
        <v>-1420073.560512</v>
      </c>
      <c r="V356" s="5">
        <f t="shared" si="42"/>
        <v>-1420073.5005119999</v>
      </c>
      <c r="W356" s="5">
        <f t="shared" si="43"/>
        <v>0.99999995774866757</v>
      </c>
      <c r="X356" s="5">
        <f t="shared" si="44"/>
        <v>4</v>
      </c>
      <c r="Y356" s="5">
        <f t="shared" si="45"/>
        <v>12</v>
      </c>
      <c r="Z356" s="5">
        <f t="shared" si="46"/>
        <v>2024</v>
      </c>
      <c r="AA356" t="str">
        <f t="shared" si="47"/>
        <v>Clean</v>
      </c>
    </row>
    <row r="357" spans="1:27" x14ac:dyDescent="0.3">
      <c r="A357" t="str">
        <f>[1]raw_orders!A357</f>
        <v>ORD-2024-10356</v>
      </c>
      <c r="B357" s="4">
        <f>IFERROR(DATEVALUE([1]raw_orders!B357), "Invalid Date")</f>
        <v>45424</v>
      </c>
      <c r="C357" s="4">
        <f>IFERROR(DATEVALUE([1]raw_orders!C357), "Invalid Date")</f>
        <v>45421</v>
      </c>
      <c r="D357" t="str">
        <f>[1]raw_orders!D357</f>
        <v>CUST-6414</v>
      </c>
      <c r="E357" t="str">
        <f>PROPER(TRIM([1]raw_orders!E357))</f>
        <v>Priya Menon</v>
      </c>
      <c r="F357" t="str">
        <f>PROPER(TRIM([1]raw_orders!F357))</f>
        <v>Corporate</v>
      </c>
      <c r="G357" t="str">
        <f>IF(TRIM([1]raw_orders!G357)="","Unknown",PROPER(TRIM([1]raw_orders!G357)))</f>
        <v>West</v>
      </c>
      <c r="H357" t="str">
        <f>PROPER(TRIM([1]raw_orders!H357))</f>
        <v>Rajasthan</v>
      </c>
      <c r="I357" t="str">
        <f>PROPER(TRIM([1]raw_orders!I357))</f>
        <v>Udaipur</v>
      </c>
      <c r="J357" t="str">
        <f>PROPER(TRIM([1]raw_orders!J357))</f>
        <v>Furniture</v>
      </c>
      <c r="K357" t="str">
        <f>PROPER(TRIM([1]raw_orders!K357))</f>
        <v>Tables</v>
      </c>
      <c r="L357" t="str">
        <f>[1]raw_orders!L357</f>
        <v>Max Tables 829</v>
      </c>
      <c r="M357" t="str">
        <f>IF(TRIM([1]raw_orders!M357)="","Unknown",PROPER(TRIM([1]raw_orders!M357)))</f>
        <v>Standard Class</v>
      </c>
      <c r="N357" s="5">
        <f>[1]raw_orders!N357</f>
        <v>5</v>
      </c>
      <c r="O357" s="5">
        <f>[1]raw_orders!O357</f>
        <v>3203.48</v>
      </c>
      <c r="P357" s="5">
        <f>[1]raw_orders!P357</f>
        <v>0</v>
      </c>
      <c r="Q357" t="str">
        <f>PROPER(TRIM([1]raw_orders!T357))</f>
        <v>Pending</v>
      </c>
      <c r="R357" t="str">
        <f>PROPER(TRIM([1]raw_orders!U357))</f>
        <v>Cancelled</v>
      </c>
      <c r="S357" s="5">
        <f>[1]raw_orders!S357</f>
        <v>6459.6</v>
      </c>
      <c r="T357" s="5">
        <f t="shared" si="40"/>
        <v>64.596000000000004</v>
      </c>
      <c r="U357" s="5">
        <f t="shared" si="41"/>
        <v>-1018642.5704000001</v>
      </c>
      <c r="V357" s="5">
        <f t="shared" si="42"/>
        <v>-1018642.5704000001</v>
      </c>
      <c r="W357" s="5">
        <f t="shared" si="43"/>
        <v>1</v>
      </c>
      <c r="X357" s="5">
        <f t="shared" si="44"/>
        <v>-3</v>
      </c>
      <c r="Y357" s="5">
        <f t="shared" si="45"/>
        <v>5</v>
      </c>
      <c r="Z357" s="5">
        <f t="shared" si="46"/>
        <v>2024</v>
      </c>
      <c r="AA357" t="str">
        <f t="shared" si="47"/>
        <v>Invalid</v>
      </c>
    </row>
    <row r="358" spans="1:27" x14ac:dyDescent="0.3">
      <c r="A358" t="str">
        <f>[1]raw_orders!A358</f>
        <v>ORD-2025-10357</v>
      </c>
      <c r="B358" s="4">
        <f>IFERROR(DATEVALUE([1]raw_orders!B358), "Invalid Date")</f>
        <v>45835</v>
      </c>
      <c r="C358" s="4">
        <f>IFERROR(DATEVALUE([1]raw_orders!C358), "Invalid Date")</f>
        <v>45837</v>
      </c>
      <c r="D358" t="str">
        <f>[1]raw_orders!D358</f>
        <v>CUST-9268</v>
      </c>
      <c r="E358" t="str">
        <f>PROPER(TRIM([1]raw_orders!E358))</f>
        <v>Rohan Mehta</v>
      </c>
      <c r="F358" t="str">
        <f>PROPER(TRIM([1]raw_orders!F358))</f>
        <v>Home Office</v>
      </c>
      <c r="G358" t="str">
        <f>IF(TRIM([1]raw_orders!G358)="","Unknown",PROPER(TRIM([1]raw_orders!G358)))</f>
        <v>South</v>
      </c>
      <c r="H358" t="str">
        <f>PROPER(TRIM([1]raw_orders!H358))</f>
        <v>Telangana</v>
      </c>
      <c r="I358" t="str">
        <f>PROPER(TRIM([1]raw_orders!I358))</f>
        <v>Hyderabad</v>
      </c>
      <c r="J358" t="str">
        <f>PROPER(TRIM([1]raw_orders!J358))</f>
        <v>Furniture</v>
      </c>
      <c r="K358" t="str">
        <f>PROPER(TRIM([1]raw_orders!K358))</f>
        <v>Chairs</v>
      </c>
      <c r="L358" t="str">
        <f>[1]raw_orders!L358</f>
        <v>Eco Chairs 346</v>
      </c>
      <c r="M358" t="str">
        <f>IF(TRIM([1]raw_orders!M358)="","Unknown",PROPER(TRIM([1]raw_orders!M358)))</f>
        <v>First Class</v>
      </c>
      <c r="N358" s="5">
        <f>[1]raw_orders!N358</f>
        <v>5</v>
      </c>
      <c r="O358" s="5">
        <f>[1]raw_orders!O358</f>
        <v>621.70000000000005</v>
      </c>
      <c r="P358" s="5">
        <f>[1]raw_orders!P358</f>
        <v>0.2</v>
      </c>
      <c r="Q358" t="str">
        <f>PROPER(TRIM([1]raw_orders!T358))</f>
        <v>Pending</v>
      </c>
      <c r="R358" t="str">
        <f>PROPER(TRIM([1]raw_orders!U358))</f>
        <v>Returned</v>
      </c>
      <c r="S358" s="5">
        <f>[1]raw_orders!S358</f>
        <v>355.07</v>
      </c>
      <c r="T358" s="5">
        <f t="shared" si="40"/>
        <v>3.5507</v>
      </c>
      <c r="U358" s="5">
        <f t="shared" si="41"/>
        <v>-7928.85095</v>
      </c>
      <c r="V358" s="5">
        <f t="shared" si="42"/>
        <v>-7929.0509499999998</v>
      </c>
      <c r="W358" s="5">
        <f t="shared" si="43"/>
        <v>1.0000252243359424</v>
      </c>
      <c r="X358" s="5">
        <f t="shared" si="44"/>
        <v>2</v>
      </c>
      <c r="Y358" s="5">
        <f t="shared" si="45"/>
        <v>6</v>
      </c>
      <c r="Z358" s="5">
        <f t="shared" si="46"/>
        <v>2025</v>
      </c>
      <c r="AA358" t="str">
        <f t="shared" si="47"/>
        <v>Clean</v>
      </c>
    </row>
    <row r="359" spans="1:27" x14ac:dyDescent="0.3">
      <c r="A359" t="str">
        <f>[1]raw_orders!A359</f>
        <v>ORD-2025-10358</v>
      </c>
      <c r="B359" s="4">
        <f>IFERROR(DATEVALUE([1]raw_orders!B359), "Invalid Date")</f>
        <v>45678</v>
      </c>
      <c r="C359" s="4" t="str">
        <f>IFERROR(DATEVALUE([1]raw_orders!C359), "Invalid Date")</f>
        <v>Invalid Date</v>
      </c>
      <c r="D359" t="str">
        <f>[1]raw_orders!D359</f>
        <v>CUST-1363</v>
      </c>
      <c r="E359" t="str">
        <f>PROPER(TRIM([1]raw_orders!E359))</f>
        <v>Mira Das</v>
      </c>
      <c r="F359" t="str">
        <f>PROPER(TRIM([1]raw_orders!F359))</f>
        <v>Home Office</v>
      </c>
      <c r="G359" t="str">
        <f>IF(TRIM([1]raw_orders!G359)="","Unknown",PROPER(TRIM([1]raw_orders!G359)))</f>
        <v>South</v>
      </c>
      <c r="H359" t="str">
        <f>PROPER(TRIM([1]raw_orders!H359))</f>
        <v>Andhra Pradesh</v>
      </c>
      <c r="I359" t="str">
        <f>PROPER(TRIM([1]raw_orders!I359))</f>
        <v>Vijayawada</v>
      </c>
      <c r="J359" t="str">
        <f>PROPER(TRIM([1]raw_orders!J359))</f>
        <v>Technology</v>
      </c>
      <c r="K359" t="str">
        <f>PROPER(TRIM([1]raw_orders!K359))</f>
        <v>Machines</v>
      </c>
      <c r="L359" t="str">
        <f>[1]raw_orders!L359</f>
        <v>Max Machines 770</v>
      </c>
      <c r="M359" t="str">
        <f>IF(TRIM([1]raw_orders!M359)="","Unknown",PROPER(TRIM([1]raw_orders!M359)))</f>
        <v>Second Class</v>
      </c>
      <c r="N359" s="5">
        <f>[1]raw_orders!N359</f>
        <v>8</v>
      </c>
      <c r="O359" s="5">
        <f>[1]raw_orders!O359</f>
        <v>546.13</v>
      </c>
      <c r="P359" s="5">
        <f>[1]raw_orders!P359</f>
        <v>0</v>
      </c>
      <c r="Q359" t="str">
        <f>PROPER(TRIM([1]raw_orders!T359))</f>
        <v>Paid</v>
      </c>
      <c r="R359" t="str">
        <f>PROPER(TRIM([1]raw_orders!U359))</f>
        <v>Cancelled</v>
      </c>
      <c r="S359" s="5">
        <f>[1]raw_orders!S359</f>
        <v>652.16</v>
      </c>
      <c r="T359" s="5">
        <f t="shared" si="40"/>
        <v>6.5215999999999994</v>
      </c>
      <c r="U359" s="5">
        <f t="shared" si="41"/>
        <v>-24124.091263999999</v>
      </c>
      <c r="V359" s="5">
        <f t="shared" si="42"/>
        <v>-24124.091263999999</v>
      </c>
      <c r="W359" s="5">
        <f t="shared" si="43"/>
        <v>1</v>
      </c>
      <c r="X359" s="5" t="str">
        <f t="shared" si="44"/>
        <v>Invalid Date</v>
      </c>
      <c r="Y359" s="5">
        <f t="shared" si="45"/>
        <v>1</v>
      </c>
      <c r="Z359" s="5">
        <f t="shared" si="46"/>
        <v>2025</v>
      </c>
      <c r="AA359" t="str">
        <f t="shared" si="47"/>
        <v>Clean</v>
      </c>
    </row>
    <row r="360" spans="1:27" x14ac:dyDescent="0.3">
      <c r="A360" t="str">
        <f>[1]raw_orders!A360</f>
        <v>ORD-2025-10359</v>
      </c>
      <c r="B360" s="4">
        <f>IFERROR(DATEVALUE([1]raw_orders!B360), "Invalid Date")</f>
        <v>45908</v>
      </c>
      <c r="C360" s="4">
        <f>IFERROR(DATEVALUE([1]raw_orders!C360), "Invalid Date")</f>
        <v>45876</v>
      </c>
      <c r="D360" t="str">
        <f>[1]raw_orders!D360</f>
        <v>CUST-2477</v>
      </c>
      <c r="E360" t="str">
        <f>PROPER(TRIM([1]raw_orders!E360))</f>
        <v>Vikram Iyer</v>
      </c>
      <c r="F360" t="str">
        <f>PROPER(TRIM([1]raw_orders!F360))</f>
        <v>Home Office</v>
      </c>
      <c r="G360" t="str">
        <f>IF(TRIM([1]raw_orders!G360)="","Unknown",PROPER(TRIM([1]raw_orders!G360)))</f>
        <v>West</v>
      </c>
      <c r="H360" t="str">
        <f>PROPER(TRIM([1]raw_orders!H360))</f>
        <v>Gujarat</v>
      </c>
      <c r="I360" t="str">
        <f>PROPER(TRIM([1]raw_orders!I360))</f>
        <v>Ahmedabad</v>
      </c>
      <c r="J360" t="str">
        <f>PROPER(TRIM([1]raw_orders!J360))</f>
        <v>Furniture</v>
      </c>
      <c r="K360" t="str">
        <f>PROPER(TRIM([1]raw_orders!K360))</f>
        <v>Bookcases</v>
      </c>
      <c r="L360" t="str">
        <f>[1]raw_orders!L360</f>
        <v>Smart Bookcases 134</v>
      </c>
      <c r="M360" t="str">
        <f>IF(TRIM([1]raw_orders!M360)="","Unknown",PROPER(TRIM([1]raw_orders!M360)))</f>
        <v>Second Class</v>
      </c>
      <c r="N360" s="5">
        <f>[1]raw_orders!N360</f>
        <v>5</v>
      </c>
      <c r="O360" s="5">
        <f>[1]raw_orders!O360</f>
        <v>1253.92</v>
      </c>
      <c r="P360" s="5">
        <f>[1]raw_orders!P360</f>
        <v>0.05</v>
      </c>
      <c r="Q360" t="str">
        <f>PROPER(TRIM([1]raw_orders!T360))</f>
        <v>Pending</v>
      </c>
      <c r="R360" t="str">
        <f>PROPER(TRIM([1]raw_orders!U360))</f>
        <v>Returned</v>
      </c>
      <c r="S360" s="5">
        <f>[1]raw_orders!S360</f>
        <v>1576.94</v>
      </c>
      <c r="T360" s="5">
        <f t="shared" si="40"/>
        <v>15.769400000000001</v>
      </c>
      <c r="U360" s="5">
        <f t="shared" si="41"/>
        <v>-92598.230240000004</v>
      </c>
      <c r="V360" s="5">
        <f t="shared" si="42"/>
        <v>-92598.280240000007</v>
      </c>
      <c r="W360" s="5">
        <f t="shared" si="43"/>
        <v>1.0000005399671232</v>
      </c>
      <c r="X360" s="5">
        <f t="shared" si="44"/>
        <v>-32</v>
      </c>
      <c r="Y360" s="5">
        <f t="shared" si="45"/>
        <v>9</v>
      </c>
      <c r="Z360" s="5">
        <f t="shared" si="46"/>
        <v>2025</v>
      </c>
      <c r="AA360" t="str">
        <f t="shared" si="47"/>
        <v>Invalid</v>
      </c>
    </row>
    <row r="361" spans="1:27" x14ac:dyDescent="0.3">
      <c r="A361" t="str">
        <f>[1]raw_orders!A361</f>
        <v>ORD-2024-10360</v>
      </c>
      <c r="B361" s="4">
        <f>IFERROR(DATEVALUE([1]raw_orders!B361), "Invalid Date")</f>
        <v>45525</v>
      </c>
      <c r="C361" s="4">
        <f>IFERROR(DATEVALUE([1]raw_orders!C361), "Invalid Date")</f>
        <v>45526</v>
      </c>
      <c r="D361" t="str">
        <f>[1]raw_orders!D361</f>
        <v>CUST-9571</v>
      </c>
      <c r="E361" t="str">
        <f>PROPER(TRIM([1]raw_orders!E361))</f>
        <v>Isha Nair</v>
      </c>
      <c r="F361" t="str">
        <f>PROPER(TRIM([1]raw_orders!F361))</f>
        <v>Consumer</v>
      </c>
      <c r="G361" t="str">
        <f>IF(TRIM([1]raw_orders!G361)="","Unknown",PROPER(TRIM([1]raw_orders!G361)))</f>
        <v>South</v>
      </c>
      <c r="H361" t="str">
        <f>PROPER(TRIM([1]raw_orders!H361))</f>
        <v>Tamil Nadu</v>
      </c>
      <c r="I361" t="str">
        <f>PROPER(TRIM([1]raw_orders!I361))</f>
        <v>Chennai</v>
      </c>
      <c r="J361" t="str">
        <f>PROPER(TRIM([1]raw_orders!J361))</f>
        <v>Technology</v>
      </c>
      <c r="K361" t="str">
        <f>PROPER(TRIM([1]raw_orders!K361))</f>
        <v>Phones</v>
      </c>
      <c r="L361" t="str">
        <f>[1]raw_orders!L361</f>
        <v>Classic Phones 586</v>
      </c>
      <c r="M361" t="str">
        <f>IF(TRIM([1]raw_orders!M361)="","Unknown",PROPER(TRIM([1]raw_orders!M361)))</f>
        <v>Same Day</v>
      </c>
      <c r="N361" s="5">
        <f>[1]raw_orders!N361</f>
        <v>9</v>
      </c>
      <c r="O361" s="5">
        <f>[1]raw_orders!O361</f>
        <v>616.96</v>
      </c>
      <c r="P361" s="5">
        <f>[1]raw_orders!P361</f>
        <v>0.1</v>
      </c>
      <c r="Q361" t="str">
        <f>PROPER(TRIM([1]raw_orders!T361))</f>
        <v>Paid</v>
      </c>
      <c r="R361" t="str">
        <f>PROPER(TRIM([1]raw_orders!U361))</f>
        <v>Completed</v>
      </c>
      <c r="S361" s="5">
        <f>[1]raw_orders!S361</f>
        <v>2025.99</v>
      </c>
      <c r="T361" s="5">
        <f t="shared" si="40"/>
        <v>20.259900000000002</v>
      </c>
      <c r="U361" s="5">
        <f t="shared" si="41"/>
        <v>-106943.29113600001</v>
      </c>
      <c r="V361" s="5">
        <f t="shared" si="42"/>
        <v>-106943.39113600002</v>
      </c>
      <c r="W361" s="5">
        <f t="shared" si="43"/>
        <v>1.0000009350750192</v>
      </c>
      <c r="X361" s="5">
        <f t="shared" si="44"/>
        <v>1</v>
      </c>
      <c r="Y361" s="5">
        <f t="shared" si="45"/>
        <v>8</v>
      </c>
      <c r="Z361" s="5">
        <f t="shared" si="46"/>
        <v>2024</v>
      </c>
      <c r="AA361" t="str">
        <f t="shared" si="47"/>
        <v>Clean</v>
      </c>
    </row>
    <row r="362" spans="1:27" x14ac:dyDescent="0.3">
      <c r="A362" t="str">
        <f>[1]raw_orders!A362</f>
        <v>ORD-2024-10361</v>
      </c>
      <c r="B362" s="4">
        <f>IFERROR(DATEVALUE([1]raw_orders!B362), "Invalid Date")</f>
        <v>45460</v>
      </c>
      <c r="C362" s="4">
        <f>IFERROR(DATEVALUE([1]raw_orders!C362), "Invalid Date")</f>
        <v>45463</v>
      </c>
      <c r="D362" t="str">
        <f>[1]raw_orders!D362</f>
        <v>CUST-3690</v>
      </c>
      <c r="E362" t="str">
        <f>PROPER(TRIM([1]raw_orders!E362))</f>
        <v>Sneha Kapoor</v>
      </c>
      <c r="F362" t="str">
        <f>PROPER(TRIM([1]raw_orders!F362))</f>
        <v>Small Business</v>
      </c>
      <c r="G362" t="str">
        <f>IF(TRIM([1]raw_orders!G362)="","Unknown",PROPER(TRIM([1]raw_orders!G362)))</f>
        <v>West</v>
      </c>
      <c r="H362" t="str">
        <f>PROPER(TRIM([1]raw_orders!H362))</f>
        <v>Gujarat</v>
      </c>
      <c r="I362" t="str">
        <f>PROPER(TRIM([1]raw_orders!I362))</f>
        <v>Ahmedabad</v>
      </c>
      <c r="J362" t="str">
        <f>PROPER(TRIM([1]raw_orders!J362))</f>
        <v>Furniture</v>
      </c>
      <c r="K362" t="str">
        <f>PROPER(TRIM([1]raw_orders!K362))</f>
        <v>Furnishings</v>
      </c>
      <c r="L362" t="str">
        <f>[1]raw_orders!L362</f>
        <v>Elite Furnishings 634</v>
      </c>
      <c r="M362" t="str">
        <f>IF(TRIM([1]raw_orders!M362)="","Unknown",PROPER(TRIM([1]raw_orders!M362)))</f>
        <v>Standard Class</v>
      </c>
      <c r="N362" s="5">
        <f>[1]raw_orders!N362</f>
        <v>7</v>
      </c>
      <c r="O362" s="5">
        <f>[1]raw_orders!O362</f>
        <v>3155.25</v>
      </c>
      <c r="P362" s="5">
        <f>[1]raw_orders!P362</f>
        <v>0.2</v>
      </c>
      <c r="Q362" t="str">
        <f>PROPER(TRIM([1]raw_orders!T362))</f>
        <v>Refunded</v>
      </c>
      <c r="R362" t="str">
        <f>PROPER(TRIM([1]raw_orders!U362))</f>
        <v>Cancelled</v>
      </c>
      <c r="S362" s="5">
        <f>[1]raw_orders!S362</f>
        <v>3950.63</v>
      </c>
      <c r="T362" s="5">
        <f t="shared" si="40"/>
        <v>39.506300000000003</v>
      </c>
      <c r="U362" s="5">
        <f t="shared" si="41"/>
        <v>-850479.02152500011</v>
      </c>
      <c r="V362" s="5">
        <f t="shared" si="42"/>
        <v>-850479.22152500006</v>
      </c>
      <c r="W362" s="5">
        <f t="shared" si="43"/>
        <v>1.0000002351615911</v>
      </c>
      <c r="X362" s="5">
        <f t="shared" si="44"/>
        <v>3</v>
      </c>
      <c r="Y362" s="5">
        <f t="shared" si="45"/>
        <v>6</v>
      </c>
      <c r="Z362" s="5">
        <f t="shared" si="46"/>
        <v>2024</v>
      </c>
      <c r="AA362" t="str">
        <f t="shared" si="47"/>
        <v>Clean</v>
      </c>
    </row>
    <row r="363" spans="1:27" x14ac:dyDescent="0.3">
      <c r="A363" t="str">
        <f>[1]raw_orders!A363</f>
        <v>ORD-2025-10362</v>
      </c>
      <c r="B363" s="4">
        <f>IFERROR(DATEVALUE([1]raw_orders!B363), "Invalid Date")</f>
        <v>45748</v>
      </c>
      <c r="C363" s="4">
        <f>IFERROR(DATEVALUE([1]raw_orders!C363), "Invalid Date")</f>
        <v>45749</v>
      </c>
      <c r="D363" t="str">
        <f>[1]raw_orders!D363</f>
        <v>CUST-2909</v>
      </c>
      <c r="E363" t="str">
        <f>PROPER(TRIM([1]raw_orders!E363))</f>
        <v>Rohan Mehta</v>
      </c>
      <c r="F363" t="str">
        <f>PROPER(TRIM([1]raw_orders!F363))</f>
        <v>Corporate</v>
      </c>
      <c r="G363" t="str">
        <f>IF(TRIM([1]raw_orders!G363)="","Unknown",PROPER(TRIM([1]raw_orders!G363)))</f>
        <v>East</v>
      </c>
      <c r="H363" t="str">
        <f>PROPER(TRIM([1]raw_orders!H363))</f>
        <v>Odisha</v>
      </c>
      <c r="I363" t="str">
        <f>PROPER(TRIM([1]raw_orders!I363))</f>
        <v>Bhubaneswar</v>
      </c>
      <c r="J363" t="str">
        <f>PROPER(TRIM([1]raw_orders!J363))</f>
        <v>Furniture</v>
      </c>
      <c r="K363" t="str">
        <f>PROPER(TRIM([1]raw_orders!K363))</f>
        <v>Chairs</v>
      </c>
      <c r="L363" t="str">
        <f>[1]raw_orders!L363</f>
        <v>Basic Chairs 113</v>
      </c>
      <c r="M363" t="str">
        <f>IF(TRIM([1]raw_orders!M363)="","Unknown",PROPER(TRIM([1]raw_orders!M363)))</f>
        <v>Second Class</v>
      </c>
      <c r="N363" s="5">
        <f>[1]raw_orders!N363</f>
        <v>9</v>
      </c>
      <c r="O363" s="5">
        <f>[1]raw_orders!O363</f>
        <v>4165.58</v>
      </c>
      <c r="P363" s="5">
        <f>[1]raw_orders!P363</f>
        <v>0.05</v>
      </c>
      <c r="Q363" t="str">
        <f>PROPER(TRIM([1]raw_orders!T363))</f>
        <v>Pending</v>
      </c>
      <c r="R363" t="str">
        <f>PROPER(TRIM([1]raw_orders!U363))</f>
        <v>Returned</v>
      </c>
      <c r="S363" s="5">
        <f>[1]raw_orders!S363</f>
        <v>15226</v>
      </c>
      <c r="T363" s="5">
        <f t="shared" si="40"/>
        <v>152.26</v>
      </c>
      <c r="U363" s="5">
        <f t="shared" si="41"/>
        <v>-5670770.6771999998</v>
      </c>
      <c r="V363" s="5">
        <f t="shared" si="42"/>
        <v>-5670770.7271999996</v>
      </c>
      <c r="W363" s="5">
        <f t="shared" si="43"/>
        <v>1.0000000088171437</v>
      </c>
      <c r="X363" s="5">
        <f t="shared" si="44"/>
        <v>1</v>
      </c>
      <c r="Y363" s="5">
        <f t="shared" si="45"/>
        <v>4</v>
      </c>
      <c r="Z363" s="5">
        <f t="shared" si="46"/>
        <v>2025</v>
      </c>
      <c r="AA363" t="str">
        <f t="shared" si="47"/>
        <v>Clean</v>
      </c>
    </row>
    <row r="364" spans="1:27" x14ac:dyDescent="0.3">
      <c r="A364" t="str">
        <f>[1]raw_orders!A364</f>
        <v>ORD-2024-10363</v>
      </c>
      <c r="B364" s="4">
        <f>IFERROR(DATEVALUE([1]raw_orders!B364), "Invalid Date")</f>
        <v>45527</v>
      </c>
      <c r="C364" s="4">
        <f>IFERROR(DATEVALUE([1]raw_orders!C364), "Invalid Date")</f>
        <v>45529</v>
      </c>
      <c r="D364" t="str">
        <f>[1]raw_orders!D364</f>
        <v>CUST-6755</v>
      </c>
      <c r="E364" t="str">
        <f>PROPER(TRIM([1]raw_orders!E364))</f>
        <v>Vikram Iyer</v>
      </c>
      <c r="F364" t="str">
        <f>PROPER(TRIM([1]raw_orders!F364))</f>
        <v>Consumer</v>
      </c>
      <c r="G364" t="str">
        <f>IF(TRIM([1]raw_orders!G364)="","Unknown",PROPER(TRIM([1]raw_orders!G364)))</f>
        <v>West</v>
      </c>
      <c r="H364" t="str">
        <f>PROPER(TRIM([1]raw_orders!H364))</f>
        <v>Goa</v>
      </c>
      <c r="I364" t="str">
        <f>PROPER(TRIM([1]raw_orders!I364))</f>
        <v>Panaji</v>
      </c>
      <c r="J364" t="str">
        <f>PROPER(TRIM([1]raw_orders!J364))</f>
        <v>Technology</v>
      </c>
      <c r="K364" t="str">
        <f>PROPER(TRIM([1]raw_orders!K364))</f>
        <v>Machines</v>
      </c>
      <c r="L364" t="str">
        <f>[1]raw_orders!L364</f>
        <v>Elite Machines 216</v>
      </c>
      <c r="M364" t="str">
        <f>IF(TRIM([1]raw_orders!M364)="","Unknown",PROPER(TRIM([1]raw_orders!M364)))</f>
        <v>Same Day</v>
      </c>
      <c r="N364" s="5">
        <f>[1]raw_orders!N364</f>
        <v>4</v>
      </c>
      <c r="O364" s="5">
        <f>[1]raw_orders!O364</f>
        <v>491.16</v>
      </c>
      <c r="P364" s="5">
        <f>[1]raw_orders!P364</f>
        <v>0.05</v>
      </c>
      <c r="Q364" t="str">
        <f>PROPER(TRIM([1]raw_orders!T364))</f>
        <v>Paid</v>
      </c>
      <c r="R364" t="str">
        <f>PROPER(TRIM([1]raw_orders!U364))</f>
        <v>Completed</v>
      </c>
      <c r="S364" s="5">
        <f>[1]raw_orders!S364</f>
        <v>289.92</v>
      </c>
      <c r="T364" s="5">
        <f t="shared" si="40"/>
        <v>2.8992</v>
      </c>
      <c r="U364" s="5">
        <f t="shared" si="41"/>
        <v>-3731.2442880000003</v>
      </c>
      <c r="V364" s="5">
        <f t="shared" si="42"/>
        <v>-3731.2942880000005</v>
      </c>
      <c r="W364" s="5">
        <f t="shared" si="43"/>
        <v>1.0000134003555223</v>
      </c>
      <c r="X364" s="5">
        <f t="shared" si="44"/>
        <v>2</v>
      </c>
      <c r="Y364" s="5">
        <f t="shared" si="45"/>
        <v>8</v>
      </c>
      <c r="Z364" s="5">
        <f t="shared" si="46"/>
        <v>2024</v>
      </c>
      <c r="AA364" t="str">
        <f t="shared" si="47"/>
        <v>Clean</v>
      </c>
    </row>
    <row r="365" spans="1:27" x14ac:dyDescent="0.3">
      <c r="A365" t="str">
        <f>[1]raw_orders!A365</f>
        <v>ORD-2025-10364</v>
      </c>
      <c r="B365" s="4">
        <f>IFERROR(DATEVALUE([1]raw_orders!B365), "Invalid Date")</f>
        <v>45845</v>
      </c>
      <c r="C365" s="4">
        <f>IFERROR(DATEVALUE([1]raw_orders!C365), "Invalid Date")</f>
        <v>45998</v>
      </c>
      <c r="D365" t="str">
        <f>[1]raw_orders!D365</f>
        <v>CUST-1832</v>
      </c>
      <c r="E365" t="str">
        <f>PROPER(TRIM([1]raw_orders!E365))</f>
        <v>Diya Patel</v>
      </c>
      <c r="F365" t="str">
        <f>PROPER(TRIM([1]raw_orders!F365))</f>
        <v>Corporate</v>
      </c>
      <c r="G365" t="str">
        <f>IF(TRIM([1]raw_orders!G365)="","Unknown",PROPER(TRIM([1]raw_orders!G365)))</f>
        <v>East</v>
      </c>
      <c r="H365" t="str">
        <f>PROPER(TRIM([1]raw_orders!H365))</f>
        <v>West Bengal</v>
      </c>
      <c r="I365" t="str">
        <f>PROPER(TRIM([1]raw_orders!I365))</f>
        <v>Kolkata</v>
      </c>
      <c r="J365" t="str">
        <f>PROPER(TRIM([1]raw_orders!J365))</f>
        <v>Furniture</v>
      </c>
      <c r="K365" t="str">
        <f>PROPER(TRIM([1]raw_orders!K365))</f>
        <v>Tables</v>
      </c>
      <c r="L365" t="str">
        <f>[1]raw_orders!L365</f>
        <v>Smart Tables 943</v>
      </c>
      <c r="M365" t="str">
        <f>IF(TRIM([1]raw_orders!M365)="","Unknown",PROPER(TRIM([1]raw_orders!M365)))</f>
        <v>Second Class</v>
      </c>
      <c r="N365" s="5">
        <f>[1]raw_orders!N365</f>
        <v>5</v>
      </c>
      <c r="O365" s="5">
        <f>[1]raw_orders!O365</f>
        <v>1831.37</v>
      </c>
      <c r="P365" s="5">
        <f>[1]raw_orders!P365</f>
        <v>0.25</v>
      </c>
      <c r="Q365" t="str">
        <f>PROPER(TRIM([1]raw_orders!T365))</f>
        <v>Paid</v>
      </c>
      <c r="R365" t="str">
        <f>PROPER(TRIM([1]raw_orders!U365))</f>
        <v>Completed</v>
      </c>
      <c r="S365" s="5">
        <f>[1]raw_orders!S365</f>
        <v>1662.28</v>
      </c>
      <c r="T365" s="5">
        <f t="shared" si="40"/>
        <v>16.622799999999998</v>
      </c>
      <c r="U365" s="5">
        <f t="shared" si="41"/>
        <v>-143055.63617999997</v>
      </c>
      <c r="V365" s="5">
        <f t="shared" si="42"/>
        <v>-143055.88617999997</v>
      </c>
      <c r="W365" s="5">
        <f t="shared" si="43"/>
        <v>1.0000017475718306</v>
      </c>
      <c r="X365" s="5">
        <f t="shared" si="44"/>
        <v>153</v>
      </c>
      <c r="Y365" s="5">
        <f t="shared" si="45"/>
        <v>7</v>
      </c>
      <c r="Z365" s="5">
        <f t="shared" si="46"/>
        <v>2025</v>
      </c>
      <c r="AA365" t="str">
        <f t="shared" si="47"/>
        <v>Clean</v>
      </c>
    </row>
    <row r="366" spans="1:27" x14ac:dyDescent="0.3">
      <c r="A366" t="str">
        <f>[1]raw_orders!A366</f>
        <v>ORD-2025-10365</v>
      </c>
      <c r="B366" s="4" t="str">
        <f>IFERROR(DATEVALUE([1]raw_orders!B366), "Invalid Date")</f>
        <v>Invalid Date</v>
      </c>
      <c r="C366" s="4">
        <f>IFERROR(DATEVALUE([1]raw_orders!C366), "Invalid Date")</f>
        <v>45740</v>
      </c>
      <c r="D366" t="str">
        <f>[1]raw_orders!D366</f>
        <v>CUST-4452</v>
      </c>
      <c r="E366" t="str">
        <f>PROPER(TRIM([1]raw_orders!E366))</f>
        <v>Aarav Sharma</v>
      </c>
      <c r="F366" t="str">
        <f>PROPER(TRIM([1]raw_orders!F366))</f>
        <v>Small Business</v>
      </c>
      <c r="G366" t="str">
        <f>IF(TRIM([1]raw_orders!G366)="","Unknown",PROPER(TRIM([1]raw_orders!G366)))</f>
        <v>South</v>
      </c>
      <c r="H366" t="str">
        <f>PROPER(TRIM([1]raw_orders!H366))</f>
        <v>Andhra Pradesh</v>
      </c>
      <c r="I366" t="str">
        <f>PROPER(TRIM([1]raw_orders!I366))</f>
        <v>Vijayawada</v>
      </c>
      <c r="J366" t="str">
        <f>PROPER(TRIM([1]raw_orders!J366))</f>
        <v>Furniture</v>
      </c>
      <c r="K366" t="str">
        <f>PROPER(TRIM([1]raw_orders!K366))</f>
        <v>Chairs</v>
      </c>
      <c r="L366" t="str">
        <f>[1]raw_orders!L366</f>
        <v>Prime Chairs 101</v>
      </c>
      <c r="M366" t="str">
        <f>IF(TRIM([1]raw_orders!M366)="","Unknown",PROPER(TRIM([1]raw_orders!M366)))</f>
        <v>Second Class</v>
      </c>
      <c r="N366" s="5">
        <f>[1]raw_orders!N366</f>
        <v>5</v>
      </c>
      <c r="O366" s="5">
        <f>[1]raw_orders!O366</f>
        <v>1239.1500000000001</v>
      </c>
      <c r="P366" s="5">
        <f>[1]raw_orders!P366</f>
        <v>0</v>
      </c>
      <c r="Q366" t="str">
        <f>PROPER(TRIM([1]raw_orders!T366))</f>
        <v>Paid</v>
      </c>
      <c r="R366" t="str">
        <f>PROPER(TRIM([1]raw_orders!U366))</f>
        <v>Completed</v>
      </c>
      <c r="S366" s="5">
        <f>[1]raw_orders!S366</f>
        <v>2228.73</v>
      </c>
      <c r="T366" s="5">
        <f t="shared" si="40"/>
        <v>22.287300000000002</v>
      </c>
      <c r="U366" s="5">
        <f t="shared" si="41"/>
        <v>-131890.788975</v>
      </c>
      <c r="V366" s="5">
        <f t="shared" si="42"/>
        <v>-131890.788975</v>
      </c>
      <c r="W366" s="5">
        <f t="shared" si="43"/>
        <v>1</v>
      </c>
      <c r="X366" s="5" t="str">
        <f t="shared" si="44"/>
        <v>Invalid Date</v>
      </c>
      <c r="Y366" s="5" t="e">
        <f t="shared" si="45"/>
        <v>#VALUE!</v>
      </c>
      <c r="Z366" s="5" t="e">
        <f t="shared" si="46"/>
        <v>#VALUE!</v>
      </c>
      <c r="AA366" t="str">
        <f t="shared" si="47"/>
        <v>Clean</v>
      </c>
    </row>
    <row r="367" spans="1:27" x14ac:dyDescent="0.3">
      <c r="A367" t="str">
        <f>[1]raw_orders!A367</f>
        <v>ORD-2024-10366</v>
      </c>
      <c r="B367" s="4">
        <f>IFERROR(DATEVALUE([1]raw_orders!B367), "Invalid Date")</f>
        <v>45458</v>
      </c>
      <c r="C367" s="4">
        <f>IFERROR(DATEVALUE([1]raw_orders!C367), "Invalid Date")</f>
        <v>45464</v>
      </c>
      <c r="D367" t="str">
        <f>[1]raw_orders!D367</f>
        <v>CUST-2203</v>
      </c>
      <c r="E367" t="str">
        <f>PROPER(TRIM([1]raw_orders!E367))</f>
        <v>Aditi Sen</v>
      </c>
      <c r="F367" t="str">
        <f>PROPER(TRIM([1]raw_orders!F367))</f>
        <v>Corporate</v>
      </c>
      <c r="G367" t="str">
        <f>IF(TRIM([1]raw_orders!G367)="","Unknown",PROPER(TRIM([1]raw_orders!G367)))</f>
        <v>West</v>
      </c>
      <c r="H367" t="str">
        <f>PROPER(TRIM([1]raw_orders!H367))</f>
        <v>Goa</v>
      </c>
      <c r="I367" t="str">
        <f>PROPER(TRIM([1]raw_orders!I367))</f>
        <v>Panaji</v>
      </c>
      <c r="J367" t="str">
        <f>PROPER(TRIM([1]raw_orders!J367))</f>
        <v>Technology</v>
      </c>
      <c r="K367" t="str">
        <f>PROPER(TRIM([1]raw_orders!K367))</f>
        <v>Accessories</v>
      </c>
      <c r="L367" t="str">
        <f>[1]raw_orders!L367</f>
        <v>Basic Accessories 774</v>
      </c>
      <c r="M367" t="str">
        <f>IF(TRIM([1]raw_orders!M367)="","Unknown",PROPER(TRIM([1]raw_orders!M367)))</f>
        <v>First Class</v>
      </c>
      <c r="N367" s="5">
        <f>[1]raw_orders!N367</f>
        <v>8</v>
      </c>
      <c r="O367" s="5">
        <f>[1]raw_orders!O367</f>
        <v>1706.4</v>
      </c>
      <c r="P367" s="5">
        <f>[1]raw_orders!P367</f>
        <v>0</v>
      </c>
      <c r="Q367" t="str">
        <f>PROPER(TRIM([1]raw_orders!T367))</f>
        <v>Paid</v>
      </c>
      <c r="R367" t="str">
        <f>PROPER(TRIM([1]raw_orders!U367))</f>
        <v>Completed</v>
      </c>
      <c r="S367" s="5">
        <f>[1]raw_orders!S367</f>
        <v>2849.03</v>
      </c>
      <c r="T367" s="5">
        <f t="shared" si="40"/>
        <v>28.490300000000001</v>
      </c>
      <c r="U367" s="5">
        <f t="shared" si="41"/>
        <v>-375275.58336000005</v>
      </c>
      <c r="V367" s="5">
        <f t="shared" si="42"/>
        <v>-375275.58336000005</v>
      </c>
      <c r="W367" s="5">
        <f t="shared" si="43"/>
        <v>1</v>
      </c>
      <c r="X367" s="5">
        <f t="shared" si="44"/>
        <v>6</v>
      </c>
      <c r="Y367" s="5">
        <f t="shared" si="45"/>
        <v>6</v>
      </c>
      <c r="Z367" s="5">
        <f t="shared" si="46"/>
        <v>2024</v>
      </c>
      <c r="AA367" t="str">
        <f t="shared" si="47"/>
        <v>Clean</v>
      </c>
    </row>
    <row r="368" spans="1:27" x14ac:dyDescent="0.3">
      <c r="A368" t="str">
        <f>[1]raw_orders!A368</f>
        <v>ORD-2025-10367</v>
      </c>
      <c r="B368" s="4">
        <f>IFERROR(DATEVALUE([1]raw_orders!B368), "Invalid Date")</f>
        <v>45673</v>
      </c>
      <c r="C368" s="4">
        <f>IFERROR(DATEVALUE([1]raw_orders!C368), "Invalid Date")</f>
        <v>45679</v>
      </c>
      <c r="D368" t="str">
        <f>[1]raw_orders!D368</f>
        <v>CUST-5397</v>
      </c>
      <c r="E368" t="str">
        <f>PROPER(TRIM([1]raw_orders!E368))</f>
        <v>Sneha Kapoor</v>
      </c>
      <c r="F368" t="str">
        <f>PROPER(TRIM([1]raw_orders!F368))</f>
        <v>Corporate</v>
      </c>
      <c r="G368" t="str">
        <f>IF(TRIM([1]raw_orders!G368)="","Unknown",PROPER(TRIM([1]raw_orders!G368)))</f>
        <v>North</v>
      </c>
      <c r="H368" t="str">
        <f>PROPER(TRIM([1]raw_orders!H368))</f>
        <v>Rajasthan</v>
      </c>
      <c r="I368" t="str">
        <f>PROPER(TRIM([1]raw_orders!I368))</f>
        <v>Jaipur</v>
      </c>
      <c r="J368" t="str">
        <f>PROPER(TRIM([1]raw_orders!J368))</f>
        <v>Furniture</v>
      </c>
      <c r="K368" t="str">
        <f>PROPER(TRIM([1]raw_orders!K368))</f>
        <v>Tables</v>
      </c>
      <c r="L368" t="str">
        <f>[1]raw_orders!L368</f>
        <v>Max Tables 478</v>
      </c>
      <c r="M368" t="str">
        <f>IF(TRIM([1]raw_orders!M368)="","Unknown",PROPER(TRIM([1]raw_orders!M368)))</f>
        <v>Same Day</v>
      </c>
      <c r="N368" s="5">
        <f>[1]raw_orders!N368</f>
        <v>2</v>
      </c>
      <c r="O368" s="5">
        <f>[1]raw_orders!O368</f>
        <v>4418.28</v>
      </c>
      <c r="P368" s="5">
        <f>[1]raw_orders!P368</f>
        <v>0</v>
      </c>
      <c r="Q368" t="str">
        <f>PROPER(TRIM([1]raw_orders!T368))</f>
        <v>Paid</v>
      </c>
      <c r="R368" t="str">
        <f>PROPER(TRIM([1]raw_orders!U368))</f>
        <v>Completed</v>
      </c>
      <c r="S368" s="5">
        <f>[1]raw_orders!S368</f>
        <v>2968.81</v>
      </c>
      <c r="T368" s="5">
        <f t="shared" si="40"/>
        <v>29.688099999999999</v>
      </c>
      <c r="U368" s="5">
        <f t="shared" si="41"/>
        <v>-253504.11693599998</v>
      </c>
      <c r="V368" s="5">
        <f t="shared" si="42"/>
        <v>-253504.11693599998</v>
      </c>
      <c r="W368" s="5">
        <f t="shared" si="43"/>
        <v>1</v>
      </c>
      <c r="X368" s="5">
        <f t="shared" si="44"/>
        <v>6</v>
      </c>
      <c r="Y368" s="5">
        <f t="shared" si="45"/>
        <v>1</v>
      </c>
      <c r="Z368" s="5">
        <f t="shared" si="46"/>
        <v>2025</v>
      </c>
      <c r="AA368" t="str">
        <f t="shared" si="47"/>
        <v>Clean</v>
      </c>
    </row>
    <row r="369" spans="1:27" x14ac:dyDescent="0.3">
      <c r="A369" t="str">
        <f>[1]raw_orders!A369</f>
        <v>ORD-2024-10368</v>
      </c>
      <c r="B369" s="4">
        <f>IFERROR(DATEVALUE([1]raw_orders!B369), "Invalid Date")</f>
        <v>45366</v>
      </c>
      <c r="C369" s="4" t="str">
        <f>IFERROR(DATEVALUE([1]raw_orders!C369), "Invalid Date")</f>
        <v>Invalid Date</v>
      </c>
      <c r="D369" t="str">
        <f>[1]raw_orders!D369</f>
        <v>CUST-4696</v>
      </c>
      <c r="E369" t="str">
        <f>PROPER(TRIM([1]raw_orders!E369))</f>
        <v>Rohan Mehta</v>
      </c>
      <c r="F369" t="str">
        <f>PROPER(TRIM([1]raw_orders!F369))</f>
        <v>Consumer</v>
      </c>
      <c r="G369" t="str">
        <f>IF(TRIM([1]raw_orders!G369)="","Unknown",PROPER(TRIM([1]raw_orders!G369)))</f>
        <v>North</v>
      </c>
      <c r="H369" t="str">
        <f>PROPER(TRIM([1]raw_orders!H369))</f>
        <v>Delhi</v>
      </c>
      <c r="I369" t="str">
        <f>PROPER(TRIM([1]raw_orders!I369))</f>
        <v>New Delhi</v>
      </c>
      <c r="J369" t="str">
        <f>PROPER(TRIM([1]raw_orders!J369))</f>
        <v>Office Supplies</v>
      </c>
      <c r="K369" t="str">
        <f>PROPER(TRIM([1]raw_orders!K369))</f>
        <v>Art</v>
      </c>
      <c r="L369" t="str">
        <f>[1]raw_orders!L369</f>
        <v>Eco Art 646</v>
      </c>
      <c r="M369" t="str">
        <f>IF(TRIM([1]raw_orders!M369)="","Unknown",PROPER(TRIM([1]raw_orders!M369)))</f>
        <v>Standard Class</v>
      </c>
      <c r="N369" s="5">
        <f>[1]raw_orders!N369</f>
        <v>6</v>
      </c>
      <c r="O369" s="5">
        <f>[1]raw_orders!O369</f>
        <v>3815.09</v>
      </c>
      <c r="P369" s="5">
        <f>[1]raw_orders!P369</f>
        <v>0.15</v>
      </c>
      <c r="Q369" t="str">
        <f>PROPER(TRIM([1]raw_orders!T369))</f>
        <v>Failed</v>
      </c>
      <c r="R369" t="str">
        <f>PROPER(TRIM([1]raw_orders!U369))</f>
        <v>Cancelled</v>
      </c>
      <c r="S369" s="5">
        <f>[1]raw_orders!S369</f>
        <v>4936.8999999999996</v>
      </c>
      <c r="T369" s="5">
        <f t="shared" si="40"/>
        <v>49.369</v>
      </c>
      <c r="U369" s="5">
        <f t="shared" si="41"/>
        <v>-1107192.52926</v>
      </c>
      <c r="V369" s="5">
        <f t="shared" si="42"/>
        <v>-1107192.6792599999</v>
      </c>
      <c r="W369" s="5">
        <f t="shared" si="43"/>
        <v>1.0000001354777928</v>
      </c>
      <c r="X369" s="5" t="str">
        <f t="shared" si="44"/>
        <v>Invalid Date</v>
      </c>
      <c r="Y369" s="5">
        <f t="shared" si="45"/>
        <v>3</v>
      </c>
      <c r="Z369" s="5">
        <f t="shared" si="46"/>
        <v>2024</v>
      </c>
      <c r="AA369" t="str">
        <f t="shared" si="47"/>
        <v>Clean</v>
      </c>
    </row>
    <row r="370" spans="1:27" x14ac:dyDescent="0.3">
      <c r="A370" t="str">
        <f>[1]raw_orders!A370</f>
        <v>ORD-2025-10369</v>
      </c>
      <c r="B370" s="4">
        <f>IFERROR(DATEVALUE([1]raw_orders!B370), "Invalid Date")</f>
        <v>45844</v>
      </c>
      <c r="C370" s="4">
        <f>IFERROR(DATEVALUE([1]raw_orders!C370), "Invalid Date")</f>
        <v>45844</v>
      </c>
      <c r="D370" t="str">
        <f>[1]raw_orders!D370</f>
        <v>CUST-8246</v>
      </c>
      <c r="E370" t="str">
        <f>PROPER(TRIM([1]raw_orders!E370))</f>
        <v>Aarav Sharma</v>
      </c>
      <c r="F370" t="str">
        <f>PROPER(TRIM([1]raw_orders!F370))</f>
        <v>Home Office</v>
      </c>
      <c r="G370" t="str">
        <f>IF(TRIM([1]raw_orders!G370)="","Unknown",PROPER(TRIM([1]raw_orders!G370)))</f>
        <v>North</v>
      </c>
      <c r="H370" t="str">
        <f>PROPER(TRIM([1]raw_orders!H370))</f>
        <v>Rajasthan</v>
      </c>
      <c r="I370" t="str">
        <f>PROPER(TRIM([1]raw_orders!I370))</f>
        <v>Jaipur</v>
      </c>
      <c r="J370" t="str">
        <f>PROPER(TRIM([1]raw_orders!J370))</f>
        <v>Technology</v>
      </c>
      <c r="K370" t="str">
        <f>PROPER(TRIM([1]raw_orders!K370))</f>
        <v>Accessories</v>
      </c>
      <c r="L370" t="str">
        <f>[1]raw_orders!L370</f>
        <v>Prime Accessories 962</v>
      </c>
      <c r="M370" t="str">
        <f>IF(TRIM([1]raw_orders!M370)="","Unknown",PROPER(TRIM([1]raw_orders!M370)))</f>
        <v>Same Day</v>
      </c>
      <c r="N370" s="5">
        <f>[1]raw_orders!N370</f>
        <v>9</v>
      </c>
      <c r="O370" s="5">
        <f>[1]raw_orders!O370</f>
        <v>243.19</v>
      </c>
      <c r="P370" s="5">
        <f>[1]raw_orders!P370</f>
        <v>0.05</v>
      </c>
      <c r="Q370" t="str">
        <f>PROPER(TRIM([1]raw_orders!T370))</f>
        <v>Refunded</v>
      </c>
      <c r="R370" t="str">
        <f>PROPER(TRIM([1]raw_orders!U370))</f>
        <v>Returned</v>
      </c>
      <c r="S370" s="5">
        <f>[1]raw_orders!S370</f>
        <v>567.1</v>
      </c>
      <c r="T370" s="5">
        <f t="shared" si="40"/>
        <v>5.6710000000000003</v>
      </c>
      <c r="U370" s="5">
        <f t="shared" si="41"/>
        <v>-10223.46441</v>
      </c>
      <c r="V370" s="5">
        <f t="shared" si="42"/>
        <v>-10223.51441</v>
      </c>
      <c r="W370" s="5">
        <f t="shared" si="43"/>
        <v>1.0000048907100367</v>
      </c>
      <c r="X370" s="5">
        <f t="shared" si="44"/>
        <v>0</v>
      </c>
      <c r="Y370" s="5">
        <f t="shared" si="45"/>
        <v>7</v>
      </c>
      <c r="Z370" s="5">
        <f t="shared" si="46"/>
        <v>2025</v>
      </c>
      <c r="AA370" t="str">
        <f t="shared" si="47"/>
        <v>Clean</v>
      </c>
    </row>
    <row r="371" spans="1:27" x14ac:dyDescent="0.3">
      <c r="A371" t="str">
        <f>[1]raw_orders!A371</f>
        <v>ORD-2025-10370</v>
      </c>
      <c r="B371" s="4">
        <f>IFERROR(DATEVALUE([1]raw_orders!B371), "Invalid Date")</f>
        <v>45680</v>
      </c>
      <c r="C371" s="4" t="str">
        <f>IFERROR(DATEVALUE([1]raw_orders!C371), "Invalid Date")</f>
        <v>Invalid Date</v>
      </c>
      <c r="D371" t="str">
        <f>[1]raw_orders!D371</f>
        <v>CUST-5672</v>
      </c>
      <c r="E371" t="str">
        <f>PROPER(TRIM([1]raw_orders!E371))</f>
        <v>Priya Menon</v>
      </c>
      <c r="F371" t="str">
        <f>PROPER(TRIM([1]raw_orders!F371))</f>
        <v>Consumer</v>
      </c>
      <c r="G371" t="str">
        <f>IF(TRIM([1]raw_orders!G371)="","Unknown",PROPER(TRIM([1]raw_orders!G371)))</f>
        <v>North</v>
      </c>
      <c r="H371" t="str">
        <f>PROPER(TRIM([1]raw_orders!H371))</f>
        <v>Delhi</v>
      </c>
      <c r="I371" t="str">
        <f>PROPER(TRIM([1]raw_orders!I371))</f>
        <v>New Delhi</v>
      </c>
      <c r="J371" t="str">
        <f>PROPER(TRIM([1]raw_orders!J371))</f>
        <v>Office Supplies</v>
      </c>
      <c r="K371" t="str">
        <f>PROPER(TRIM([1]raw_orders!K371))</f>
        <v>Labels</v>
      </c>
      <c r="L371" t="str">
        <f>[1]raw_orders!L371</f>
        <v>Eco Labels 646</v>
      </c>
      <c r="M371" t="str">
        <f>IF(TRIM([1]raw_orders!M371)="","Unknown",PROPER(TRIM([1]raw_orders!M371)))</f>
        <v>Standard Class</v>
      </c>
      <c r="N371" s="5">
        <f>[1]raw_orders!N371</f>
        <v>9</v>
      </c>
      <c r="O371" s="5">
        <f>[1]raw_orders!O371</f>
        <v>1169.3699999999999</v>
      </c>
      <c r="P371" s="5">
        <f>[1]raw_orders!P371</f>
        <v>0.15</v>
      </c>
      <c r="Q371" t="str">
        <f>PROPER(TRIM([1]raw_orders!T371))</f>
        <v>Paid</v>
      </c>
      <c r="R371" t="str">
        <f>PROPER(TRIM([1]raw_orders!U371))</f>
        <v>Completed</v>
      </c>
      <c r="S371" s="5">
        <f>[1]raw_orders!S371</f>
        <v>2205.33</v>
      </c>
      <c r="T371" s="5">
        <f t="shared" si="40"/>
        <v>22.0533</v>
      </c>
      <c r="U371" s="5">
        <f t="shared" si="41"/>
        <v>-221571.87678899997</v>
      </c>
      <c r="V371" s="5">
        <f t="shared" si="42"/>
        <v>-221572.02678899997</v>
      </c>
      <c r="W371" s="5">
        <f t="shared" si="43"/>
        <v>1.0000006769812224</v>
      </c>
      <c r="X371" s="5" t="str">
        <f t="shared" si="44"/>
        <v>Invalid Date</v>
      </c>
      <c r="Y371" s="5">
        <f t="shared" si="45"/>
        <v>1</v>
      </c>
      <c r="Z371" s="5">
        <f t="shared" si="46"/>
        <v>2025</v>
      </c>
      <c r="AA371" t="str">
        <f t="shared" si="47"/>
        <v>Clean</v>
      </c>
    </row>
    <row r="372" spans="1:27" x14ac:dyDescent="0.3">
      <c r="A372" t="str">
        <f>[1]raw_orders!A372</f>
        <v>ORD-2024-10371</v>
      </c>
      <c r="B372" s="4" t="str">
        <f>IFERROR(DATEVALUE([1]raw_orders!B372), "Invalid Date")</f>
        <v>Invalid Date</v>
      </c>
      <c r="C372" s="4">
        <f>IFERROR(DATEVALUE([1]raw_orders!C372), "Invalid Date")</f>
        <v>45525</v>
      </c>
      <c r="D372" t="str">
        <f>[1]raw_orders!D372</f>
        <v>CUST-8521</v>
      </c>
      <c r="E372" t="str">
        <f>PROPER(TRIM([1]raw_orders!E372))</f>
        <v>Ananya Rao</v>
      </c>
      <c r="F372" t="str">
        <f>PROPER(TRIM([1]raw_orders!F372))</f>
        <v>Small Business</v>
      </c>
      <c r="G372" t="str">
        <f>IF(TRIM([1]raw_orders!G372)="","Unknown",PROPER(TRIM([1]raw_orders!G372)))</f>
        <v>West</v>
      </c>
      <c r="H372" t="str">
        <f>PROPER(TRIM([1]raw_orders!H372))</f>
        <v>Rajasthan</v>
      </c>
      <c r="I372" t="str">
        <f>PROPER(TRIM([1]raw_orders!I372))</f>
        <v>Udaipur</v>
      </c>
      <c r="J372" t="str">
        <f>PROPER(TRIM([1]raw_orders!J372))</f>
        <v>Technology</v>
      </c>
      <c r="K372" t="str">
        <f>PROPER(TRIM([1]raw_orders!K372))</f>
        <v>Copiers</v>
      </c>
      <c r="L372" t="str">
        <f>[1]raw_orders!L372</f>
        <v>Classic Copiers 505</v>
      </c>
      <c r="M372" t="str">
        <f>IF(TRIM([1]raw_orders!M372)="","Unknown",PROPER(TRIM([1]raw_orders!M372)))</f>
        <v>First Class</v>
      </c>
      <c r="N372" s="5">
        <f>[1]raw_orders!N372</f>
        <v>7</v>
      </c>
      <c r="O372" s="5">
        <f>[1]raw_orders!O372</f>
        <v>2333.81</v>
      </c>
      <c r="P372" s="5">
        <f>[1]raw_orders!P372</f>
        <v>0.2</v>
      </c>
      <c r="Q372" t="str">
        <f>PROPER(TRIM([1]raw_orders!T372))</f>
        <v>Paid</v>
      </c>
      <c r="R372" t="str">
        <f>PROPER(TRIM([1]raw_orders!U372))</f>
        <v>Completed</v>
      </c>
      <c r="S372" s="5">
        <f>[1]raw_orders!S372</f>
        <v>4300.75</v>
      </c>
      <c r="T372" s="5">
        <f t="shared" si="40"/>
        <v>43.0075</v>
      </c>
      <c r="U372" s="5">
        <f t="shared" si="41"/>
        <v>-686262.66502499999</v>
      </c>
      <c r="V372" s="5">
        <f t="shared" si="42"/>
        <v>-686262.86502499995</v>
      </c>
      <c r="W372" s="5">
        <f t="shared" si="43"/>
        <v>1.0000002914336015</v>
      </c>
      <c r="X372" s="5" t="str">
        <f t="shared" si="44"/>
        <v>Invalid Date</v>
      </c>
      <c r="Y372" s="5" t="e">
        <f t="shared" si="45"/>
        <v>#VALUE!</v>
      </c>
      <c r="Z372" s="5" t="e">
        <f t="shared" si="46"/>
        <v>#VALUE!</v>
      </c>
      <c r="AA372" t="str">
        <f t="shared" si="47"/>
        <v>Clean</v>
      </c>
    </row>
    <row r="373" spans="1:27" x14ac:dyDescent="0.3">
      <c r="A373" t="str">
        <f>[1]raw_orders!A373</f>
        <v>ORD-2024-10372</v>
      </c>
      <c r="B373" s="4">
        <f>IFERROR(DATEVALUE([1]raw_orders!B373), "Invalid Date")</f>
        <v>45313</v>
      </c>
      <c r="C373" s="4">
        <f>IFERROR(DATEVALUE([1]raw_orders!C373), "Invalid Date")</f>
        <v>45315</v>
      </c>
      <c r="D373" t="str">
        <f>[1]raw_orders!D373</f>
        <v>CUST-2204</v>
      </c>
      <c r="E373" t="str">
        <f>PROPER(TRIM([1]raw_orders!E373))</f>
        <v>Diya Patel</v>
      </c>
      <c r="F373" t="str">
        <f>PROPER(TRIM([1]raw_orders!F373))</f>
        <v>Home Office</v>
      </c>
      <c r="G373" t="str">
        <f>IF(TRIM([1]raw_orders!G373)="","Unknown",PROPER(TRIM([1]raw_orders!G373)))</f>
        <v>West</v>
      </c>
      <c r="H373" t="str">
        <f>PROPER(TRIM([1]raw_orders!H373))</f>
        <v>Maharashtra</v>
      </c>
      <c r="I373" t="str">
        <f>PROPER(TRIM([1]raw_orders!I373))</f>
        <v>Mumbai</v>
      </c>
      <c r="J373" t="str">
        <f>PROPER(TRIM([1]raw_orders!J373))</f>
        <v>Office Supplies</v>
      </c>
      <c r="K373" t="str">
        <f>PROPER(TRIM([1]raw_orders!K373))</f>
        <v>Art</v>
      </c>
      <c r="L373" t="str">
        <f>[1]raw_orders!L373</f>
        <v>Pro Art 906</v>
      </c>
      <c r="M373" t="str">
        <f>IF(TRIM([1]raw_orders!M373)="","Unknown",PROPER(TRIM([1]raw_orders!M373)))</f>
        <v>Standard Class</v>
      </c>
      <c r="N373" s="5">
        <f>[1]raw_orders!N373</f>
        <v>6</v>
      </c>
      <c r="O373" s="5">
        <f>[1]raw_orders!O373</f>
        <v>1026.06</v>
      </c>
      <c r="P373" s="5">
        <f>[1]raw_orders!P373</f>
        <v>0</v>
      </c>
      <c r="Q373" t="str">
        <f>PROPER(TRIM([1]raw_orders!T373))</f>
        <v>Refunded</v>
      </c>
      <c r="R373" t="str">
        <f>PROPER(TRIM([1]raw_orders!U373))</f>
        <v>Cancelled</v>
      </c>
      <c r="S373" s="5">
        <f>[1]raw_orders!S373</f>
        <v>1635.33</v>
      </c>
      <c r="T373" s="5">
        <f t="shared" si="40"/>
        <v>16.353300000000001</v>
      </c>
      <c r="U373" s="5">
        <f t="shared" si="41"/>
        <v>-94520.441988000006</v>
      </c>
      <c r="V373" s="5">
        <f t="shared" si="42"/>
        <v>-94520.441988000006</v>
      </c>
      <c r="W373" s="5">
        <f t="shared" si="43"/>
        <v>1</v>
      </c>
      <c r="X373" s="5">
        <f t="shared" si="44"/>
        <v>2</v>
      </c>
      <c r="Y373" s="5">
        <f t="shared" si="45"/>
        <v>1</v>
      </c>
      <c r="Z373" s="5">
        <f t="shared" si="46"/>
        <v>2024</v>
      </c>
      <c r="AA373" t="str">
        <f t="shared" si="47"/>
        <v>Clean</v>
      </c>
    </row>
    <row r="374" spans="1:27" x14ac:dyDescent="0.3">
      <c r="A374" t="str">
        <f>[1]raw_orders!A374</f>
        <v>ORD-2025-10373</v>
      </c>
      <c r="B374" s="4">
        <f>IFERROR(DATEVALUE([1]raw_orders!B374), "Invalid Date")</f>
        <v>45885</v>
      </c>
      <c r="C374" s="4">
        <f>IFERROR(DATEVALUE([1]raw_orders!C374), "Invalid Date")</f>
        <v>45887</v>
      </c>
      <c r="D374" t="str">
        <f>[1]raw_orders!D374</f>
        <v>CUST-4399</v>
      </c>
      <c r="E374" t="str">
        <f>PROPER(TRIM([1]raw_orders!E374))</f>
        <v>Kabir Singh</v>
      </c>
      <c r="F374" t="str">
        <f>PROPER(TRIM([1]raw_orders!F374))</f>
        <v>Consumer</v>
      </c>
      <c r="G374" t="str">
        <f>IF(TRIM([1]raw_orders!G374)="","Unknown",PROPER(TRIM([1]raw_orders!G374)))</f>
        <v>East</v>
      </c>
      <c r="H374" t="str">
        <f>PROPER(TRIM([1]raw_orders!H374))</f>
        <v>Jharkhand</v>
      </c>
      <c r="I374" t="str">
        <f>PROPER(TRIM([1]raw_orders!I374))</f>
        <v>Ranchi</v>
      </c>
      <c r="J374" t="str">
        <f>PROPER(TRIM([1]raw_orders!J374))</f>
        <v>Furniture</v>
      </c>
      <c r="K374" t="str">
        <f>PROPER(TRIM([1]raw_orders!K374))</f>
        <v>Chairs</v>
      </c>
      <c r="L374" t="str">
        <f>[1]raw_orders!L374</f>
        <v>Max Chairs 181</v>
      </c>
      <c r="M374" t="str">
        <f>IF(TRIM([1]raw_orders!M374)="","Unknown",PROPER(TRIM([1]raw_orders!M374)))</f>
        <v>Same Day</v>
      </c>
      <c r="N374" s="5">
        <f>[1]raw_orders!N374</f>
        <v>5</v>
      </c>
      <c r="O374" s="5">
        <f>[1]raw_orders!O374</f>
        <v>1530.36</v>
      </c>
      <c r="P374" s="5">
        <f>[1]raw_orders!P374</f>
        <v>0</v>
      </c>
      <c r="Q374" t="str">
        <f>PROPER(TRIM([1]raw_orders!T374))</f>
        <v>Paid</v>
      </c>
      <c r="R374" t="str">
        <f>PROPER(TRIM([1]raw_orders!U374))</f>
        <v>Completed</v>
      </c>
      <c r="S374" s="5">
        <f>[1]raw_orders!S374</f>
        <v>2480.02</v>
      </c>
      <c r="T374" s="5">
        <f t="shared" si="40"/>
        <v>24.8002</v>
      </c>
      <c r="U374" s="5">
        <f t="shared" si="41"/>
        <v>-182114.37035999997</v>
      </c>
      <c r="V374" s="5">
        <f t="shared" si="42"/>
        <v>-182114.37035999997</v>
      </c>
      <c r="W374" s="5">
        <f t="shared" si="43"/>
        <v>1</v>
      </c>
      <c r="X374" s="5">
        <f t="shared" si="44"/>
        <v>2</v>
      </c>
      <c r="Y374" s="5">
        <f t="shared" si="45"/>
        <v>8</v>
      </c>
      <c r="Z374" s="5">
        <f t="shared" si="46"/>
        <v>2025</v>
      </c>
      <c r="AA374" t="str">
        <f t="shared" si="47"/>
        <v>Clean</v>
      </c>
    </row>
    <row r="375" spans="1:27" x14ac:dyDescent="0.3">
      <c r="A375" t="str">
        <f>[1]raw_orders!A375</f>
        <v>ORD-2025-10374</v>
      </c>
      <c r="B375" s="4">
        <f>IFERROR(DATEVALUE([1]raw_orders!B375), "Invalid Date")</f>
        <v>45760</v>
      </c>
      <c r="C375" s="4">
        <f>IFERROR(DATEVALUE([1]raw_orders!C375), "Invalid Date")</f>
        <v>45760</v>
      </c>
      <c r="D375" t="str">
        <f>[1]raw_orders!D375</f>
        <v>CUST-8566</v>
      </c>
      <c r="E375" t="str">
        <f>PROPER(TRIM([1]raw_orders!E375))</f>
        <v>Sneha Kapoor</v>
      </c>
      <c r="F375" t="str">
        <f>PROPER(TRIM([1]raw_orders!F375))</f>
        <v>Small Business</v>
      </c>
      <c r="G375" t="str">
        <f>IF(TRIM([1]raw_orders!G375)="","Unknown",PROPER(TRIM([1]raw_orders!G375)))</f>
        <v>North</v>
      </c>
      <c r="H375" t="str">
        <f>PROPER(TRIM([1]raw_orders!H375))</f>
        <v>Uttar Pradesh</v>
      </c>
      <c r="I375" t="str">
        <f>PROPER(TRIM([1]raw_orders!I375))</f>
        <v>Noida</v>
      </c>
      <c r="J375" t="str">
        <f>PROPER(TRIM([1]raw_orders!J375))</f>
        <v>Office Supplies</v>
      </c>
      <c r="K375" t="str">
        <f>PROPER(TRIM([1]raw_orders!K375))</f>
        <v>Storage</v>
      </c>
      <c r="L375" t="str">
        <f>[1]raw_orders!L375</f>
        <v>Prime Storage 951</v>
      </c>
      <c r="M375" t="str">
        <f>IF(TRIM([1]raw_orders!M375)="","Unknown",PROPER(TRIM([1]raw_orders!M375)))</f>
        <v>Second Class</v>
      </c>
      <c r="N375" s="5">
        <f>[1]raw_orders!N375</f>
        <v>9</v>
      </c>
      <c r="O375" s="5">
        <f>[1]raw_orders!O375</f>
        <v>1118.68</v>
      </c>
      <c r="P375" s="5">
        <f>[1]raw_orders!P375</f>
        <v>0</v>
      </c>
      <c r="Q375" t="str">
        <f>PROPER(TRIM([1]raw_orders!T375))</f>
        <v>Paid</v>
      </c>
      <c r="R375" t="str">
        <f>PROPER(TRIM([1]raw_orders!U375))</f>
        <v>Completed</v>
      </c>
      <c r="S375" s="5">
        <f>[1]raw_orders!S375</f>
        <v>1472.75</v>
      </c>
      <c r="T375" s="5">
        <f t="shared" si="40"/>
        <v>14.727499999999999</v>
      </c>
      <c r="U375" s="5">
        <f t="shared" si="41"/>
        <v>-138210.11730000001</v>
      </c>
      <c r="V375" s="5">
        <f t="shared" si="42"/>
        <v>-138210.11730000001</v>
      </c>
      <c r="W375" s="5">
        <f t="shared" si="43"/>
        <v>1</v>
      </c>
      <c r="X375" s="5">
        <f t="shared" si="44"/>
        <v>0</v>
      </c>
      <c r="Y375" s="5">
        <f t="shared" si="45"/>
        <v>4</v>
      </c>
      <c r="Z375" s="5">
        <f t="shared" si="46"/>
        <v>2025</v>
      </c>
      <c r="AA375" t="str">
        <f t="shared" si="47"/>
        <v>Clean</v>
      </c>
    </row>
    <row r="376" spans="1:27" x14ac:dyDescent="0.3">
      <c r="A376" t="str">
        <f>[1]raw_orders!A376</f>
        <v>ORD-2025-10375</v>
      </c>
      <c r="B376" s="4">
        <f>IFERROR(DATEVALUE([1]raw_orders!B376), "Invalid Date")</f>
        <v>45715</v>
      </c>
      <c r="C376" s="4">
        <f>IFERROR(DATEVALUE([1]raw_orders!C376), "Invalid Date")</f>
        <v>45716</v>
      </c>
      <c r="D376" t="str">
        <f>[1]raw_orders!D376</f>
        <v>CUST-2358</v>
      </c>
      <c r="E376" t="str">
        <f>PROPER(TRIM([1]raw_orders!E376))</f>
        <v>Aditi Sen</v>
      </c>
      <c r="F376" t="str">
        <f>PROPER(TRIM([1]raw_orders!F376))</f>
        <v>Small Business</v>
      </c>
      <c r="G376" t="str">
        <f>IF(TRIM([1]raw_orders!G376)="","Unknown",PROPER(TRIM([1]raw_orders!G376)))</f>
        <v>North</v>
      </c>
      <c r="H376" t="str">
        <f>PROPER(TRIM([1]raw_orders!H376))</f>
        <v>Uttar Pradesh</v>
      </c>
      <c r="I376" t="str">
        <f>PROPER(TRIM([1]raw_orders!I376))</f>
        <v>Noida</v>
      </c>
      <c r="J376" t="str">
        <f>PROPER(TRIM([1]raw_orders!J376))</f>
        <v>Office Supplies</v>
      </c>
      <c r="K376" t="str">
        <f>PROPER(TRIM([1]raw_orders!K376))</f>
        <v>Labels</v>
      </c>
      <c r="L376" t="str">
        <f>[1]raw_orders!L376</f>
        <v>Smart Labels 668</v>
      </c>
      <c r="M376" t="str">
        <f>IF(TRIM([1]raw_orders!M376)="","Unknown",PROPER(TRIM([1]raw_orders!M376)))</f>
        <v>Standard Class</v>
      </c>
      <c r="N376" s="5">
        <f>[1]raw_orders!N376</f>
        <v>6</v>
      </c>
      <c r="O376" s="5">
        <f>[1]raw_orders!O376</f>
        <v>2393.25</v>
      </c>
      <c r="P376" s="5">
        <f>[1]raw_orders!P376</f>
        <v>0</v>
      </c>
      <c r="Q376" t="str">
        <f>PROPER(TRIM([1]raw_orders!T376))</f>
        <v>Paid</v>
      </c>
      <c r="R376" t="str">
        <f>PROPER(TRIM([1]raw_orders!U376))</f>
        <v>Completed</v>
      </c>
      <c r="S376" s="5">
        <f>[1]raw_orders!S376</f>
        <v>6241.79</v>
      </c>
      <c r="T376" s="5">
        <f t="shared" si="40"/>
        <v>62.417900000000003</v>
      </c>
      <c r="U376" s="5">
        <f t="shared" si="41"/>
        <v>-881930.33504999999</v>
      </c>
      <c r="V376" s="5">
        <f t="shared" si="42"/>
        <v>-881930.33504999999</v>
      </c>
      <c r="W376" s="5">
        <f t="shared" si="43"/>
        <v>1</v>
      </c>
      <c r="X376" s="5">
        <f t="shared" si="44"/>
        <v>1</v>
      </c>
      <c r="Y376" s="5">
        <f t="shared" si="45"/>
        <v>2</v>
      </c>
      <c r="Z376" s="5">
        <f t="shared" si="46"/>
        <v>2025</v>
      </c>
      <c r="AA376" t="str">
        <f t="shared" si="47"/>
        <v>Clean</v>
      </c>
    </row>
    <row r="377" spans="1:27" x14ac:dyDescent="0.3">
      <c r="A377" t="str">
        <f>[1]raw_orders!A377</f>
        <v>ORD-2024-10376</v>
      </c>
      <c r="B377" s="4">
        <f>IFERROR(DATEVALUE([1]raw_orders!B377), "Invalid Date")</f>
        <v>45657</v>
      </c>
      <c r="C377" s="4">
        <f>IFERROR(DATEVALUE([1]raw_orders!C377), "Invalid Date")</f>
        <v>45661</v>
      </c>
      <c r="D377" t="str">
        <f>[1]raw_orders!D377</f>
        <v>CUST-2810</v>
      </c>
      <c r="E377" t="str">
        <f>PROPER(TRIM([1]raw_orders!E377))</f>
        <v>Vikram Iyer</v>
      </c>
      <c r="F377" t="str">
        <f>PROPER(TRIM([1]raw_orders!F377))</f>
        <v>Consumer</v>
      </c>
      <c r="G377" t="str">
        <f>IF(TRIM([1]raw_orders!G377)="","Unknown",PROPER(TRIM([1]raw_orders!G377)))</f>
        <v>North</v>
      </c>
      <c r="H377" t="str">
        <f>PROPER(TRIM([1]raw_orders!H377))</f>
        <v>Delhi</v>
      </c>
      <c r="I377" t="str">
        <f>PROPER(TRIM([1]raw_orders!I377))</f>
        <v>New Delhi</v>
      </c>
      <c r="J377" t="str">
        <f>PROPER(TRIM([1]raw_orders!J377))</f>
        <v>Furniture</v>
      </c>
      <c r="K377" t="str">
        <f>PROPER(TRIM([1]raw_orders!K377))</f>
        <v>Chairs</v>
      </c>
      <c r="L377" t="str">
        <f>[1]raw_orders!L377</f>
        <v>Pro Chairs 364</v>
      </c>
      <c r="M377" t="str">
        <f>IF(TRIM([1]raw_orders!M377)="","Unknown",PROPER(TRIM([1]raw_orders!M377)))</f>
        <v>Same Day</v>
      </c>
      <c r="N377" s="5">
        <f>[1]raw_orders!N377</f>
        <v>3</v>
      </c>
      <c r="O377" s="5">
        <f>[1]raw_orders!O377</f>
        <v>1166.6099999999999</v>
      </c>
      <c r="P377" s="5">
        <f>[1]raw_orders!P377</f>
        <v>0.25</v>
      </c>
      <c r="Q377" t="str">
        <f>PROPER(TRIM([1]raw_orders!T377))</f>
        <v>Paid</v>
      </c>
      <c r="R377" t="str">
        <f>PROPER(TRIM([1]raw_orders!U377))</f>
        <v>Completed</v>
      </c>
      <c r="S377" s="5">
        <f>[1]raw_orders!S377</f>
        <v>370.99</v>
      </c>
      <c r="T377" s="5">
        <f t="shared" si="40"/>
        <v>3.7099000000000002</v>
      </c>
      <c r="U377" s="5">
        <f t="shared" si="41"/>
        <v>-9484.1893170000003</v>
      </c>
      <c r="V377" s="5">
        <f t="shared" si="42"/>
        <v>-9484.4393170000003</v>
      </c>
      <c r="W377" s="5">
        <f t="shared" si="43"/>
        <v>1.0000263596593915</v>
      </c>
      <c r="X377" s="5">
        <f t="shared" si="44"/>
        <v>4</v>
      </c>
      <c r="Y377" s="5">
        <f t="shared" si="45"/>
        <v>12</v>
      </c>
      <c r="Z377" s="5">
        <f t="shared" si="46"/>
        <v>2024</v>
      </c>
      <c r="AA377" t="str">
        <f t="shared" si="47"/>
        <v>Clean</v>
      </c>
    </row>
    <row r="378" spans="1:27" x14ac:dyDescent="0.3">
      <c r="A378" t="str">
        <f>[1]raw_orders!A378</f>
        <v>ORD-2024-10377</v>
      </c>
      <c r="B378" s="4">
        <f>IFERROR(DATEVALUE([1]raw_orders!B378), "Invalid Date")</f>
        <v>45655</v>
      </c>
      <c r="C378" s="4">
        <f>IFERROR(DATEVALUE([1]raw_orders!C378), "Invalid Date")</f>
        <v>45657</v>
      </c>
      <c r="D378" t="str">
        <f>[1]raw_orders!D378</f>
        <v>CUST-5166</v>
      </c>
      <c r="E378" t="str">
        <f>PROPER(TRIM([1]raw_orders!E378))</f>
        <v>Isha Nair</v>
      </c>
      <c r="F378" t="str">
        <f>PROPER(TRIM([1]raw_orders!F378))</f>
        <v>Small Business</v>
      </c>
      <c r="G378" t="str">
        <f>IF(TRIM([1]raw_orders!G378)="","Unknown",PROPER(TRIM([1]raw_orders!G378)))</f>
        <v>East</v>
      </c>
      <c r="H378" t="str">
        <f>PROPER(TRIM([1]raw_orders!H378))</f>
        <v>Bihar</v>
      </c>
      <c r="I378" t="str">
        <f>PROPER(TRIM([1]raw_orders!I378))</f>
        <v>Patna</v>
      </c>
      <c r="J378" t="str">
        <f>PROPER(TRIM([1]raw_orders!J378))</f>
        <v>Furniture</v>
      </c>
      <c r="K378" t="str">
        <f>PROPER(TRIM([1]raw_orders!K378))</f>
        <v>Chairs</v>
      </c>
      <c r="L378" t="str">
        <f>[1]raw_orders!L378</f>
        <v>Basic Chairs 248</v>
      </c>
      <c r="M378" t="str">
        <f>IF(TRIM([1]raw_orders!M378)="","Unknown",PROPER(TRIM([1]raw_orders!M378)))</f>
        <v>First Class</v>
      </c>
      <c r="N378" s="5">
        <f>[1]raw_orders!N378</f>
        <v>6</v>
      </c>
      <c r="O378" s="5">
        <f>[1]raw_orders!O378</f>
        <v>1844.78</v>
      </c>
      <c r="P378" s="5">
        <f>[1]raw_orders!P378</f>
        <v>0.2</v>
      </c>
      <c r="Q378" t="str">
        <f>PROPER(TRIM([1]raw_orders!T378))</f>
        <v>Paid</v>
      </c>
      <c r="R378" t="str">
        <f>PROPER(TRIM([1]raw_orders!U378))</f>
        <v>Completed</v>
      </c>
      <c r="S378" s="5">
        <f>[1]raw_orders!S378</f>
        <v>1420.99</v>
      </c>
      <c r="T378" s="5">
        <f t="shared" si="40"/>
        <v>14.209899999999999</v>
      </c>
      <c r="U378" s="5">
        <f t="shared" si="41"/>
        <v>-146216.15593199999</v>
      </c>
      <c r="V378" s="5">
        <f t="shared" si="42"/>
        <v>-146216.35593200001</v>
      </c>
      <c r="W378" s="5">
        <f t="shared" si="43"/>
        <v>1.0000013678379023</v>
      </c>
      <c r="X378" s="5">
        <f t="shared" si="44"/>
        <v>2</v>
      </c>
      <c r="Y378" s="5">
        <f t="shared" si="45"/>
        <v>12</v>
      </c>
      <c r="Z378" s="5">
        <f t="shared" si="46"/>
        <v>2024</v>
      </c>
      <c r="AA378" t="str">
        <f t="shared" si="47"/>
        <v>Clean</v>
      </c>
    </row>
    <row r="379" spans="1:27" x14ac:dyDescent="0.3">
      <c r="A379" t="str">
        <f>[1]raw_orders!A379</f>
        <v>ORD-2025-10378</v>
      </c>
      <c r="B379" s="4">
        <f>IFERROR(DATEVALUE([1]raw_orders!B379), "Invalid Date")</f>
        <v>45801</v>
      </c>
      <c r="C379" s="4">
        <f>IFERROR(DATEVALUE([1]raw_orders!C379), "Invalid Date")</f>
        <v>45807</v>
      </c>
      <c r="D379" t="str">
        <f>[1]raw_orders!D379</f>
        <v>CUST-4875</v>
      </c>
      <c r="E379" t="str">
        <f>PROPER(TRIM([1]raw_orders!E379))</f>
        <v>Kabir Singh</v>
      </c>
      <c r="F379" t="str">
        <f>PROPER(TRIM([1]raw_orders!F379))</f>
        <v>Small Business</v>
      </c>
      <c r="G379" t="str">
        <f>IF(TRIM([1]raw_orders!G379)="","Unknown",PROPER(TRIM([1]raw_orders!G379)))</f>
        <v>East</v>
      </c>
      <c r="H379" t="str">
        <f>PROPER(TRIM([1]raw_orders!H379))</f>
        <v>Odisha</v>
      </c>
      <c r="I379" t="str">
        <f>PROPER(TRIM([1]raw_orders!I379))</f>
        <v>Bhubaneswar</v>
      </c>
      <c r="J379" t="str">
        <f>PROPER(TRIM([1]raw_orders!J379))</f>
        <v>Office Supplies</v>
      </c>
      <c r="K379" t="str">
        <f>PROPER(TRIM([1]raw_orders!K379))</f>
        <v>Storage</v>
      </c>
      <c r="L379" t="str">
        <f>[1]raw_orders!L379</f>
        <v>Basic Storage 360</v>
      </c>
      <c r="M379" t="str">
        <f>IF(TRIM([1]raw_orders!M379)="","Unknown",PROPER(TRIM([1]raw_orders!M379)))</f>
        <v>Same Day</v>
      </c>
      <c r="N379" s="5">
        <f>[1]raw_orders!N379</f>
        <v>1</v>
      </c>
      <c r="O379" s="5">
        <f>[1]raw_orders!O379</f>
        <v>2564.7399999999998</v>
      </c>
      <c r="P379" s="5">
        <f>[1]raw_orders!P379</f>
        <v>0</v>
      </c>
      <c r="Q379" t="str">
        <f>PROPER(TRIM([1]raw_orders!T379))</f>
        <v>Paid</v>
      </c>
      <c r="R379" t="str">
        <f>PROPER(TRIM([1]raw_orders!U379))</f>
        <v>Completed</v>
      </c>
      <c r="S379" s="5">
        <f>[1]raw_orders!S379</f>
        <v>810.16</v>
      </c>
      <c r="T379" s="5">
        <f t="shared" si="40"/>
        <v>8.1015999999999995</v>
      </c>
      <c r="U379" s="5">
        <f t="shared" si="41"/>
        <v>-18213.757583999995</v>
      </c>
      <c r="V379" s="5">
        <f t="shared" si="42"/>
        <v>-18213.757583999995</v>
      </c>
      <c r="W379" s="5">
        <f t="shared" si="43"/>
        <v>1</v>
      </c>
      <c r="X379" s="5">
        <f t="shared" si="44"/>
        <v>6</v>
      </c>
      <c r="Y379" s="5">
        <f t="shared" si="45"/>
        <v>5</v>
      </c>
      <c r="Z379" s="5">
        <f t="shared" si="46"/>
        <v>2025</v>
      </c>
      <c r="AA379" t="str">
        <f t="shared" si="47"/>
        <v>Clean</v>
      </c>
    </row>
    <row r="380" spans="1:27" x14ac:dyDescent="0.3">
      <c r="A380" t="str">
        <f>[1]raw_orders!A380</f>
        <v>ORD-2025-10379</v>
      </c>
      <c r="B380" s="4">
        <f>IFERROR(DATEVALUE([1]raw_orders!B380), "Invalid Date")</f>
        <v>45799</v>
      </c>
      <c r="C380" s="4">
        <f>IFERROR(DATEVALUE([1]raw_orders!C380), "Invalid Date")</f>
        <v>45799</v>
      </c>
      <c r="D380" t="str">
        <f>[1]raw_orders!D380</f>
        <v>CUST-3154</v>
      </c>
      <c r="E380" t="str">
        <f>PROPER(TRIM([1]raw_orders!E380))</f>
        <v>Mira Das</v>
      </c>
      <c r="F380" t="str">
        <f>PROPER(TRIM([1]raw_orders!F380))</f>
        <v>Consumer</v>
      </c>
      <c r="G380" t="str">
        <f>IF(TRIM([1]raw_orders!G380)="","Unknown",PROPER(TRIM([1]raw_orders!G380)))</f>
        <v>West</v>
      </c>
      <c r="H380" t="str">
        <f>PROPER(TRIM([1]raw_orders!H380))</f>
        <v>Goa</v>
      </c>
      <c r="I380" t="str">
        <f>PROPER(TRIM([1]raw_orders!I380))</f>
        <v>Panaji</v>
      </c>
      <c r="J380" t="str">
        <f>PROPER(TRIM([1]raw_orders!J380))</f>
        <v>Technology</v>
      </c>
      <c r="K380" t="str">
        <f>PROPER(TRIM([1]raw_orders!K380))</f>
        <v>Accessories</v>
      </c>
      <c r="L380" t="str">
        <f>[1]raw_orders!L380</f>
        <v>Basic Accessories 988</v>
      </c>
      <c r="M380" t="str">
        <f>IF(TRIM([1]raw_orders!M380)="","Unknown",PROPER(TRIM([1]raw_orders!M380)))</f>
        <v>Standard Class</v>
      </c>
      <c r="N380" s="5">
        <f>[1]raw_orders!N380</f>
        <v>2</v>
      </c>
      <c r="O380" s="5">
        <f>[1]raw_orders!O380</f>
        <v>3910.61</v>
      </c>
      <c r="P380" s="5">
        <f>[1]raw_orders!P380</f>
        <v>0</v>
      </c>
      <c r="Q380" t="str">
        <f>PROPER(TRIM([1]raw_orders!T380))</f>
        <v>Paid</v>
      </c>
      <c r="R380" t="str">
        <f>PROPER(TRIM([1]raw_orders!U380))</f>
        <v>Completed</v>
      </c>
      <c r="S380" s="5">
        <f>[1]raw_orders!S380</f>
        <v>2826.76</v>
      </c>
      <c r="T380" s="5">
        <f t="shared" si="40"/>
        <v>28.267600000000002</v>
      </c>
      <c r="U380" s="5">
        <f t="shared" si="41"/>
        <v>-213265.89847200003</v>
      </c>
      <c r="V380" s="5">
        <f t="shared" si="42"/>
        <v>-213265.89847200003</v>
      </c>
      <c r="W380" s="5">
        <f t="shared" si="43"/>
        <v>1</v>
      </c>
      <c r="X380" s="5">
        <f t="shared" si="44"/>
        <v>0</v>
      </c>
      <c r="Y380" s="5">
        <f t="shared" si="45"/>
        <v>5</v>
      </c>
      <c r="Z380" s="5">
        <f t="shared" si="46"/>
        <v>2025</v>
      </c>
      <c r="AA380" t="str">
        <f t="shared" si="47"/>
        <v>Clean</v>
      </c>
    </row>
    <row r="381" spans="1:27" x14ac:dyDescent="0.3">
      <c r="A381" t="str">
        <f>[1]raw_orders!A381</f>
        <v>ORD-2024-10380</v>
      </c>
      <c r="B381" s="4" t="str">
        <f>IFERROR(DATEVALUE([1]raw_orders!B381), "Invalid Date")</f>
        <v>Invalid Date</v>
      </c>
      <c r="C381" s="4">
        <f>IFERROR(DATEVALUE([1]raw_orders!C381), "Invalid Date")</f>
        <v>45558</v>
      </c>
      <c r="D381" t="str">
        <f>[1]raw_orders!D381</f>
        <v>CUST-6405</v>
      </c>
      <c r="E381" t="str">
        <f>PROPER(TRIM([1]raw_orders!E381))</f>
        <v>Mira Das</v>
      </c>
      <c r="F381" t="str">
        <f>PROPER(TRIM([1]raw_orders!F381))</f>
        <v>Small Business</v>
      </c>
      <c r="G381" t="str">
        <f>IF(TRIM([1]raw_orders!G381)="","Unknown",PROPER(TRIM([1]raw_orders!G381)))</f>
        <v>South</v>
      </c>
      <c r="H381" t="str">
        <f>PROPER(TRIM([1]raw_orders!H381))</f>
        <v>Kerala</v>
      </c>
      <c r="I381" t="str">
        <f>PROPER(TRIM([1]raw_orders!I381))</f>
        <v>Kochi</v>
      </c>
      <c r="J381" t="str">
        <f>PROPER(TRIM([1]raw_orders!J381))</f>
        <v>Office Supplies</v>
      </c>
      <c r="K381" t="str">
        <f>PROPER(TRIM([1]raw_orders!K381))</f>
        <v>Paper</v>
      </c>
      <c r="L381" t="str">
        <f>[1]raw_orders!L381</f>
        <v>Max Paper 334</v>
      </c>
      <c r="M381" t="str">
        <f>IF(TRIM([1]raw_orders!M381)="","Unknown",PROPER(TRIM([1]raw_orders!M381)))</f>
        <v>Standard Class</v>
      </c>
      <c r="N381" s="5">
        <f>[1]raw_orders!N381</f>
        <v>7</v>
      </c>
      <c r="O381" s="5">
        <f>[1]raw_orders!O381</f>
        <v>1136.68</v>
      </c>
      <c r="P381" s="5">
        <f>[1]raw_orders!P381</f>
        <v>0</v>
      </c>
      <c r="Q381" t="str">
        <f>PROPER(TRIM([1]raw_orders!T381))</f>
        <v>Paid</v>
      </c>
      <c r="R381" t="str">
        <f>PROPER(TRIM([1]raw_orders!U381))</f>
        <v>Completed</v>
      </c>
      <c r="S381" s="5">
        <f>[1]raw_orders!S381</f>
        <v>3157.22</v>
      </c>
      <c r="T381" s="5">
        <f t="shared" si="40"/>
        <v>31.572199999999999</v>
      </c>
      <c r="U381" s="5">
        <f t="shared" si="41"/>
        <v>-243255.65807199999</v>
      </c>
      <c r="V381" s="5">
        <f t="shared" si="42"/>
        <v>-243255.65807199999</v>
      </c>
      <c r="W381" s="5">
        <f t="shared" si="43"/>
        <v>1</v>
      </c>
      <c r="X381" s="5" t="str">
        <f t="shared" si="44"/>
        <v>Invalid Date</v>
      </c>
      <c r="Y381" s="5" t="e">
        <f t="shared" si="45"/>
        <v>#VALUE!</v>
      </c>
      <c r="Z381" s="5" t="e">
        <f t="shared" si="46"/>
        <v>#VALUE!</v>
      </c>
      <c r="AA381" t="str">
        <f t="shared" si="47"/>
        <v>Clean</v>
      </c>
    </row>
    <row r="382" spans="1:27" x14ac:dyDescent="0.3">
      <c r="A382" t="str">
        <f>[1]raw_orders!A382</f>
        <v>ORD-2024-10381</v>
      </c>
      <c r="B382" s="4">
        <f>IFERROR(DATEVALUE([1]raw_orders!B382), "Invalid Date")</f>
        <v>45389</v>
      </c>
      <c r="C382" s="4">
        <f>IFERROR(DATEVALUE([1]raw_orders!C382), "Invalid Date")</f>
        <v>45396</v>
      </c>
      <c r="D382" t="str">
        <f>[1]raw_orders!D382</f>
        <v>CUST-5779</v>
      </c>
      <c r="E382" t="str">
        <f>PROPER(TRIM([1]raw_orders!E382))</f>
        <v>Vikram Iyer</v>
      </c>
      <c r="F382" t="str">
        <f>PROPER(TRIM([1]raw_orders!F382))</f>
        <v>Consumer</v>
      </c>
      <c r="G382" t="str">
        <f>IF(TRIM([1]raw_orders!G382)="","Unknown",PROPER(TRIM([1]raw_orders!G382)))</f>
        <v>West</v>
      </c>
      <c r="H382" t="str">
        <f>PROPER(TRIM([1]raw_orders!H382))</f>
        <v>Maharashtra</v>
      </c>
      <c r="I382" t="str">
        <f>PROPER(TRIM([1]raw_orders!I382))</f>
        <v>Mumbai</v>
      </c>
      <c r="J382" t="str">
        <f>PROPER(TRIM([1]raw_orders!J382))</f>
        <v>Furniture</v>
      </c>
      <c r="K382" t="str">
        <f>PROPER(TRIM([1]raw_orders!K382))</f>
        <v>Bookcases</v>
      </c>
      <c r="L382" t="str">
        <f>[1]raw_orders!L382</f>
        <v>Prime Bookcases 952</v>
      </c>
      <c r="M382" t="str">
        <f>IF(TRIM([1]raw_orders!M382)="","Unknown",PROPER(TRIM([1]raw_orders!M382)))</f>
        <v>Same Day</v>
      </c>
      <c r="N382" s="5">
        <f>[1]raw_orders!N382</f>
        <v>5</v>
      </c>
      <c r="O382" s="5">
        <f>[1]raw_orders!O382</f>
        <v>2235.85</v>
      </c>
      <c r="P382" s="5">
        <f>[1]raw_orders!P382</f>
        <v>0.25</v>
      </c>
      <c r="Q382" t="str">
        <f>PROPER(TRIM([1]raw_orders!T382))</f>
        <v>Paid</v>
      </c>
      <c r="R382" t="str">
        <f>PROPER(TRIM([1]raw_orders!U382))</f>
        <v>Returned</v>
      </c>
      <c r="S382" s="5">
        <f>[1]raw_orders!S382</f>
        <v>3618.48</v>
      </c>
      <c r="T382" s="5">
        <f t="shared" si="40"/>
        <v>36.184800000000003</v>
      </c>
      <c r="U382" s="5">
        <f t="shared" si="41"/>
        <v>-393339.67540000001</v>
      </c>
      <c r="V382" s="5">
        <f t="shared" si="42"/>
        <v>-393339.92540000001</v>
      </c>
      <c r="W382" s="5">
        <f t="shared" si="43"/>
        <v>1.0000006355829723</v>
      </c>
      <c r="X382" s="5">
        <f t="shared" si="44"/>
        <v>7</v>
      </c>
      <c r="Y382" s="5">
        <f t="shared" si="45"/>
        <v>4</v>
      </c>
      <c r="Z382" s="5">
        <f t="shared" si="46"/>
        <v>2024</v>
      </c>
      <c r="AA382" t="str">
        <f t="shared" si="47"/>
        <v>Clean</v>
      </c>
    </row>
    <row r="383" spans="1:27" x14ac:dyDescent="0.3">
      <c r="A383" t="str">
        <f>[1]raw_orders!A383</f>
        <v>ORD-2025-10382</v>
      </c>
      <c r="B383" s="4">
        <f>IFERROR(DATEVALUE([1]raw_orders!B383), "Invalid Date")</f>
        <v>45919</v>
      </c>
      <c r="C383" s="4">
        <f>IFERROR(DATEVALUE([1]raw_orders!C383), "Invalid Date")</f>
        <v>45923</v>
      </c>
      <c r="D383" t="str">
        <f>[1]raw_orders!D383</f>
        <v>CUST-9943</v>
      </c>
      <c r="E383" t="str">
        <f>PROPER(TRIM([1]raw_orders!E383))</f>
        <v>Arjun Bose</v>
      </c>
      <c r="F383" t="str">
        <f>PROPER(TRIM([1]raw_orders!F383))</f>
        <v>Home Office</v>
      </c>
      <c r="G383" t="str">
        <f>IF(TRIM([1]raw_orders!G383)="","Unknown",PROPER(TRIM([1]raw_orders!G383)))</f>
        <v>North</v>
      </c>
      <c r="H383" t="str">
        <f>PROPER(TRIM([1]raw_orders!H383))</f>
        <v>Delhi</v>
      </c>
      <c r="I383" t="str">
        <f>PROPER(TRIM([1]raw_orders!I383))</f>
        <v>New Delhi</v>
      </c>
      <c r="J383" t="str">
        <f>PROPER(TRIM([1]raw_orders!J383))</f>
        <v>Office Supplies</v>
      </c>
      <c r="K383" t="str">
        <f>PROPER(TRIM([1]raw_orders!K383))</f>
        <v>Binders</v>
      </c>
      <c r="L383" t="str">
        <f>[1]raw_orders!L383</f>
        <v>Prime Binders 523</v>
      </c>
      <c r="M383" t="str">
        <f>IF(TRIM([1]raw_orders!M383)="","Unknown",PROPER(TRIM([1]raw_orders!M383)))</f>
        <v>Standard Class</v>
      </c>
      <c r="N383" s="5">
        <f>[1]raw_orders!N383</f>
        <v>4</v>
      </c>
      <c r="O383" s="5">
        <f>[1]raw_orders!O383</f>
        <v>4387.1499999999996</v>
      </c>
      <c r="P383" s="5">
        <f>[1]raw_orders!P383</f>
        <v>0.05</v>
      </c>
      <c r="Q383" t="str">
        <f>PROPER(TRIM([1]raw_orders!T383))</f>
        <v>Failed</v>
      </c>
      <c r="R383" t="str">
        <f>PROPER(TRIM([1]raw_orders!U383))</f>
        <v>Cancelled</v>
      </c>
      <c r="S383" s="5">
        <f>[1]raw_orders!S383</f>
        <v>5837.98</v>
      </c>
      <c r="T383" s="5">
        <f t="shared" si="40"/>
        <v>58.379799999999996</v>
      </c>
      <c r="U383" s="5">
        <f t="shared" si="41"/>
        <v>-1006935.1582799999</v>
      </c>
      <c r="V383" s="5">
        <f t="shared" si="42"/>
        <v>-1006935.2082799999</v>
      </c>
      <c r="W383" s="5">
        <f t="shared" si="43"/>
        <v>1.0000000496556305</v>
      </c>
      <c r="X383" s="5">
        <f t="shared" si="44"/>
        <v>4</v>
      </c>
      <c r="Y383" s="5">
        <f t="shared" si="45"/>
        <v>9</v>
      </c>
      <c r="Z383" s="5">
        <f t="shared" si="46"/>
        <v>2025</v>
      </c>
      <c r="AA383" t="str">
        <f t="shared" si="47"/>
        <v>Clean</v>
      </c>
    </row>
    <row r="384" spans="1:27" x14ac:dyDescent="0.3">
      <c r="A384" t="str">
        <f>[1]raw_orders!A384</f>
        <v>ORD-2025-10383</v>
      </c>
      <c r="B384" s="4">
        <f>IFERROR(DATEVALUE([1]raw_orders!B384), "Invalid Date")</f>
        <v>45720</v>
      </c>
      <c r="C384" s="4">
        <f>IFERROR(DATEVALUE([1]raw_orders!C384), "Invalid Date")</f>
        <v>45872</v>
      </c>
      <c r="D384" t="str">
        <f>[1]raw_orders!D384</f>
        <v>CUST-7098</v>
      </c>
      <c r="E384" t="str">
        <f>PROPER(TRIM([1]raw_orders!E384))</f>
        <v>Arjun Bose</v>
      </c>
      <c r="F384" t="str">
        <f>PROPER(TRIM([1]raw_orders!F384))</f>
        <v>Small Business</v>
      </c>
      <c r="G384" t="str">
        <f>IF(TRIM([1]raw_orders!G384)="","Unknown",PROPER(TRIM([1]raw_orders!G384)))</f>
        <v>East</v>
      </c>
      <c r="H384" t="str">
        <f>PROPER(TRIM([1]raw_orders!H384))</f>
        <v>Bihar</v>
      </c>
      <c r="I384" t="str">
        <f>PROPER(TRIM([1]raw_orders!I384))</f>
        <v>Patna</v>
      </c>
      <c r="J384" t="str">
        <f>PROPER(TRIM([1]raw_orders!J384))</f>
        <v>Technology</v>
      </c>
      <c r="K384" t="str">
        <f>PROPER(TRIM([1]raw_orders!K384))</f>
        <v>Phones</v>
      </c>
      <c r="L384" t="str">
        <f>[1]raw_orders!L384</f>
        <v>Pro Phones 538</v>
      </c>
      <c r="M384" t="str">
        <f>IF(TRIM([1]raw_orders!M384)="","Unknown",PROPER(TRIM([1]raw_orders!M384)))</f>
        <v>First Class</v>
      </c>
      <c r="N384" s="5">
        <f>[1]raw_orders!N384</f>
        <v>3</v>
      </c>
      <c r="O384" s="5">
        <f>[1]raw_orders!O384</f>
        <v>4361.8500000000004</v>
      </c>
      <c r="P384" s="5">
        <f>[1]raw_orders!P384</f>
        <v>0.2</v>
      </c>
      <c r="Q384" t="str">
        <f>PROPER(TRIM([1]raw_orders!T384))</f>
        <v>Paid</v>
      </c>
      <c r="R384" t="str">
        <f>PROPER(TRIM([1]raw_orders!U384))</f>
        <v>Completed</v>
      </c>
      <c r="S384" s="5">
        <f>[1]raw_orders!S384</f>
        <v>2068.5700000000002</v>
      </c>
      <c r="T384" s="5">
        <f t="shared" si="40"/>
        <v>20.685700000000001</v>
      </c>
      <c r="U384" s="5">
        <f t="shared" si="41"/>
        <v>-257598.21163500004</v>
      </c>
      <c r="V384" s="5">
        <f t="shared" si="42"/>
        <v>-257598.41163500005</v>
      </c>
      <c r="W384" s="5">
        <f t="shared" si="43"/>
        <v>1.0000007764029057</v>
      </c>
      <c r="X384" s="5">
        <f t="shared" si="44"/>
        <v>152</v>
      </c>
      <c r="Y384" s="5">
        <f t="shared" si="45"/>
        <v>3</v>
      </c>
      <c r="Z384" s="5">
        <f t="shared" si="46"/>
        <v>2025</v>
      </c>
      <c r="AA384" t="str">
        <f t="shared" si="47"/>
        <v>Clean</v>
      </c>
    </row>
    <row r="385" spans="1:27" x14ac:dyDescent="0.3">
      <c r="A385" t="str">
        <f>[1]raw_orders!A385</f>
        <v>ORD-2025-10384</v>
      </c>
      <c r="B385" s="4">
        <f>IFERROR(DATEVALUE([1]raw_orders!B385), "Invalid Date")</f>
        <v>45836</v>
      </c>
      <c r="C385" s="4">
        <f>IFERROR(DATEVALUE([1]raw_orders!C385), "Invalid Date")</f>
        <v>45843</v>
      </c>
      <c r="D385" t="str">
        <f>[1]raw_orders!D385</f>
        <v>CUST-7438</v>
      </c>
      <c r="E385" t="str">
        <f>PROPER(TRIM([1]raw_orders!E385))</f>
        <v>Vikram Iyer</v>
      </c>
      <c r="F385" t="str">
        <f>PROPER(TRIM([1]raw_orders!F385))</f>
        <v>Corporate</v>
      </c>
      <c r="G385" t="str">
        <f>IF(TRIM([1]raw_orders!G385)="","Unknown",PROPER(TRIM([1]raw_orders!G385)))</f>
        <v>East</v>
      </c>
      <c r="H385" t="str">
        <f>PROPER(TRIM([1]raw_orders!H385))</f>
        <v>West Bengal</v>
      </c>
      <c r="I385" t="str">
        <f>PROPER(TRIM([1]raw_orders!I385))</f>
        <v>Kolkata</v>
      </c>
      <c r="J385" t="str">
        <f>PROPER(TRIM([1]raw_orders!J385))</f>
        <v>Office Supplies</v>
      </c>
      <c r="K385" t="str">
        <f>PROPER(TRIM([1]raw_orders!K385))</f>
        <v>Art</v>
      </c>
      <c r="L385" t="str">
        <f>[1]raw_orders!L385</f>
        <v>Basic Art 608</v>
      </c>
      <c r="M385" t="str">
        <f>IF(TRIM([1]raw_orders!M385)="","Unknown",PROPER(TRIM([1]raw_orders!M385)))</f>
        <v>First Class</v>
      </c>
      <c r="N385" s="5">
        <f>[1]raw_orders!N385</f>
        <v>2</v>
      </c>
      <c r="O385" s="5">
        <f>[1]raw_orders!O385</f>
        <v>2242.75</v>
      </c>
      <c r="P385" s="5">
        <f>[1]raw_orders!P385</f>
        <v>0</v>
      </c>
      <c r="Q385" t="str">
        <f>PROPER(TRIM([1]raw_orders!T385))</f>
        <v>Paid</v>
      </c>
      <c r="R385" t="str">
        <f>PROPER(TRIM([1]raw_orders!U385))</f>
        <v>Cancelled</v>
      </c>
      <c r="S385" s="5">
        <f>[1]raw_orders!S385</f>
        <v>1353.64</v>
      </c>
      <c r="T385" s="5">
        <f t="shared" si="40"/>
        <v>13.5364</v>
      </c>
      <c r="U385" s="5">
        <f t="shared" si="41"/>
        <v>-56232.022199999999</v>
      </c>
      <c r="V385" s="5">
        <f t="shared" si="42"/>
        <v>-56232.022199999999</v>
      </c>
      <c r="W385" s="5">
        <f t="shared" si="43"/>
        <v>1</v>
      </c>
      <c r="X385" s="5">
        <f t="shared" si="44"/>
        <v>7</v>
      </c>
      <c r="Y385" s="5">
        <f t="shared" si="45"/>
        <v>6</v>
      </c>
      <c r="Z385" s="5">
        <f t="shared" si="46"/>
        <v>2025</v>
      </c>
      <c r="AA385" t="str">
        <f t="shared" si="47"/>
        <v>Clean</v>
      </c>
    </row>
    <row r="386" spans="1:27" x14ac:dyDescent="0.3">
      <c r="A386" t="str">
        <f>[1]raw_orders!A386</f>
        <v>ORD-2024-10385</v>
      </c>
      <c r="B386" s="4">
        <f>IFERROR(DATEVALUE([1]raw_orders!B386), "Invalid Date")</f>
        <v>45366</v>
      </c>
      <c r="C386" s="4">
        <f>IFERROR(DATEVALUE([1]raw_orders!C386), "Invalid Date")</f>
        <v>45371</v>
      </c>
      <c r="D386" t="str">
        <f>[1]raw_orders!D386</f>
        <v>CUST-8432</v>
      </c>
      <c r="E386" t="str">
        <f>PROPER(TRIM([1]raw_orders!E386))</f>
        <v>Rohan Mehta</v>
      </c>
      <c r="F386" t="str">
        <f>PROPER(TRIM([1]raw_orders!F386))</f>
        <v>Consumer</v>
      </c>
      <c r="G386" t="str">
        <f>IF(TRIM([1]raw_orders!G386)="","Unknown",PROPER(TRIM([1]raw_orders!G386)))</f>
        <v>East</v>
      </c>
      <c r="H386" t="str">
        <f>PROPER(TRIM([1]raw_orders!H386))</f>
        <v>Jharkhand</v>
      </c>
      <c r="I386" t="str">
        <f>PROPER(TRIM([1]raw_orders!I386))</f>
        <v>Ranchi</v>
      </c>
      <c r="J386" t="str">
        <f>PROPER(TRIM([1]raw_orders!J386))</f>
        <v>Technology</v>
      </c>
      <c r="K386" t="str">
        <f>PROPER(TRIM([1]raw_orders!K386))</f>
        <v>Copiers</v>
      </c>
      <c r="L386" t="str">
        <f>[1]raw_orders!L386</f>
        <v>Prime Copiers 820</v>
      </c>
      <c r="M386" t="str">
        <f>IF(TRIM([1]raw_orders!M386)="","Unknown",PROPER(TRIM([1]raw_orders!M386)))</f>
        <v>Standard Class</v>
      </c>
      <c r="N386" s="5">
        <f>[1]raw_orders!N386</f>
        <v>2</v>
      </c>
      <c r="O386" s="5">
        <f>[1]raw_orders!O386</f>
        <v>1881.4</v>
      </c>
      <c r="P386" s="5">
        <f>[1]raw_orders!P386</f>
        <v>0.25</v>
      </c>
      <c r="Q386" t="str">
        <f>PROPER(TRIM([1]raw_orders!T386))</f>
        <v>Paid</v>
      </c>
      <c r="R386" t="str">
        <f>PROPER(TRIM([1]raw_orders!U386))</f>
        <v>Returned</v>
      </c>
      <c r="S386" s="5">
        <f>[1]raw_orders!S386</f>
        <v>1197.53</v>
      </c>
      <c r="T386" s="5">
        <f t="shared" si="40"/>
        <v>11.975299999999999</v>
      </c>
      <c r="U386" s="5">
        <f t="shared" si="41"/>
        <v>-41297.858840000001</v>
      </c>
      <c r="V386" s="5">
        <f t="shared" si="42"/>
        <v>-41298.108840000001</v>
      </c>
      <c r="W386" s="5">
        <f t="shared" si="43"/>
        <v>1.0000060535826074</v>
      </c>
      <c r="X386" s="5">
        <f t="shared" si="44"/>
        <v>5</v>
      </c>
      <c r="Y386" s="5">
        <f t="shared" si="45"/>
        <v>3</v>
      </c>
      <c r="Z386" s="5">
        <f t="shared" si="46"/>
        <v>2024</v>
      </c>
      <c r="AA386" t="str">
        <f t="shared" si="47"/>
        <v>Clean</v>
      </c>
    </row>
    <row r="387" spans="1:27" x14ac:dyDescent="0.3">
      <c r="A387" t="str">
        <f>[1]raw_orders!A387</f>
        <v>ORD-2025-10386</v>
      </c>
      <c r="B387" s="4">
        <f>IFERROR(DATEVALUE([1]raw_orders!B387), "Invalid Date")</f>
        <v>45832</v>
      </c>
      <c r="C387" s="4">
        <f>IFERROR(DATEVALUE([1]raw_orders!C387), "Invalid Date")</f>
        <v>45838</v>
      </c>
      <c r="D387" t="str">
        <f>[1]raw_orders!D387</f>
        <v>CUST-2834</v>
      </c>
      <c r="E387" t="str">
        <f>PROPER(TRIM([1]raw_orders!E387))</f>
        <v>Arjun Bose</v>
      </c>
      <c r="F387" t="str">
        <f>PROPER(TRIM([1]raw_orders!F387))</f>
        <v>Consumer</v>
      </c>
      <c r="G387" t="str">
        <f>IF(TRIM([1]raw_orders!G387)="","Unknown",PROPER(TRIM([1]raw_orders!G387)))</f>
        <v>North</v>
      </c>
      <c r="H387" t="str">
        <f>PROPER(TRIM([1]raw_orders!H387))</f>
        <v>Haryana</v>
      </c>
      <c r="I387" t="str">
        <f>PROPER(TRIM([1]raw_orders!I387))</f>
        <v>Gurugram</v>
      </c>
      <c r="J387" t="str">
        <f>PROPER(TRIM([1]raw_orders!J387))</f>
        <v>Office Supplies</v>
      </c>
      <c r="K387" t="str">
        <f>PROPER(TRIM([1]raw_orders!K387))</f>
        <v>Labels</v>
      </c>
      <c r="L387" t="str">
        <f>[1]raw_orders!L387</f>
        <v>Classic Labels 670</v>
      </c>
      <c r="M387" t="str">
        <f>IF(TRIM([1]raw_orders!M387)="","Unknown",PROPER(TRIM([1]raw_orders!M387)))</f>
        <v>Standard Class</v>
      </c>
      <c r="N387" s="5">
        <f>[1]raw_orders!N387</f>
        <v>6</v>
      </c>
      <c r="O387" s="5">
        <f>[1]raw_orders!O387</f>
        <v>365.76</v>
      </c>
      <c r="P387" s="5">
        <f>[1]raw_orders!P387</f>
        <v>0.1</v>
      </c>
      <c r="Q387" t="str">
        <f>PROPER(TRIM([1]raw_orders!T387))</f>
        <v>Paid</v>
      </c>
      <c r="R387" t="str">
        <f>PROPER(TRIM([1]raw_orders!U387))</f>
        <v>Completed</v>
      </c>
      <c r="S387" s="5">
        <f>[1]raw_orders!S387</f>
        <v>859.75</v>
      </c>
      <c r="T387" s="5">
        <f t="shared" ref="T387:T450" si="48">IF(AND(ISNUMBER(S387),S387&gt;=0,S387&lt;=1),S387,IF(S387="",0,IF(S387&lt;0,"INVALID - Negative",IF(S387&gt;1,S387/100,"INVALID"))))</f>
        <v>8.5975000000000001</v>
      </c>
      <c r="U387" s="5">
        <f t="shared" ref="U387:U450" si="49">IF(AND(ISNUMBER(N387),ISNUMBER(O387),OR(ISNUMBER(T387),T387=0)),N387*O387*(1-IF(ISNUMBER(T387),T387,0)),"Calculation Error")</f>
        <v>-16673.169600000001</v>
      </c>
      <c r="V387" s="5">
        <f t="shared" ref="V387:V450" si="50">IF(AND(ISNUMBER(U387),ISNUMBER(P387)),U387-P387,"Calculation Error")</f>
        <v>-16673.2696</v>
      </c>
      <c r="W387" s="5">
        <f t="shared" ref="W387:W450" si="51">IF(AND(ISNUMBER(V387),ISNUMBER(U387),U387&lt;&gt;0),V387/U387,IF(U387=0,"N/A","Calculation Error"))</f>
        <v>1.000005997659857</v>
      </c>
      <c r="X387" s="5">
        <f t="shared" ref="X387:X450" si="52">IF(AND(ISNUMBER(B387),ISNUMBER(C387)),C387-B387,"Invalid Date")</f>
        <v>6</v>
      </c>
      <c r="Y387" s="5">
        <f t="shared" ref="Y387:Y450" si="53">MONTH(B387)</f>
        <v>6</v>
      </c>
      <c r="Z387" s="5">
        <f t="shared" ref="Z387:Z450" si="54">YEAR(B387)</f>
        <v>2025</v>
      </c>
      <c r="AA387" t="str">
        <f t="shared" ref="AA387:AA450" si="55">IF(OR(G387="Unknown",M387="Unknown",T387="INVALID - Negative",T387="INVALID",X387&lt;0,R387="Duplicate ID - Review Required"),IF(OR(T387="INVALID - Negative",T387="INVALID",X387&lt;0,R387="Duplicate ID - Review Required"),"Invalid","Warning"),"Clean")</f>
        <v>Clean</v>
      </c>
    </row>
    <row r="388" spans="1:27" x14ac:dyDescent="0.3">
      <c r="A388" t="str">
        <f>[1]raw_orders!A388</f>
        <v>ORD-2025-10387</v>
      </c>
      <c r="B388" s="4">
        <f>IFERROR(DATEVALUE([1]raw_orders!B388), "Invalid Date")</f>
        <v>45993</v>
      </c>
      <c r="C388" s="4">
        <f>IFERROR(DATEVALUE([1]raw_orders!C388), "Invalid Date")</f>
        <v>45702</v>
      </c>
      <c r="D388" t="str">
        <f>[1]raw_orders!D388</f>
        <v>CUST-4222</v>
      </c>
      <c r="E388" t="str">
        <f>PROPER(TRIM([1]raw_orders!E388))</f>
        <v>Sneha Kapoor</v>
      </c>
      <c r="F388" t="str">
        <f>PROPER(TRIM([1]raw_orders!F388))</f>
        <v>Consumer</v>
      </c>
      <c r="G388" t="str">
        <f>IF(TRIM([1]raw_orders!G388)="","Unknown",PROPER(TRIM([1]raw_orders!G388)))</f>
        <v>West</v>
      </c>
      <c r="H388" t="str">
        <f>PROPER(TRIM([1]raw_orders!H388))</f>
        <v>Maharashtra</v>
      </c>
      <c r="I388" t="str">
        <f>PROPER(TRIM([1]raw_orders!I388))</f>
        <v>Mumbai</v>
      </c>
      <c r="J388" t="str">
        <f>PROPER(TRIM([1]raw_orders!J388))</f>
        <v>Furniture</v>
      </c>
      <c r="K388" t="str">
        <f>PROPER(TRIM([1]raw_orders!K388))</f>
        <v>Furnishings</v>
      </c>
      <c r="L388" t="str">
        <f>[1]raw_orders!L388</f>
        <v>Prime Furnishings 597</v>
      </c>
      <c r="M388" t="str">
        <f>IF(TRIM([1]raw_orders!M388)="","Unknown",PROPER(TRIM([1]raw_orders!M388)))</f>
        <v>Second Class</v>
      </c>
      <c r="N388" s="5">
        <f>[1]raw_orders!N388</f>
        <v>8</v>
      </c>
      <c r="O388" s="5">
        <f>[1]raw_orders!O388</f>
        <v>2786.66</v>
      </c>
      <c r="P388" s="5">
        <f>[1]raw_orders!P388</f>
        <v>0.1</v>
      </c>
      <c r="Q388" t="str">
        <f>PROPER(TRIM([1]raw_orders!T388))</f>
        <v>Paid</v>
      </c>
      <c r="R388" t="str">
        <f>PROPER(TRIM([1]raw_orders!U388))</f>
        <v>Completed</v>
      </c>
      <c r="S388" s="5">
        <f>[1]raw_orders!S388</f>
        <v>5700.57</v>
      </c>
      <c r="T388" s="5">
        <f t="shared" si="48"/>
        <v>57.005699999999997</v>
      </c>
      <c r="U388" s="5">
        <f t="shared" si="49"/>
        <v>-1248550.7516959999</v>
      </c>
      <c r="V388" s="5">
        <f t="shared" si="50"/>
        <v>-1248550.851696</v>
      </c>
      <c r="W388" s="5">
        <f t="shared" si="51"/>
        <v>1.0000000800928597</v>
      </c>
      <c r="X388" s="5">
        <f t="shared" si="52"/>
        <v>-291</v>
      </c>
      <c r="Y388" s="5">
        <f t="shared" si="53"/>
        <v>12</v>
      </c>
      <c r="Z388" s="5">
        <f t="shared" si="54"/>
        <v>2025</v>
      </c>
      <c r="AA388" t="str">
        <f t="shared" si="55"/>
        <v>Invalid</v>
      </c>
    </row>
    <row r="389" spans="1:27" x14ac:dyDescent="0.3">
      <c r="A389" t="str">
        <f>[1]raw_orders!A389</f>
        <v>ORD-2025-10388</v>
      </c>
      <c r="B389" s="4">
        <f>IFERROR(DATEVALUE([1]raw_orders!B389), "Invalid Date")</f>
        <v>45879</v>
      </c>
      <c r="C389" s="4" t="str">
        <f>IFERROR(DATEVALUE([1]raw_orders!C389), "Invalid Date")</f>
        <v>Invalid Date</v>
      </c>
      <c r="D389" t="str">
        <f>[1]raw_orders!D389</f>
        <v>CUST-1053</v>
      </c>
      <c r="E389" t="str">
        <f>PROPER(TRIM([1]raw_orders!E389))</f>
        <v>Priya Menon</v>
      </c>
      <c r="F389" t="str">
        <f>PROPER(TRIM([1]raw_orders!F389))</f>
        <v>Small Business</v>
      </c>
      <c r="G389" t="str">
        <f>IF(TRIM([1]raw_orders!G389)="","Unknown",PROPER(TRIM([1]raw_orders!G389)))</f>
        <v>West</v>
      </c>
      <c r="H389" t="str">
        <f>PROPER(TRIM([1]raw_orders!H389))</f>
        <v>Madhya Pradesh</v>
      </c>
      <c r="I389" t="str">
        <f>PROPER(TRIM([1]raw_orders!I389))</f>
        <v>Indore</v>
      </c>
      <c r="J389" t="str">
        <f>PROPER(TRIM([1]raw_orders!J389))</f>
        <v>Furniture</v>
      </c>
      <c r="K389" t="str">
        <f>PROPER(TRIM([1]raw_orders!K389))</f>
        <v>Chairs</v>
      </c>
      <c r="L389" t="str">
        <f>[1]raw_orders!L389</f>
        <v>Prime Chairs 196</v>
      </c>
      <c r="M389" t="str">
        <f>IF(TRIM([1]raw_orders!M389)="","Unknown",PROPER(TRIM([1]raw_orders!M389)))</f>
        <v>Standard Class</v>
      </c>
      <c r="N389" s="5">
        <f>[1]raw_orders!N389</f>
        <v>5</v>
      </c>
      <c r="O389" s="5">
        <f>[1]raw_orders!O389</f>
        <v>352.86</v>
      </c>
      <c r="P389" s="5">
        <f>[1]raw_orders!P389</f>
        <v>0</v>
      </c>
      <c r="Q389" t="str">
        <f>PROPER(TRIM([1]raw_orders!T389))</f>
        <v>Pending</v>
      </c>
      <c r="R389" t="str">
        <f>PROPER(TRIM([1]raw_orders!U389))</f>
        <v>Cancelled</v>
      </c>
      <c r="S389" s="5">
        <f>[1]raw_orders!S389</f>
        <v>431.81</v>
      </c>
      <c r="T389" s="5">
        <f t="shared" si="48"/>
        <v>4.3181000000000003</v>
      </c>
      <c r="U389" s="5">
        <f t="shared" si="49"/>
        <v>-5854.1238300000014</v>
      </c>
      <c r="V389" s="5">
        <f t="shared" si="50"/>
        <v>-5854.1238300000014</v>
      </c>
      <c r="W389" s="5">
        <f t="shared" si="51"/>
        <v>1</v>
      </c>
      <c r="X389" s="5" t="str">
        <f t="shared" si="52"/>
        <v>Invalid Date</v>
      </c>
      <c r="Y389" s="5">
        <f t="shared" si="53"/>
        <v>8</v>
      </c>
      <c r="Z389" s="5">
        <f t="shared" si="54"/>
        <v>2025</v>
      </c>
      <c r="AA389" t="str">
        <f t="shared" si="55"/>
        <v>Clean</v>
      </c>
    </row>
    <row r="390" spans="1:27" x14ac:dyDescent="0.3">
      <c r="A390" t="str">
        <f>[1]raw_orders!A390</f>
        <v>ORD-2024-10389</v>
      </c>
      <c r="B390" s="4">
        <f>IFERROR(DATEVALUE([1]raw_orders!B390), "Invalid Date")</f>
        <v>45425</v>
      </c>
      <c r="C390" s="4">
        <f>IFERROR(DATEVALUE([1]raw_orders!C390), "Invalid Date")</f>
        <v>45430</v>
      </c>
      <c r="D390" t="str">
        <f>[1]raw_orders!D390</f>
        <v>CUST-1457</v>
      </c>
      <c r="E390" t="str">
        <f>PROPER(TRIM([1]raw_orders!E390))</f>
        <v>Isha Nair</v>
      </c>
      <c r="F390" t="str">
        <f>PROPER(TRIM([1]raw_orders!F390))</f>
        <v>Small Business</v>
      </c>
      <c r="G390" t="str">
        <f>IF(TRIM([1]raw_orders!G390)="","Unknown",PROPER(TRIM([1]raw_orders!G390)))</f>
        <v>West</v>
      </c>
      <c r="H390" t="str">
        <f>PROPER(TRIM([1]raw_orders!H390))</f>
        <v>Gujarat</v>
      </c>
      <c r="I390" t="str">
        <f>PROPER(TRIM([1]raw_orders!I390))</f>
        <v>Ahmedabad</v>
      </c>
      <c r="J390" t="str">
        <f>PROPER(TRIM([1]raw_orders!J390))</f>
        <v>Furniture</v>
      </c>
      <c r="K390" t="str">
        <f>PROPER(TRIM([1]raw_orders!K390))</f>
        <v>Chairs</v>
      </c>
      <c r="L390" t="str">
        <f>[1]raw_orders!L390</f>
        <v>Elite Chairs 639</v>
      </c>
      <c r="M390" t="str">
        <f>IF(TRIM([1]raw_orders!M390)="","Unknown",PROPER(TRIM([1]raw_orders!M390)))</f>
        <v>Standard Class</v>
      </c>
      <c r="N390" s="5">
        <f>[1]raw_orders!N390</f>
        <v>3</v>
      </c>
      <c r="O390" s="5">
        <f>[1]raw_orders!O390</f>
        <v>3128.59</v>
      </c>
      <c r="P390" s="5">
        <f>[1]raw_orders!P390</f>
        <v>0</v>
      </c>
      <c r="Q390" t="str">
        <f>PROPER(TRIM([1]raw_orders!T390))</f>
        <v>Paid</v>
      </c>
      <c r="R390" t="str">
        <f>PROPER(TRIM([1]raw_orders!U390))</f>
        <v>Completed</v>
      </c>
      <c r="S390" s="5">
        <f>[1]raw_orders!S390</f>
        <v>2783.66</v>
      </c>
      <c r="T390" s="5">
        <f t="shared" si="48"/>
        <v>27.836599999999997</v>
      </c>
      <c r="U390" s="5">
        <f t="shared" si="49"/>
        <v>-251882.15518199999</v>
      </c>
      <c r="V390" s="5">
        <f t="shared" si="50"/>
        <v>-251882.15518199999</v>
      </c>
      <c r="W390" s="5">
        <f t="shared" si="51"/>
        <v>1</v>
      </c>
      <c r="X390" s="5">
        <f t="shared" si="52"/>
        <v>5</v>
      </c>
      <c r="Y390" s="5">
        <f t="shared" si="53"/>
        <v>5</v>
      </c>
      <c r="Z390" s="5">
        <f t="shared" si="54"/>
        <v>2024</v>
      </c>
      <c r="AA390" t="str">
        <f t="shared" si="55"/>
        <v>Clean</v>
      </c>
    </row>
    <row r="391" spans="1:27" x14ac:dyDescent="0.3">
      <c r="A391" t="str">
        <f>[1]raw_orders!A391</f>
        <v>ORD-2024-10390</v>
      </c>
      <c r="B391" s="4">
        <f>IFERROR(DATEVALUE([1]raw_orders!B391), "Invalid Date")</f>
        <v>45387</v>
      </c>
      <c r="C391" s="4">
        <f>IFERROR(DATEVALUE([1]raw_orders!C391), "Invalid Date")</f>
        <v>45395</v>
      </c>
      <c r="D391" t="str">
        <f>[1]raw_orders!D391</f>
        <v>CUST-3930</v>
      </c>
      <c r="E391" t="str">
        <f>PROPER(TRIM([1]raw_orders!E391))</f>
        <v>Diya Patel</v>
      </c>
      <c r="F391" t="str">
        <f>PROPER(TRIM([1]raw_orders!F391))</f>
        <v>Corporate</v>
      </c>
      <c r="G391" t="str">
        <f>IF(TRIM([1]raw_orders!G391)="","Unknown",PROPER(TRIM([1]raw_orders!G391)))</f>
        <v>West</v>
      </c>
      <c r="H391" t="str">
        <f>PROPER(TRIM([1]raw_orders!H391))</f>
        <v>Gujarat</v>
      </c>
      <c r="I391" t="str">
        <f>PROPER(TRIM([1]raw_orders!I391))</f>
        <v>Ahmedabad</v>
      </c>
      <c r="J391" t="str">
        <f>PROPER(TRIM([1]raw_orders!J391))</f>
        <v>Technology</v>
      </c>
      <c r="K391" t="str">
        <f>PROPER(TRIM([1]raw_orders!K391))</f>
        <v>Machines</v>
      </c>
      <c r="L391" t="str">
        <f>[1]raw_orders!L391</f>
        <v>Elite Machines 563</v>
      </c>
      <c r="M391" t="str">
        <f>IF(TRIM([1]raw_orders!M391)="","Unknown",PROPER(TRIM([1]raw_orders!M391)))</f>
        <v>Second Class</v>
      </c>
      <c r="N391" s="5">
        <f>[1]raw_orders!N391</f>
        <v>5</v>
      </c>
      <c r="O391" s="5">
        <f>[1]raw_orders!O391</f>
        <v>1937.54</v>
      </c>
      <c r="P391" s="5">
        <f>[1]raw_orders!P391</f>
        <v>0.2</v>
      </c>
      <c r="Q391" t="str">
        <f>PROPER(TRIM([1]raw_orders!T391))</f>
        <v>Pending</v>
      </c>
      <c r="R391" t="str">
        <f>PROPER(TRIM([1]raw_orders!U391))</f>
        <v>Cancelled</v>
      </c>
      <c r="S391" s="5">
        <f>[1]raw_orders!S391</f>
        <v>2315.86</v>
      </c>
      <c r="T391" s="5">
        <f t="shared" si="48"/>
        <v>23.1586</v>
      </c>
      <c r="U391" s="5">
        <f t="shared" si="49"/>
        <v>-214665.86922000002</v>
      </c>
      <c r="V391" s="5">
        <f t="shared" si="50"/>
        <v>-214666.06922000003</v>
      </c>
      <c r="W391" s="5">
        <f t="shared" si="51"/>
        <v>1.0000009316804797</v>
      </c>
      <c r="X391" s="5">
        <f t="shared" si="52"/>
        <v>8</v>
      </c>
      <c r="Y391" s="5">
        <f t="shared" si="53"/>
        <v>4</v>
      </c>
      <c r="Z391" s="5">
        <f t="shared" si="54"/>
        <v>2024</v>
      </c>
      <c r="AA391" t="str">
        <f t="shared" si="55"/>
        <v>Clean</v>
      </c>
    </row>
    <row r="392" spans="1:27" x14ac:dyDescent="0.3">
      <c r="A392" t="str">
        <f>[1]raw_orders!A392</f>
        <v>ORD-2024-10391</v>
      </c>
      <c r="B392" s="4">
        <f>IFERROR(DATEVALUE([1]raw_orders!B392), "Invalid Date")</f>
        <v>45602</v>
      </c>
      <c r="C392" s="4">
        <f>IFERROR(DATEVALUE([1]raw_orders!C392), "Invalid Date")</f>
        <v>45607</v>
      </c>
      <c r="D392" t="str">
        <f>[1]raw_orders!D392</f>
        <v>CUST-7853</v>
      </c>
      <c r="E392" t="str">
        <f>PROPER(TRIM([1]raw_orders!E392))</f>
        <v>Isha Nair</v>
      </c>
      <c r="F392" t="str">
        <f>PROPER(TRIM([1]raw_orders!F392))</f>
        <v>Consumer</v>
      </c>
      <c r="G392" t="str">
        <f>IF(TRIM([1]raw_orders!G392)="","Unknown",PROPER(TRIM([1]raw_orders!G392)))</f>
        <v>West</v>
      </c>
      <c r="H392" t="str">
        <f>PROPER(TRIM([1]raw_orders!H392))</f>
        <v>Gujarat</v>
      </c>
      <c r="I392" t="str">
        <f>PROPER(TRIM([1]raw_orders!I392))</f>
        <v>Ahmedabad</v>
      </c>
      <c r="J392" t="str">
        <f>PROPER(TRIM([1]raw_orders!J392))</f>
        <v>Furniture</v>
      </c>
      <c r="K392" t="str">
        <f>PROPER(TRIM([1]raw_orders!K392))</f>
        <v>Furnishings</v>
      </c>
      <c r="L392" t="str">
        <f>[1]raw_orders!L392</f>
        <v>Pro Furnishings 281</v>
      </c>
      <c r="M392" t="str">
        <f>IF(TRIM([1]raw_orders!M392)="","Unknown",PROPER(TRIM([1]raw_orders!M392)))</f>
        <v>Standard Class</v>
      </c>
      <c r="N392" s="5">
        <f>[1]raw_orders!N392</f>
        <v>4</v>
      </c>
      <c r="O392" s="5">
        <f>[1]raw_orders!O392</f>
        <v>1917.26</v>
      </c>
      <c r="P392" s="5">
        <f>[1]raw_orders!P392</f>
        <v>0.2</v>
      </c>
      <c r="Q392" t="str">
        <f>PROPER(TRIM([1]raw_orders!T392))</f>
        <v>Paid</v>
      </c>
      <c r="R392" t="str">
        <f>PROPER(TRIM([1]raw_orders!U392))</f>
        <v>Completed</v>
      </c>
      <c r="S392" s="5">
        <f>[1]raw_orders!S392</f>
        <v>2695.44</v>
      </c>
      <c r="T392" s="5">
        <f t="shared" si="48"/>
        <v>26.9544</v>
      </c>
      <c r="U392" s="5">
        <f t="shared" si="49"/>
        <v>-199045.33177600001</v>
      </c>
      <c r="V392" s="5">
        <f t="shared" si="50"/>
        <v>-199045.53177600002</v>
      </c>
      <c r="W392" s="5">
        <f t="shared" si="51"/>
        <v>1.0000010047962353</v>
      </c>
      <c r="X392" s="5">
        <f t="shared" si="52"/>
        <v>5</v>
      </c>
      <c r="Y392" s="5">
        <f t="shared" si="53"/>
        <v>11</v>
      </c>
      <c r="Z392" s="5">
        <f t="shared" si="54"/>
        <v>2024</v>
      </c>
      <c r="AA392" t="str">
        <f t="shared" si="55"/>
        <v>Clean</v>
      </c>
    </row>
    <row r="393" spans="1:27" x14ac:dyDescent="0.3">
      <c r="A393" t="str">
        <f>[1]raw_orders!A393</f>
        <v>ORD-2025-10392</v>
      </c>
      <c r="B393" s="4">
        <f>IFERROR(DATEVALUE([1]raw_orders!B393), "Invalid Date")</f>
        <v>45702</v>
      </c>
      <c r="C393" s="4">
        <f>IFERROR(DATEVALUE([1]raw_orders!C393), "Invalid Date")</f>
        <v>45702</v>
      </c>
      <c r="D393" t="str">
        <f>[1]raw_orders!D393</f>
        <v>CUST-2267</v>
      </c>
      <c r="E393" t="str">
        <f>PROPER(TRIM([1]raw_orders!E393))</f>
        <v>Diya Patel</v>
      </c>
      <c r="F393" t="str">
        <f>PROPER(TRIM([1]raw_orders!F393))</f>
        <v>Consumer</v>
      </c>
      <c r="G393" t="str">
        <f>IF(TRIM([1]raw_orders!G393)="","Unknown",PROPER(TRIM([1]raw_orders!G393)))</f>
        <v>South</v>
      </c>
      <c r="H393" t="str">
        <f>PROPER(TRIM([1]raw_orders!H393))</f>
        <v>Karnataka</v>
      </c>
      <c r="I393" t="str">
        <f>PROPER(TRIM([1]raw_orders!I393))</f>
        <v>Bengaluru</v>
      </c>
      <c r="J393" t="str">
        <f>PROPER(TRIM([1]raw_orders!J393))</f>
        <v>Office Supplies</v>
      </c>
      <c r="K393" t="str">
        <f>PROPER(TRIM([1]raw_orders!K393))</f>
        <v>Storage</v>
      </c>
      <c r="L393" t="str">
        <f>[1]raw_orders!L393</f>
        <v>Eco Storage 285</v>
      </c>
      <c r="M393" t="str">
        <f>IF(TRIM([1]raw_orders!M393)="","Unknown",PROPER(TRIM([1]raw_orders!M393)))</f>
        <v>First Class</v>
      </c>
      <c r="N393" s="5">
        <f>[1]raw_orders!N393</f>
        <v>1</v>
      </c>
      <c r="O393" s="5">
        <f>[1]raw_orders!O393</f>
        <v>714.43</v>
      </c>
      <c r="P393" s="5">
        <f>[1]raw_orders!P393</f>
        <v>0</v>
      </c>
      <c r="Q393" t="str">
        <f>PROPER(TRIM([1]raw_orders!T393))</f>
        <v>Paid</v>
      </c>
      <c r="R393" t="str">
        <f>PROPER(TRIM([1]raw_orders!U393))</f>
        <v>Completed</v>
      </c>
      <c r="S393" s="5">
        <f>[1]raw_orders!S393</f>
        <v>148.99</v>
      </c>
      <c r="T393" s="5">
        <f t="shared" si="48"/>
        <v>1.4899</v>
      </c>
      <c r="U393" s="5">
        <f t="shared" si="49"/>
        <v>-349.999257</v>
      </c>
      <c r="V393" s="5">
        <f t="shared" si="50"/>
        <v>-349.999257</v>
      </c>
      <c r="W393" s="5">
        <f t="shared" si="51"/>
        <v>1</v>
      </c>
      <c r="X393" s="5">
        <f t="shared" si="52"/>
        <v>0</v>
      </c>
      <c r="Y393" s="5">
        <f t="shared" si="53"/>
        <v>2</v>
      </c>
      <c r="Z393" s="5">
        <f t="shared" si="54"/>
        <v>2025</v>
      </c>
      <c r="AA393" t="str">
        <f t="shared" si="55"/>
        <v>Clean</v>
      </c>
    </row>
    <row r="394" spans="1:27" x14ac:dyDescent="0.3">
      <c r="A394" t="str">
        <f>[1]raw_orders!A394</f>
        <v>ORD-2024-10393</v>
      </c>
      <c r="B394" s="4" t="str">
        <f>IFERROR(DATEVALUE([1]raw_orders!B394), "Invalid Date")</f>
        <v>Invalid Date</v>
      </c>
      <c r="C394" s="4">
        <f>IFERROR(DATEVALUE([1]raw_orders!C394), "Invalid Date")</f>
        <v>45344</v>
      </c>
      <c r="D394" t="str">
        <f>[1]raw_orders!D394</f>
        <v>CUST-6866</v>
      </c>
      <c r="E394" t="str">
        <f>PROPER(TRIM([1]raw_orders!E394))</f>
        <v>Aditi Sen</v>
      </c>
      <c r="F394" t="str">
        <f>PROPER(TRIM([1]raw_orders!F394))</f>
        <v>Small Business</v>
      </c>
      <c r="G394" t="str">
        <f>IF(TRIM([1]raw_orders!G394)="","Unknown",PROPER(TRIM([1]raw_orders!G394)))</f>
        <v>South</v>
      </c>
      <c r="H394" t="str">
        <f>PROPER(TRIM([1]raw_orders!H394))</f>
        <v>Kerala</v>
      </c>
      <c r="I394" t="str">
        <f>PROPER(TRIM([1]raw_orders!I394))</f>
        <v>Kochi</v>
      </c>
      <c r="J394" t="str">
        <f>PROPER(TRIM([1]raw_orders!J394))</f>
        <v>Furniture</v>
      </c>
      <c r="K394" t="str">
        <f>PROPER(TRIM([1]raw_orders!K394))</f>
        <v>Furnishings</v>
      </c>
      <c r="L394" t="str">
        <f>[1]raw_orders!L394</f>
        <v>Classic Furnishings 746</v>
      </c>
      <c r="M394" t="str">
        <f>IF(TRIM([1]raw_orders!M394)="","Unknown",PROPER(TRIM([1]raw_orders!M394)))</f>
        <v>Same Day</v>
      </c>
      <c r="N394" s="5">
        <f>[1]raw_orders!N394</f>
        <v>9</v>
      </c>
      <c r="O394" s="5">
        <f>[1]raw_orders!O394</f>
        <v>4053.01</v>
      </c>
      <c r="P394" s="5">
        <f>[1]raw_orders!P394</f>
        <v>0</v>
      </c>
      <c r="Q394" t="str">
        <f>PROPER(TRIM([1]raw_orders!T394))</f>
        <v>Paid</v>
      </c>
      <c r="R394" t="str">
        <f>PROPER(TRIM([1]raw_orders!U394))</f>
        <v>Completed</v>
      </c>
      <c r="S394" s="5">
        <f>[1]raw_orders!S394</f>
        <v>11951.61</v>
      </c>
      <c r="T394" s="5">
        <f t="shared" si="48"/>
        <v>119.51610000000001</v>
      </c>
      <c r="U394" s="5">
        <f t="shared" si="49"/>
        <v>-4323122.4461490009</v>
      </c>
      <c r="V394" s="5">
        <f t="shared" si="50"/>
        <v>-4323122.4461490009</v>
      </c>
      <c r="W394" s="5">
        <f t="shared" si="51"/>
        <v>1</v>
      </c>
      <c r="X394" s="5" t="str">
        <f t="shared" si="52"/>
        <v>Invalid Date</v>
      </c>
      <c r="Y394" s="5" t="e">
        <f t="shared" si="53"/>
        <v>#VALUE!</v>
      </c>
      <c r="Z394" s="5" t="e">
        <f t="shared" si="54"/>
        <v>#VALUE!</v>
      </c>
      <c r="AA394" t="str">
        <f t="shared" si="55"/>
        <v>Clean</v>
      </c>
    </row>
    <row r="395" spans="1:27" x14ac:dyDescent="0.3">
      <c r="A395" t="str">
        <f>[1]raw_orders!A395</f>
        <v>ORD-2024-10394</v>
      </c>
      <c r="B395" s="4">
        <f>IFERROR(DATEVALUE([1]raw_orders!B395), "Invalid Date")</f>
        <v>45527</v>
      </c>
      <c r="C395" s="4" t="str">
        <f>IFERROR(DATEVALUE([1]raw_orders!C395), "Invalid Date")</f>
        <v>Invalid Date</v>
      </c>
      <c r="D395" t="str">
        <f>[1]raw_orders!D395</f>
        <v>CUST-3160</v>
      </c>
      <c r="E395" t="str">
        <f>PROPER(TRIM([1]raw_orders!E395))</f>
        <v>Mira Das</v>
      </c>
      <c r="F395" t="str">
        <f>PROPER(TRIM([1]raw_orders!F395))</f>
        <v>Corporate</v>
      </c>
      <c r="G395" t="str">
        <f>IF(TRIM([1]raw_orders!G395)="","Unknown",PROPER(TRIM([1]raw_orders!G395)))</f>
        <v>North</v>
      </c>
      <c r="H395" t="str">
        <f>PROPER(TRIM([1]raw_orders!H395))</f>
        <v>Uttar Pradesh</v>
      </c>
      <c r="I395" t="str">
        <f>PROPER(TRIM([1]raw_orders!I395))</f>
        <v>Noida</v>
      </c>
      <c r="J395" t="str">
        <f>PROPER(TRIM([1]raw_orders!J395))</f>
        <v>Office Supplies</v>
      </c>
      <c r="K395" t="str">
        <f>PROPER(TRIM([1]raw_orders!K395))</f>
        <v>Labels</v>
      </c>
      <c r="L395" t="str">
        <f>[1]raw_orders!L395</f>
        <v>Eco Labels 815</v>
      </c>
      <c r="M395" t="str">
        <f>IF(TRIM([1]raw_orders!M395)="","Unknown",PROPER(TRIM([1]raw_orders!M395)))</f>
        <v>Same Day</v>
      </c>
      <c r="N395" s="5">
        <f>[1]raw_orders!N395</f>
        <v>2</v>
      </c>
      <c r="O395" s="5">
        <f>[1]raw_orders!O395</f>
        <v>1936.91</v>
      </c>
      <c r="P395" s="5">
        <f>[1]raw_orders!P395</f>
        <v>0.05</v>
      </c>
      <c r="Q395" t="str">
        <f>PROPER(TRIM([1]raw_orders!T395))</f>
        <v>Paid</v>
      </c>
      <c r="R395" t="str">
        <f>PROPER(TRIM([1]raw_orders!U395))</f>
        <v>Completed</v>
      </c>
      <c r="S395" s="5">
        <f>[1]raw_orders!S395</f>
        <v>712.67</v>
      </c>
      <c r="T395" s="5">
        <f t="shared" si="48"/>
        <v>7.1266999999999996</v>
      </c>
      <c r="U395" s="5">
        <f t="shared" si="49"/>
        <v>-23733.732993999998</v>
      </c>
      <c r="V395" s="5">
        <f t="shared" si="50"/>
        <v>-23733.782993999997</v>
      </c>
      <c r="W395" s="5">
        <f t="shared" si="51"/>
        <v>1.0000021067060969</v>
      </c>
      <c r="X395" s="5" t="str">
        <f t="shared" si="52"/>
        <v>Invalid Date</v>
      </c>
      <c r="Y395" s="5">
        <f t="shared" si="53"/>
        <v>8</v>
      </c>
      <c r="Z395" s="5">
        <f t="shared" si="54"/>
        <v>2024</v>
      </c>
      <c r="AA395" t="str">
        <f t="shared" si="55"/>
        <v>Clean</v>
      </c>
    </row>
    <row r="396" spans="1:27" x14ac:dyDescent="0.3">
      <c r="A396" t="str">
        <f>[1]raw_orders!A396</f>
        <v>ORD-2024-10395</v>
      </c>
      <c r="B396" s="4">
        <f>IFERROR(DATEVALUE([1]raw_orders!B396), "Invalid Date")</f>
        <v>45385</v>
      </c>
      <c r="C396" s="4">
        <f>IFERROR(DATEVALUE([1]raw_orders!C396), "Invalid Date")</f>
        <v>45386</v>
      </c>
      <c r="D396" t="str">
        <f>[1]raw_orders!D396</f>
        <v>CUST-8444</v>
      </c>
      <c r="E396" t="str">
        <f>PROPER(TRIM([1]raw_orders!E396))</f>
        <v>Kabir Singh</v>
      </c>
      <c r="F396" t="str">
        <f>PROPER(TRIM([1]raw_orders!F396))</f>
        <v>Consumer</v>
      </c>
      <c r="G396" t="str">
        <f>IF(TRIM([1]raw_orders!G396)="","Unknown",PROPER(TRIM([1]raw_orders!G396)))</f>
        <v>West</v>
      </c>
      <c r="H396" t="str">
        <f>PROPER(TRIM([1]raw_orders!H396))</f>
        <v>Maharashtra</v>
      </c>
      <c r="I396" t="str">
        <f>PROPER(TRIM([1]raw_orders!I396))</f>
        <v>Mumbai</v>
      </c>
      <c r="J396" t="str">
        <f>PROPER(TRIM([1]raw_orders!J396))</f>
        <v>Furniture</v>
      </c>
      <c r="K396" t="str">
        <f>PROPER(TRIM([1]raw_orders!K396))</f>
        <v>Furnishings</v>
      </c>
      <c r="L396" t="str">
        <f>[1]raw_orders!L396</f>
        <v>Prime Furnishings 879</v>
      </c>
      <c r="M396" t="str">
        <f>IF(TRIM([1]raw_orders!M396)="","Unknown",PROPER(TRIM([1]raw_orders!M396)))</f>
        <v>First Class</v>
      </c>
      <c r="N396" s="5">
        <f>[1]raw_orders!N396</f>
        <v>7</v>
      </c>
      <c r="O396" s="5">
        <f>[1]raw_orders!O396</f>
        <v>3945.21</v>
      </c>
      <c r="P396" s="5">
        <f>[1]raw_orders!P396</f>
        <v>0</v>
      </c>
      <c r="Q396" t="str">
        <f>PROPER(TRIM([1]raw_orders!T396))</f>
        <v>Paid</v>
      </c>
      <c r="R396" t="str">
        <f>PROPER(TRIM([1]raw_orders!U396))</f>
        <v>Completed</v>
      </c>
      <c r="S396" s="5">
        <f>[1]raw_orders!S396</f>
        <v>6391.21</v>
      </c>
      <c r="T396" s="5">
        <f t="shared" si="48"/>
        <v>63.912100000000002</v>
      </c>
      <c r="U396" s="5">
        <f t="shared" si="49"/>
        <v>-1737410.1222870001</v>
      </c>
      <c r="V396" s="5">
        <f t="shared" si="50"/>
        <v>-1737410.1222870001</v>
      </c>
      <c r="W396" s="5">
        <f t="shared" si="51"/>
        <v>1</v>
      </c>
      <c r="X396" s="5">
        <f t="shared" si="52"/>
        <v>1</v>
      </c>
      <c r="Y396" s="5">
        <f t="shared" si="53"/>
        <v>4</v>
      </c>
      <c r="Z396" s="5">
        <f t="shared" si="54"/>
        <v>2024</v>
      </c>
      <c r="AA396" t="str">
        <f t="shared" si="55"/>
        <v>Clean</v>
      </c>
    </row>
    <row r="397" spans="1:27" x14ac:dyDescent="0.3">
      <c r="A397" t="str">
        <f>[1]raw_orders!A397</f>
        <v>ORD-2024-10396</v>
      </c>
      <c r="B397" s="4">
        <f>IFERROR(DATEVALUE([1]raw_orders!B397), "Invalid Date")</f>
        <v>45449</v>
      </c>
      <c r="C397" s="4">
        <f>IFERROR(DATEVALUE([1]raw_orders!C397), "Invalid Date")</f>
        <v>45479</v>
      </c>
      <c r="D397" t="str">
        <f>[1]raw_orders!D397</f>
        <v>CUST-4765</v>
      </c>
      <c r="E397" t="str">
        <f>PROPER(TRIM([1]raw_orders!E397))</f>
        <v>Rahul Verma</v>
      </c>
      <c r="F397" t="str">
        <f>PROPER(TRIM([1]raw_orders!F397))</f>
        <v>Home Office</v>
      </c>
      <c r="G397" t="str">
        <f>IF(TRIM([1]raw_orders!G397)="","Unknown",PROPER(TRIM([1]raw_orders!G397)))</f>
        <v>South</v>
      </c>
      <c r="H397" t="str">
        <f>PROPER(TRIM([1]raw_orders!H397))</f>
        <v>Tamil Nadu</v>
      </c>
      <c r="I397" t="str">
        <f>PROPER(TRIM([1]raw_orders!I397))</f>
        <v>Chennai</v>
      </c>
      <c r="J397" t="str">
        <f>PROPER(TRIM([1]raw_orders!J397))</f>
        <v>Furniture</v>
      </c>
      <c r="K397" t="str">
        <f>PROPER(TRIM([1]raw_orders!K397))</f>
        <v>Tables</v>
      </c>
      <c r="L397" t="str">
        <f>[1]raw_orders!L397</f>
        <v>Pro Tables 142</v>
      </c>
      <c r="M397" t="str">
        <f>IF(TRIM([1]raw_orders!M397)="","Unknown",PROPER(TRIM([1]raw_orders!M397)))</f>
        <v>Same Day</v>
      </c>
      <c r="N397" s="5">
        <f>[1]raw_orders!N397</f>
        <v>7</v>
      </c>
      <c r="O397" s="5">
        <f>[1]raw_orders!O397</f>
        <v>861.91</v>
      </c>
      <c r="P397" s="5">
        <f>[1]raw_orders!P397</f>
        <v>0.05</v>
      </c>
      <c r="Q397" t="str">
        <f>PROPER(TRIM([1]raw_orders!T397))</f>
        <v>Paid</v>
      </c>
      <c r="R397" t="str">
        <f>PROPER(TRIM([1]raw_orders!U397))</f>
        <v>Completed</v>
      </c>
      <c r="S397" s="5">
        <f>[1]raw_orders!S397</f>
        <v>1616.14</v>
      </c>
      <c r="T397" s="5">
        <f t="shared" si="48"/>
        <v>16.1614</v>
      </c>
      <c r="U397" s="5">
        <f t="shared" si="49"/>
        <v>-91474.335917999997</v>
      </c>
      <c r="V397" s="5">
        <f t="shared" si="50"/>
        <v>-91474.385918</v>
      </c>
      <c r="W397" s="5">
        <f t="shared" si="51"/>
        <v>1.0000005466013993</v>
      </c>
      <c r="X397" s="5">
        <f t="shared" si="52"/>
        <v>30</v>
      </c>
      <c r="Y397" s="5">
        <f t="shared" si="53"/>
        <v>6</v>
      </c>
      <c r="Z397" s="5">
        <f t="shared" si="54"/>
        <v>2024</v>
      </c>
      <c r="AA397" t="str">
        <f t="shared" si="55"/>
        <v>Clean</v>
      </c>
    </row>
    <row r="398" spans="1:27" x14ac:dyDescent="0.3">
      <c r="A398" t="str">
        <f>[1]raw_orders!A398</f>
        <v>ORD-2025-10397</v>
      </c>
      <c r="B398" s="4">
        <f>IFERROR(DATEVALUE([1]raw_orders!B398), "Invalid Date")</f>
        <v>45761</v>
      </c>
      <c r="C398" s="4">
        <f>IFERROR(DATEVALUE([1]raw_orders!C398), "Invalid Date")</f>
        <v>45769</v>
      </c>
      <c r="D398" t="str">
        <f>[1]raw_orders!D398</f>
        <v>CUST-2280</v>
      </c>
      <c r="E398" t="str">
        <f>PROPER(TRIM([1]raw_orders!E398))</f>
        <v>Aditi Sen</v>
      </c>
      <c r="F398" t="str">
        <f>PROPER(TRIM([1]raw_orders!F398))</f>
        <v>Small Business</v>
      </c>
      <c r="G398" t="str">
        <f>IF(TRIM([1]raw_orders!G398)="","Unknown",PROPER(TRIM([1]raw_orders!G398)))</f>
        <v>South</v>
      </c>
      <c r="H398" t="str">
        <f>PROPER(TRIM([1]raw_orders!H398))</f>
        <v>Karnataka</v>
      </c>
      <c r="I398" t="str">
        <f>PROPER(TRIM([1]raw_orders!I398))</f>
        <v>Bengaluru</v>
      </c>
      <c r="J398" t="str">
        <f>PROPER(TRIM([1]raw_orders!J398))</f>
        <v>Technology</v>
      </c>
      <c r="K398" t="str">
        <f>PROPER(TRIM([1]raw_orders!K398))</f>
        <v>Machines</v>
      </c>
      <c r="L398" t="str">
        <f>[1]raw_orders!L398</f>
        <v>Prime Machines 267</v>
      </c>
      <c r="M398" t="str">
        <f>IF(TRIM([1]raw_orders!M398)="","Unknown",PROPER(TRIM([1]raw_orders!M398)))</f>
        <v>Standard Class</v>
      </c>
      <c r="N398" s="5">
        <f>[1]raw_orders!N398</f>
        <v>2</v>
      </c>
      <c r="O398" s="5">
        <f>[1]raw_orders!O398</f>
        <v>638.73</v>
      </c>
      <c r="P398" s="5">
        <f>[1]raw_orders!P398</f>
        <v>0.05</v>
      </c>
      <c r="Q398" t="str">
        <f>PROPER(TRIM([1]raw_orders!T398))</f>
        <v>Paid</v>
      </c>
      <c r="R398" t="str">
        <f>PROPER(TRIM([1]raw_orders!U398))</f>
        <v>Completed</v>
      </c>
      <c r="S398" s="5">
        <f>[1]raw_orders!S398</f>
        <v>257.37</v>
      </c>
      <c r="T398" s="5">
        <f t="shared" si="48"/>
        <v>2.5737000000000001</v>
      </c>
      <c r="U398" s="5">
        <f t="shared" si="49"/>
        <v>-2010.3388020000002</v>
      </c>
      <c r="V398" s="5">
        <f t="shared" si="50"/>
        <v>-2010.3888020000002</v>
      </c>
      <c r="W398" s="5">
        <f t="shared" si="51"/>
        <v>1.0000248714296069</v>
      </c>
      <c r="X398" s="5">
        <f t="shared" si="52"/>
        <v>8</v>
      </c>
      <c r="Y398" s="5">
        <f t="shared" si="53"/>
        <v>4</v>
      </c>
      <c r="Z398" s="5">
        <f t="shared" si="54"/>
        <v>2025</v>
      </c>
      <c r="AA398" t="str">
        <f t="shared" si="55"/>
        <v>Clean</v>
      </c>
    </row>
    <row r="399" spans="1:27" x14ac:dyDescent="0.3">
      <c r="A399" t="str">
        <f>[1]raw_orders!A399</f>
        <v>ORD-2025-10398</v>
      </c>
      <c r="B399" s="4">
        <f>IFERROR(DATEVALUE([1]raw_orders!B399), "Invalid Date")</f>
        <v>45817</v>
      </c>
      <c r="C399" s="4">
        <f>IFERROR(DATEVALUE([1]raw_orders!C399), "Invalid Date")</f>
        <v>45818</v>
      </c>
      <c r="D399" t="str">
        <f>[1]raw_orders!D399</f>
        <v>CUST-3177</v>
      </c>
      <c r="E399" t="str">
        <f>PROPER(TRIM([1]raw_orders!E399))</f>
        <v>Sneha Kapoor</v>
      </c>
      <c r="F399" t="str">
        <f>PROPER(TRIM([1]raw_orders!F399))</f>
        <v>Small Business</v>
      </c>
      <c r="G399" t="str">
        <f>IF(TRIM([1]raw_orders!G399)="","Unknown",PROPER(TRIM([1]raw_orders!G399)))</f>
        <v>North</v>
      </c>
      <c r="H399" t="str">
        <f>PROPER(TRIM([1]raw_orders!H399))</f>
        <v>Uttar Pradesh</v>
      </c>
      <c r="I399" t="str">
        <f>PROPER(TRIM([1]raw_orders!I399))</f>
        <v>Noida</v>
      </c>
      <c r="J399" t="str">
        <f>PROPER(TRIM([1]raw_orders!J399))</f>
        <v>Furniture</v>
      </c>
      <c r="K399" t="str">
        <f>PROPER(TRIM([1]raw_orders!K399))</f>
        <v>Tables</v>
      </c>
      <c r="L399" t="str">
        <f>[1]raw_orders!L399</f>
        <v>Eco Tables 378</v>
      </c>
      <c r="M399" t="str">
        <f>IF(TRIM([1]raw_orders!M399)="","Unknown",PROPER(TRIM([1]raw_orders!M399)))</f>
        <v>Second Class</v>
      </c>
      <c r="N399" s="5">
        <f>[1]raw_orders!N399</f>
        <v>2</v>
      </c>
      <c r="O399" s="5">
        <f>[1]raw_orders!O399</f>
        <v>1731.88</v>
      </c>
      <c r="P399" s="5">
        <f>[1]raw_orders!P399</f>
        <v>0</v>
      </c>
      <c r="Q399" t="str">
        <f>PROPER(TRIM([1]raw_orders!T399))</f>
        <v>Paid</v>
      </c>
      <c r="R399" t="str">
        <f>PROPER(TRIM([1]raw_orders!U399))</f>
        <v>Completed</v>
      </c>
      <c r="S399" s="5">
        <f>[1]raw_orders!S399</f>
        <v>1320.02</v>
      </c>
      <c r="T399" s="5">
        <f t="shared" si="48"/>
        <v>13.200200000000001</v>
      </c>
      <c r="U399" s="5">
        <f t="shared" si="49"/>
        <v>-42258.564752000006</v>
      </c>
      <c r="V399" s="5">
        <f t="shared" si="50"/>
        <v>-42258.564752000006</v>
      </c>
      <c r="W399" s="5">
        <f t="shared" si="51"/>
        <v>1</v>
      </c>
      <c r="X399" s="5">
        <f t="shared" si="52"/>
        <v>1</v>
      </c>
      <c r="Y399" s="5">
        <f t="shared" si="53"/>
        <v>6</v>
      </c>
      <c r="Z399" s="5">
        <f t="shared" si="54"/>
        <v>2025</v>
      </c>
      <c r="AA399" t="str">
        <f t="shared" si="55"/>
        <v>Clean</v>
      </c>
    </row>
    <row r="400" spans="1:27" x14ac:dyDescent="0.3">
      <c r="A400" t="str">
        <f>[1]raw_orders!A400</f>
        <v>ORD-2024-10399</v>
      </c>
      <c r="B400" s="4">
        <f>IFERROR(DATEVALUE([1]raw_orders!B400), "Invalid Date")</f>
        <v>45492</v>
      </c>
      <c r="C400" s="4">
        <f>IFERROR(DATEVALUE([1]raw_orders!C400), "Invalid Date")</f>
        <v>45499</v>
      </c>
      <c r="D400" t="str">
        <f>[1]raw_orders!D400</f>
        <v>CUST-4718</v>
      </c>
      <c r="E400" t="str">
        <f>PROPER(TRIM([1]raw_orders!E400))</f>
        <v>Vikram Iyer</v>
      </c>
      <c r="F400" t="str">
        <f>PROPER(TRIM([1]raw_orders!F400))</f>
        <v>Corporate</v>
      </c>
      <c r="G400" t="str">
        <f>IF(TRIM([1]raw_orders!G400)="","Unknown",PROPER(TRIM([1]raw_orders!G400)))</f>
        <v>North</v>
      </c>
      <c r="H400" t="str">
        <f>PROPER(TRIM([1]raw_orders!H400))</f>
        <v>Punjab</v>
      </c>
      <c r="I400" t="str">
        <f>PROPER(TRIM([1]raw_orders!I400))</f>
        <v>Ludhiana</v>
      </c>
      <c r="J400" t="str">
        <f>PROPER(TRIM([1]raw_orders!J400))</f>
        <v>Technology</v>
      </c>
      <c r="K400" t="str">
        <f>PROPER(TRIM([1]raw_orders!K400))</f>
        <v>Machines</v>
      </c>
      <c r="L400" t="str">
        <f>[1]raw_orders!L400</f>
        <v>Elite Machines 523</v>
      </c>
      <c r="M400" t="str">
        <f>IF(TRIM([1]raw_orders!M400)="","Unknown",PROPER(TRIM([1]raw_orders!M400)))</f>
        <v>Same Day</v>
      </c>
      <c r="N400" s="5">
        <f>[1]raw_orders!N400</f>
        <v>2</v>
      </c>
      <c r="O400" s="5">
        <f>[1]raw_orders!O400</f>
        <v>1263.6500000000001</v>
      </c>
      <c r="P400" s="5">
        <f>[1]raw_orders!P400</f>
        <v>0.2</v>
      </c>
      <c r="Q400" t="str">
        <f>PROPER(TRIM([1]raw_orders!T400))</f>
        <v>Paid</v>
      </c>
      <c r="R400" t="str">
        <f>PROPER(TRIM([1]raw_orders!U400))</f>
        <v>Completed</v>
      </c>
      <c r="S400" s="5">
        <f>[1]raw_orders!S400</f>
        <v>666.62</v>
      </c>
      <c r="T400" s="5">
        <f t="shared" si="48"/>
        <v>6.6661999999999999</v>
      </c>
      <c r="U400" s="5">
        <f t="shared" si="49"/>
        <v>-14320.187260000001</v>
      </c>
      <c r="V400" s="5">
        <f t="shared" si="50"/>
        <v>-14320.387260000001</v>
      </c>
      <c r="W400" s="5">
        <f t="shared" si="51"/>
        <v>1.0000139662978123</v>
      </c>
      <c r="X400" s="5">
        <f t="shared" si="52"/>
        <v>7</v>
      </c>
      <c r="Y400" s="5">
        <f t="shared" si="53"/>
        <v>7</v>
      </c>
      <c r="Z400" s="5">
        <f t="shared" si="54"/>
        <v>2024</v>
      </c>
      <c r="AA400" t="str">
        <f t="shared" si="55"/>
        <v>Clean</v>
      </c>
    </row>
    <row r="401" spans="1:27" x14ac:dyDescent="0.3">
      <c r="A401" t="str">
        <f>[1]raw_orders!A401</f>
        <v>ORD-2025-10400</v>
      </c>
      <c r="B401" s="4" t="str">
        <f>IFERROR(DATEVALUE([1]raw_orders!B401), "Invalid Date")</f>
        <v>Invalid Date</v>
      </c>
      <c r="C401" s="4">
        <f>IFERROR(DATEVALUE([1]raw_orders!C401), "Invalid Date")</f>
        <v>45776</v>
      </c>
      <c r="D401" t="str">
        <f>[1]raw_orders!D401</f>
        <v>CUST-5647</v>
      </c>
      <c r="E401" t="str">
        <f>PROPER(TRIM([1]raw_orders!E401))</f>
        <v>Diya Patel</v>
      </c>
      <c r="F401" t="str">
        <f>PROPER(TRIM([1]raw_orders!F401))</f>
        <v>Small Business</v>
      </c>
      <c r="G401" t="str">
        <f>IF(TRIM([1]raw_orders!G401)="","Unknown",PROPER(TRIM([1]raw_orders!G401)))</f>
        <v>South</v>
      </c>
      <c r="H401" t="str">
        <f>PROPER(TRIM([1]raw_orders!H401))</f>
        <v>Andhra Pradesh</v>
      </c>
      <c r="I401" t="str">
        <f>PROPER(TRIM([1]raw_orders!I401))</f>
        <v>Vijayawada</v>
      </c>
      <c r="J401" t="str">
        <f>PROPER(TRIM([1]raw_orders!J401))</f>
        <v>Office Supplies</v>
      </c>
      <c r="K401" t="str">
        <f>PROPER(TRIM([1]raw_orders!K401))</f>
        <v>Paper</v>
      </c>
      <c r="L401" t="str">
        <f>[1]raw_orders!L401</f>
        <v>Elite Paper 308</v>
      </c>
      <c r="M401" t="str">
        <f>IF(TRIM([1]raw_orders!M401)="","Unknown",PROPER(TRIM([1]raw_orders!M401)))</f>
        <v>Same Day</v>
      </c>
      <c r="N401" s="5">
        <f>[1]raw_orders!N401</f>
        <v>1</v>
      </c>
      <c r="O401" s="5">
        <f>[1]raw_orders!O401</f>
        <v>4358.5</v>
      </c>
      <c r="P401" s="5">
        <f>[1]raw_orders!P401</f>
        <v>0.25</v>
      </c>
      <c r="Q401" t="str">
        <f>PROPER(TRIM([1]raw_orders!T401))</f>
        <v>Paid</v>
      </c>
      <c r="R401" t="str">
        <f>PROPER(TRIM([1]raw_orders!U401))</f>
        <v>Completed</v>
      </c>
      <c r="S401" s="5">
        <f>[1]raw_orders!S401</f>
        <v>1275.1400000000001</v>
      </c>
      <c r="T401" s="5">
        <f t="shared" si="48"/>
        <v>12.7514</v>
      </c>
      <c r="U401" s="5">
        <f t="shared" si="49"/>
        <v>-51218.476900000001</v>
      </c>
      <c r="V401" s="5">
        <f t="shared" si="50"/>
        <v>-51218.726900000001</v>
      </c>
      <c r="W401" s="5">
        <f t="shared" si="51"/>
        <v>1.0000048810510411</v>
      </c>
      <c r="X401" s="5" t="str">
        <f t="shared" si="52"/>
        <v>Invalid Date</v>
      </c>
      <c r="Y401" s="5" t="e">
        <f t="shared" si="53"/>
        <v>#VALUE!</v>
      </c>
      <c r="Z401" s="5" t="e">
        <f t="shared" si="54"/>
        <v>#VALUE!</v>
      </c>
      <c r="AA401" t="str">
        <f t="shared" si="55"/>
        <v>Clean</v>
      </c>
    </row>
    <row r="402" spans="1:27" x14ac:dyDescent="0.3">
      <c r="A402" t="str">
        <f>[1]raw_orders!A402</f>
        <v>ORD-2025-10401</v>
      </c>
      <c r="B402" s="4">
        <f>IFERROR(DATEVALUE([1]raw_orders!B402), "Invalid Date")</f>
        <v>45814</v>
      </c>
      <c r="C402" s="4">
        <f>IFERROR(DATEVALUE([1]raw_orders!C402), "Invalid Date")</f>
        <v>45819</v>
      </c>
      <c r="D402" t="str">
        <f>[1]raw_orders!D402</f>
        <v>CUST-7150</v>
      </c>
      <c r="E402" t="str">
        <f>PROPER(TRIM([1]raw_orders!E402))</f>
        <v>Sneha Kapoor</v>
      </c>
      <c r="F402" t="str">
        <f>PROPER(TRIM([1]raw_orders!F402))</f>
        <v>Small Business</v>
      </c>
      <c r="G402" t="str">
        <f>IF(TRIM([1]raw_orders!G402)="","Unknown",PROPER(TRIM([1]raw_orders!G402)))</f>
        <v>North</v>
      </c>
      <c r="H402" t="str">
        <f>PROPER(TRIM([1]raw_orders!H402))</f>
        <v>Uttar Pradesh</v>
      </c>
      <c r="I402" t="str">
        <f>PROPER(TRIM([1]raw_orders!I402))</f>
        <v>Noida</v>
      </c>
      <c r="J402" t="str">
        <f>PROPER(TRIM([1]raw_orders!J402))</f>
        <v>Office Supplies</v>
      </c>
      <c r="K402" t="str">
        <f>PROPER(TRIM([1]raw_orders!K402))</f>
        <v>Paper</v>
      </c>
      <c r="L402" t="str">
        <f>[1]raw_orders!L402</f>
        <v>Prime Paper 851</v>
      </c>
      <c r="M402" t="str">
        <f>IF(TRIM([1]raw_orders!M402)="","Unknown",PROPER(TRIM([1]raw_orders!M402)))</f>
        <v>Same Day</v>
      </c>
      <c r="N402" s="5">
        <f>[1]raw_orders!N402</f>
        <v>7</v>
      </c>
      <c r="O402" s="5">
        <f>[1]raw_orders!O402</f>
        <v>878.09</v>
      </c>
      <c r="P402" s="5">
        <f>[1]raw_orders!P402</f>
        <v>-0.1</v>
      </c>
      <c r="Q402" t="str">
        <f>PROPER(TRIM([1]raw_orders!T402))</f>
        <v>Paid</v>
      </c>
      <c r="R402" t="str">
        <f>PROPER(TRIM([1]raw_orders!U402))</f>
        <v>Completed</v>
      </c>
      <c r="S402" s="5">
        <f>[1]raw_orders!S402</f>
        <v>961.92</v>
      </c>
      <c r="T402" s="5">
        <f t="shared" si="48"/>
        <v>9.6191999999999993</v>
      </c>
      <c r="U402" s="5">
        <f t="shared" si="49"/>
        <v>-52979.033295999994</v>
      </c>
      <c r="V402" s="5">
        <f t="shared" si="50"/>
        <v>-52978.933295999996</v>
      </c>
      <c r="W402" s="5">
        <f t="shared" si="51"/>
        <v>0.99999811246084014</v>
      </c>
      <c r="X402" s="5">
        <f t="shared" si="52"/>
        <v>5</v>
      </c>
      <c r="Y402" s="5">
        <f t="shared" si="53"/>
        <v>6</v>
      </c>
      <c r="Z402" s="5">
        <f t="shared" si="54"/>
        <v>2025</v>
      </c>
      <c r="AA402" t="str">
        <f t="shared" si="55"/>
        <v>Clean</v>
      </c>
    </row>
    <row r="403" spans="1:27" x14ac:dyDescent="0.3">
      <c r="A403" t="str">
        <f>[1]raw_orders!A403</f>
        <v>ORD-2025-10402</v>
      </c>
      <c r="B403" s="4">
        <f>IFERROR(DATEVALUE([1]raw_orders!B403), "Invalid Date")</f>
        <v>45725</v>
      </c>
      <c r="C403" s="4">
        <f>IFERROR(DATEVALUE([1]raw_orders!C403), "Invalid Date")</f>
        <v>45732</v>
      </c>
      <c r="D403" t="str">
        <f>[1]raw_orders!D403</f>
        <v>CUST-6694</v>
      </c>
      <c r="E403" t="str">
        <f>PROPER(TRIM([1]raw_orders!E403))</f>
        <v>Arjun Bose</v>
      </c>
      <c r="F403" t="str">
        <f>PROPER(TRIM([1]raw_orders!F403))</f>
        <v>Small Business</v>
      </c>
      <c r="G403" t="str">
        <f>IF(TRIM([1]raw_orders!G403)="","Unknown",PROPER(TRIM([1]raw_orders!G403)))</f>
        <v>East</v>
      </c>
      <c r="H403" t="str">
        <f>PROPER(TRIM([1]raw_orders!H403))</f>
        <v>Jharkhand</v>
      </c>
      <c r="I403" t="str">
        <f>PROPER(TRIM([1]raw_orders!I403))</f>
        <v>Ranchi</v>
      </c>
      <c r="J403" t="str">
        <f>PROPER(TRIM([1]raw_orders!J403))</f>
        <v>Furniture</v>
      </c>
      <c r="K403" t="str">
        <f>PROPER(TRIM([1]raw_orders!K403))</f>
        <v>Tables</v>
      </c>
      <c r="L403" t="str">
        <f>[1]raw_orders!L403</f>
        <v>Classic Tables 151</v>
      </c>
      <c r="M403" t="str">
        <f>IF(TRIM([1]raw_orders!M403)="","Unknown",PROPER(TRIM([1]raw_orders!M403)))</f>
        <v>Same Day</v>
      </c>
      <c r="N403" s="5">
        <f>[1]raw_orders!N403</f>
        <v>3</v>
      </c>
      <c r="O403" s="5">
        <f>[1]raw_orders!O403</f>
        <v>2625.85</v>
      </c>
      <c r="P403" s="5">
        <f>[1]raw_orders!P403</f>
        <v>0</v>
      </c>
      <c r="Q403" t="str">
        <f>PROPER(TRIM([1]raw_orders!T403))</f>
        <v>Paid</v>
      </c>
      <c r="R403" t="str">
        <f>PROPER(TRIM([1]raw_orders!U403))</f>
        <v>Completed</v>
      </c>
      <c r="S403" s="5">
        <f>[1]raw_orders!S403</f>
        <v>2314.7800000000002</v>
      </c>
      <c r="T403" s="5">
        <f t="shared" si="48"/>
        <v>23.147800000000004</v>
      </c>
      <c r="U403" s="5">
        <f t="shared" si="49"/>
        <v>-174470.40189000001</v>
      </c>
      <c r="V403" s="5">
        <f t="shared" si="50"/>
        <v>-174470.40189000001</v>
      </c>
      <c r="W403" s="5">
        <f t="shared" si="51"/>
        <v>1</v>
      </c>
      <c r="X403" s="5">
        <f t="shared" si="52"/>
        <v>7</v>
      </c>
      <c r="Y403" s="5">
        <f t="shared" si="53"/>
        <v>3</v>
      </c>
      <c r="Z403" s="5">
        <f t="shared" si="54"/>
        <v>2025</v>
      </c>
      <c r="AA403" t="str">
        <f t="shared" si="55"/>
        <v>Clean</v>
      </c>
    </row>
    <row r="404" spans="1:27" x14ac:dyDescent="0.3">
      <c r="A404" t="str">
        <f>[1]raw_orders!A404</f>
        <v>ORD-2024-10403</v>
      </c>
      <c r="B404" s="4">
        <f>IFERROR(DATEVALUE([1]raw_orders!B404), "Invalid Date")</f>
        <v>45373</v>
      </c>
      <c r="C404" s="4" t="str">
        <f>IFERROR(DATEVALUE([1]raw_orders!C404), "Invalid Date")</f>
        <v>Invalid Date</v>
      </c>
      <c r="D404" t="str">
        <f>[1]raw_orders!D404</f>
        <v>CUST-7680</v>
      </c>
      <c r="E404" t="str">
        <f>PROPER(TRIM([1]raw_orders!E404))</f>
        <v>Priya Menon</v>
      </c>
      <c r="F404" t="str">
        <f>PROPER(TRIM([1]raw_orders!F404))</f>
        <v>Small Business</v>
      </c>
      <c r="G404" t="str">
        <f>IF(TRIM([1]raw_orders!G404)="","Unknown",PROPER(TRIM([1]raw_orders!G404)))</f>
        <v>South</v>
      </c>
      <c r="H404" t="str">
        <f>PROPER(TRIM([1]raw_orders!H404))</f>
        <v>Karnataka</v>
      </c>
      <c r="I404" t="str">
        <f>PROPER(TRIM([1]raw_orders!I404))</f>
        <v>Bengaluru</v>
      </c>
      <c r="J404" t="str">
        <f>PROPER(TRIM([1]raw_orders!J404))</f>
        <v>Furniture</v>
      </c>
      <c r="K404" t="str">
        <f>PROPER(TRIM([1]raw_orders!K404))</f>
        <v>Tables</v>
      </c>
      <c r="L404" t="str">
        <f>[1]raw_orders!L404</f>
        <v>Smart Tables 829</v>
      </c>
      <c r="M404" t="str">
        <f>IF(TRIM([1]raw_orders!M404)="","Unknown",PROPER(TRIM([1]raw_orders!M404)))</f>
        <v>Unknown</v>
      </c>
      <c r="N404" s="5">
        <f>[1]raw_orders!N404</f>
        <v>3</v>
      </c>
      <c r="O404" s="5">
        <f>[1]raw_orders!O404</f>
        <v>1365.26</v>
      </c>
      <c r="P404" s="5">
        <f>[1]raw_orders!P404</f>
        <v>0</v>
      </c>
      <c r="Q404" t="str">
        <f>PROPER(TRIM([1]raw_orders!T404))</f>
        <v>Paid</v>
      </c>
      <c r="R404" t="str">
        <f>PROPER(TRIM([1]raw_orders!U404))</f>
        <v>Completed</v>
      </c>
      <c r="S404" s="5">
        <f>[1]raw_orders!S404</f>
        <v>1288.01</v>
      </c>
      <c r="T404" s="5">
        <f t="shared" si="48"/>
        <v>12.880100000000001</v>
      </c>
      <c r="U404" s="5">
        <f t="shared" si="49"/>
        <v>-48658.275977999998</v>
      </c>
      <c r="V404" s="5">
        <f t="shared" si="50"/>
        <v>-48658.275977999998</v>
      </c>
      <c r="W404" s="5">
        <f t="shared" si="51"/>
        <v>1</v>
      </c>
      <c r="X404" s="5" t="str">
        <f t="shared" si="52"/>
        <v>Invalid Date</v>
      </c>
      <c r="Y404" s="5">
        <f t="shared" si="53"/>
        <v>3</v>
      </c>
      <c r="Z404" s="5">
        <f t="shared" si="54"/>
        <v>2024</v>
      </c>
      <c r="AA404" t="str">
        <f t="shared" si="55"/>
        <v>Warning</v>
      </c>
    </row>
    <row r="405" spans="1:27" x14ac:dyDescent="0.3">
      <c r="A405" t="str">
        <f>[1]raw_orders!A405</f>
        <v>ORD-2024-10404</v>
      </c>
      <c r="B405" s="4" t="str">
        <f>IFERROR(DATEVALUE([1]raw_orders!B405), "Invalid Date")</f>
        <v>Invalid Date</v>
      </c>
      <c r="C405" s="4">
        <f>IFERROR(DATEVALUE([1]raw_orders!C405), "Invalid Date")</f>
        <v>45569</v>
      </c>
      <c r="D405" t="str">
        <f>[1]raw_orders!D405</f>
        <v>CUST-2700</v>
      </c>
      <c r="E405" t="str">
        <f>PROPER(TRIM([1]raw_orders!E405))</f>
        <v>Arjun Bose</v>
      </c>
      <c r="F405" t="str">
        <f>PROPER(TRIM([1]raw_orders!F405))</f>
        <v>Small Business</v>
      </c>
      <c r="G405" t="str">
        <f>IF(TRIM([1]raw_orders!G405)="","Unknown",PROPER(TRIM([1]raw_orders!G405)))</f>
        <v>South</v>
      </c>
      <c r="H405" t="str">
        <f>PROPER(TRIM([1]raw_orders!H405))</f>
        <v>Kerala</v>
      </c>
      <c r="I405" t="str">
        <f>PROPER(TRIM([1]raw_orders!I405))</f>
        <v>Kochi</v>
      </c>
      <c r="J405" t="str">
        <f>PROPER(TRIM([1]raw_orders!J405))</f>
        <v>Office Supplies</v>
      </c>
      <c r="K405" t="str">
        <f>PROPER(TRIM([1]raw_orders!K405))</f>
        <v>Paper</v>
      </c>
      <c r="L405" t="str">
        <f>[1]raw_orders!L405</f>
        <v>Classic Paper 237</v>
      </c>
      <c r="M405" t="str">
        <f>IF(TRIM([1]raw_orders!M405)="","Unknown",PROPER(TRIM([1]raw_orders!M405)))</f>
        <v>Same Day</v>
      </c>
      <c r="N405" s="5">
        <f>[1]raw_orders!N405</f>
        <v>5</v>
      </c>
      <c r="O405" s="5">
        <f>[1]raw_orders!O405</f>
        <v>3512.25</v>
      </c>
      <c r="P405" s="5">
        <f>[1]raw_orders!P405</f>
        <v>0.05</v>
      </c>
      <c r="Q405" t="str">
        <f>PROPER(TRIM([1]raw_orders!T405))</f>
        <v>Paid</v>
      </c>
      <c r="R405" t="str">
        <f>PROPER(TRIM([1]raw_orders!U405))</f>
        <v>Returned</v>
      </c>
      <c r="S405" s="5">
        <f>[1]raw_orders!S405</f>
        <v>6382.03</v>
      </c>
      <c r="T405" s="5">
        <f t="shared" si="48"/>
        <v>63.820299999999996</v>
      </c>
      <c r="U405" s="5">
        <f t="shared" si="49"/>
        <v>-1103202.9933749998</v>
      </c>
      <c r="V405" s="5">
        <f t="shared" si="50"/>
        <v>-1103203.0433749999</v>
      </c>
      <c r="W405" s="5">
        <f t="shared" si="51"/>
        <v>1.0000000453225746</v>
      </c>
      <c r="X405" s="5" t="str">
        <f t="shared" si="52"/>
        <v>Invalid Date</v>
      </c>
      <c r="Y405" s="5" t="e">
        <f t="shared" si="53"/>
        <v>#VALUE!</v>
      </c>
      <c r="Z405" s="5" t="e">
        <f t="shared" si="54"/>
        <v>#VALUE!</v>
      </c>
      <c r="AA405" t="str">
        <f t="shared" si="55"/>
        <v>Clean</v>
      </c>
    </row>
    <row r="406" spans="1:27" x14ac:dyDescent="0.3">
      <c r="A406" t="str">
        <f>[1]raw_orders!A406</f>
        <v>ORD-2024-10405</v>
      </c>
      <c r="B406" s="4">
        <f>IFERROR(DATEVALUE([1]raw_orders!B406), "Invalid Date")</f>
        <v>45318</v>
      </c>
      <c r="C406" s="4">
        <f>IFERROR(DATEVALUE([1]raw_orders!C406), "Invalid Date")</f>
        <v>45353</v>
      </c>
      <c r="D406" t="str">
        <f>[1]raw_orders!D406</f>
        <v>CUST-2904</v>
      </c>
      <c r="E406" t="str">
        <f>PROPER(TRIM([1]raw_orders!E406))</f>
        <v>Aditi Sen</v>
      </c>
      <c r="F406" t="str">
        <f>PROPER(TRIM([1]raw_orders!F406))</f>
        <v>Corporate</v>
      </c>
      <c r="G406" t="str">
        <f>IF(TRIM([1]raw_orders!G406)="","Unknown",PROPER(TRIM([1]raw_orders!G406)))</f>
        <v>West</v>
      </c>
      <c r="H406" t="str">
        <f>PROPER(TRIM([1]raw_orders!H406))</f>
        <v>Rajasthan</v>
      </c>
      <c r="I406" t="str">
        <f>PROPER(TRIM([1]raw_orders!I406))</f>
        <v>Udaipur</v>
      </c>
      <c r="J406" t="str">
        <f>PROPER(TRIM([1]raw_orders!J406))</f>
        <v>Furniture</v>
      </c>
      <c r="K406" t="str">
        <f>PROPER(TRIM([1]raw_orders!K406))</f>
        <v>Chairs</v>
      </c>
      <c r="L406" t="str">
        <f>[1]raw_orders!L406</f>
        <v>Prime Chairs 891</v>
      </c>
      <c r="M406" t="str">
        <f>IF(TRIM([1]raw_orders!M406)="","Unknown",PROPER(TRIM([1]raw_orders!M406)))</f>
        <v>Same Day</v>
      </c>
      <c r="N406" s="5">
        <f>[1]raw_orders!N406</f>
        <v>3</v>
      </c>
      <c r="O406" s="5">
        <f>[1]raw_orders!O406</f>
        <v>359.61</v>
      </c>
      <c r="P406" s="5">
        <f>[1]raw_orders!P406</f>
        <v>0</v>
      </c>
      <c r="Q406" t="str">
        <f>PROPER(TRIM([1]raw_orders!T406))</f>
        <v>Paid</v>
      </c>
      <c r="R406" t="str">
        <f>PROPER(TRIM([1]raw_orders!U406))</f>
        <v>Completed</v>
      </c>
      <c r="S406" s="5">
        <f>[1]raw_orders!S406</f>
        <v>152.47999999999999</v>
      </c>
      <c r="T406" s="5">
        <f t="shared" si="48"/>
        <v>1.5247999999999999</v>
      </c>
      <c r="U406" s="5">
        <f t="shared" si="49"/>
        <v>-566.16998399999989</v>
      </c>
      <c r="V406" s="5">
        <f t="shared" si="50"/>
        <v>-566.16998399999989</v>
      </c>
      <c r="W406" s="5">
        <f t="shared" si="51"/>
        <v>1</v>
      </c>
      <c r="X406" s="5">
        <f t="shared" si="52"/>
        <v>35</v>
      </c>
      <c r="Y406" s="5">
        <f t="shared" si="53"/>
        <v>1</v>
      </c>
      <c r="Z406" s="5">
        <f t="shared" si="54"/>
        <v>2024</v>
      </c>
      <c r="AA406" t="str">
        <f t="shared" si="55"/>
        <v>Clean</v>
      </c>
    </row>
    <row r="407" spans="1:27" x14ac:dyDescent="0.3">
      <c r="A407" t="str">
        <f>[1]raw_orders!A407</f>
        <v>ORD-2024-10406</v>
      </c>
      <c r="B407" s="4" t="str">
        <f>IFERROR(DATEVALUE([1]raw_orders!B407), "Invalid Date")</f>
        <v>Invalid Date</v>
      </c>
      <c r="C407" s="4">
        <f>IFERROR(DATEVALUE([1]raw_orders!C407), "Invalid Date")</f>
        <v>45559</v>
      </c>
      <c r="D407" t="str">
        <f>[1]raw_orders!D407</f>
        <v>CUST-9961</v>
      </c>
      <c r="E407" t="str">
        <f>PROPER(TRIM([1]raw_orders!E407))</f>
        <v>Aditi Sen</v>
      </c>
      <c r="F407" t="str">
        <f>PROPER(TRIM([1]raw_orders!F407))</f>
        <v>Home Office</v>
      </c>
      <c r="G407" t="str">
        <f>IF(TRIM([1]raw_orders!G407)="","Unknown",PROPER(TRIM([1]raw_orders!G407)))</f>
        <v>West</v>
      </c>
      <c r="H407" t="str">
        <f>PROPER(TRIM([1]raw_orders!H407))</f>
        <v>Gujarat</v>
      </c>
      <c r="I407" t="str">
        <f>PROPER(TRIM([1]raw_orders!I407))</f>
        <v>Ahmedabad</v>
      </c>
      <c r="J407" t="str">
        <f>PROPER(TRIM([1]raw_orders!J407))</f>
        <v>Furniture</v>
      </c>
      <c r="K407" t="str">
        <f>PROPER(TRIM([1]raw_orders!K407))</f>
        <v>Bookcases</v>
      </c>
      <c r="L407" t="str">
        <f>[1]raw_orders!L407</f>
        <v>Max Bookcases 812</v>
      </c>
      <c r="M407" t="str">
        <f>IF(TRIM([1]raw_orders!M407)="","Unknown",PROPER(TRIM([1]raw_orders!M407)))</f>
        <v>Unknown</v>
      </c>
      <c r="N407" s="5">
        <f>[1]raw_orders!N407</f>
        <v>7</v>
      </c>
      <c r="O407" s="5">
        <f>[1]raw_orders!O407</f>
        <v>3878.01</v>
      </c>
      <c r="P407" s="5">
        <f>[1]raw_orders!P407</f>
        <v>0.1</v>
      </c>
      <c r="Q407" t="str">
        <f>PROPER(TRIM([1]raw_orders!T407))</f>
        <v>Paid</v>
      </c>
      <c r="R407" t="str">
        <f>PROPER(TRIM([1]raw_orders!U407))</f>
        <v>Completed</v>
      </c>
      <c r="S407" s="5">
        <f>[1]raw_orders!S407</f>
        <v>6229.1</v>
      </c>
      <c r="T407" s="5">
        <f t="shared" si="48"/>
        <v>62.291000000000004</v>
      </c>
      <c r="U407" s="5">
        <f t="shared" si="49"/>
        <v>-1663809.7763700001</v>
      </c>
      <c r="V407" s="5">
        <f t="shared" si="50"/>
        <v>-1663809.8763700002</v>
      </c>
      <c r="W407" s="5">
        <f t="shared" si="51"/>
        <v>1.0000000601030248</v>
      </c>
      <c r="X407" s="5" t="str">
        <f t="shared" si="52"/>
        <v>Invalid Date</v>
      </c>
      <c r="Y407" s="5" t="e">
        <f t="shared" si="53"/>
        <v>#VALUE!</v>
      </c>
      <c r="Z407" s="5" t="e">
        <f t="shared" si="54"/>
        <v>#VALUE!</v>
      </c>
      <c r="AA407" t="str">
        <f t="shared" si="55"/>
        <v>Warning</v>
      </c>
    </row>
    <row r="408" spans="1:27" x14ac:dyDescent="0.3">
      <c r="A408" t="str">
        <f>[1]raw_orders!A408</f>
        <v>ORD-2025-10407</v>
      </c>
      <c r="B408" s="4">
        <f>IFERROR(DATEVALUE([1]raw_orders!B408), "Invalid Date")</f>
        <v>45713</v>
      </c>
      <c r="C408" s="4">
        <f>IFERROR(DATEVALUE([1]raw_orders!C408), "Invalid Date")</f>
        <v>45713</v>
      </c>
      <c r="D408" t="str">
        <f>[1]raw_orders!D408</f>
        <v>CUST-9909</v>
      </c>
      <c r="E408" t="str">
        <f>PROPER(TRIM([1]raw_orders!E408))</f>
        <v>Kabir Singh</v>
      </c>
      <c r="F408" t="str">
        <f>PROPER(TRIM([1]raw_orders!F408))</f>
        <v>Small Business</v>
      </c>
      <c r="G408" t="str">
        <f>IF(TRIM([1]raw_orders!G408)="","Unknown",PROPER(TRIM([1]raw_orders!G408)))</f>
        <v>West</v>
      </c>
      <c r="H408" t="str">
        <f>PROPER(TRIM([1]raw_orders!H408))</f>
        <v>Goa</v>
      </c>
      <c r="I408" t="str">
        <f>PROPER(TRIM([1]raw_orders!I408))</f>
        <v>Panaji</v>
      </c>
      <c r="J408" t="str">
        <f>PROPER(TRIM([1]raw_orders!J408))</f>
        <v>Furniture</v>
      </c>
      <c r="K408" t="str">
        <f>PROPER(TRIM([1]raw_orders!K408))</f>
        <v>Furnishings</v>
      </c>
      <c r="L408" t="str">
        <f>[1]raw_orders!L408</f>
        <v>Basic Furnishings 164</v>
      </c>
      <c r="M408" t="str">
        <f>IF(TRIM([1]raw_orders!M408)="","Unknown",PROPER(TRIM([1]raw_orders!M408)))</f>
        <v>Standard Class</v>
      </c>
      <c r="N408" s="5">
        <f>[1]raw_orders!N408</f>
        <v>2</v>
      </c>
      <c r="O408" s="5">
        <f>[1]raw_orders!O408</f>
        <v>3924.2</v>
      </c>
      <c r="P408" s="5">
        <f>[1]raw_orders!P408</f>
        <v>0.25</v>
      </c>
      <c r="Q408" t="str">
        <f>PROPER(TRIM([1]raw_orders!T408))</f>
        <v>Pending</v>
      </c>
      <c r="R408" t="str">
        <f>PROPER(TRIM([1]raw_orders!U408))</f>
        <v>Returned</v>
      </c>
      <c r="S408" s="5">
        <f>[1]raw_orders!S408</f>
        <v>2264.54</v>
      </c>
      <c r="T408" s="5">
        <f t="shared" si="48"/>
        <v>22.645399999999999</v>
      </c>
      <c r="U408" s="5">
        <f t="shared" si="49"/>
        <v>-169881.75735999999</v>
      </c>
      <c r="V408" s="5">
        <f t="shared" si="50"/>
        <v>-169882.00735999999</v>
      </c>
      <c r="W408" s="5">
        <f t="shared" si="51"/>
        <v>1.0000014716118075</v>
      </c>
      <c r="X408" s="5">
        <f t="shared" si="52"/>
        <v>0</v>
      </c>
      <c r="Y408" s="5">
        <f t="shared" si="53"/>
        <v>2</v>
      </c>
      <c r="Z408" s="5">
        <f t="shared" si="54"/>
        <v>2025</v>
      </c>
      <c r="AA408" t="str">
        <f t="shared" si="55"/>
        <v>Clean</v>
      </c>
    </row>
    <row r="409" spans="1:27" x14ac:dyDescent="0.3">
      <c r="A409" t="str">
        <f>[1]raw_orders!A409</f>
        <v>ORD-2024-10408</v>
      </c>
      <c r="B409" s="4">
        <f>IFERROR(DATEVALUE([1]raw_orders!B409), "Invalid Date")</f>
        <v>45424</v>
      </c>
      <c r="C409" s="4">
        <f>IFERROR(DATEVALUE([1]raw_orders!C409), "Invalid Date")</f>
        <v>45425</v>
      </c>
      <c r="D409" t="str">
        <f>[1]raw_orders!D409</f>
        <v>CUST-8520</v>
      </c>
      <c r="E409" t="str">
        <f>PROPER(TRIM([1]raw_orders!E409))</f>
        <v>Rahul Verma</v>
      </c>
      <c r="F409" t="str">
        <f>PROPER(TRIM([1]raw_orders!F409))</f>
        <v>Corporate</v>
      </c>
      <c r="G409" t="str">
        <f>IF(TRIM([1]raw_orders!G409)="","Unknown",PROPER(TRIM([1]raw_orders!G409)))</f>
        <v>West</v>
      </c>
      <c r="H409" t="str">
        <f>PROPER(TRIM([1]raw_orders!H409))</f>
        <v>Goa</v>
      </c>
      <c r="I409" t="str">
        <f>PROPER(TRIM([1]raw_orders!I409))</f>
        <v>Panaji</v>
      </c>
      <c r="J409" t="str">
        <f>PROPER(TRIM([1]raw_orders!J409))</f>
        <v>Office Supplies</v>
      </c>
      <c r="K409" t="str">
        <f>PROPER(TRIM([1]raw_orders!K409))</f>
        <v>Labels</v>
      </c>
      <c r="L409" t="str">
        <f>[1]raw_orders!L409</f>
        <v>Smart Labels 261</v>
      </c>
      <c r="M409" t="str">
        <f>IF(TRIM([1]raw_orders!M409)="","Unknown",PROPER(TRIM([1]raw_orders!M409)))</f>
        <v>Second Class</v>
      </c>
      <c r="N409" s="5">
        <f>[1]raw_orders!N409</f>
        <v>3</v>
      </c>
      <c r="O409" s="5">
        <f>[1]raw_orders!O409</f>
        <v>2644.55</v>
      </c>
      <c r="P409" s="5">
        <f>[1]raw_orders!P409</f>
        <v>0</v>
      </c>
      <c r="Q409" t="str">
        <f>PROPER(TRIM([1]raw_orders!T409))</f>
        <v>Paid</v>
      </c>
      <c r="R409" t="str">
        <f>PROPER(TRIM([1]raw_orders!U409))</f>
        <v>Completed</v>
      </c>
      <c r="S409" s="5">
        <f>[1]raw_orders!S409</f>
        <v>2235.23</v>
      </c>
      <c r="T409" s="5">
        <f t="shared" si="48"/>
        <v>22.3523</v>
      </c>
      <c r="U409" s="5">
        <f t="shared" si="49"/>
        <v>-169401.674895</v>
      </c>
      <c r="V409" s="5">
        <f t="shared" si="50"/>
        <v>-169401.674895</v>
      </c>
      <c r="W409" s="5">
        <f t="shared" si="51"/>
        <v>1</v>
      </c>
      <c r="X409" s="5">
        <f t="shared" si="52"/>
        <v>1</v>
      </c>
      <c r="Y409" s="5">
        <f t="shared" si="53"/>
        <v>5</v>
      </c>
      <c r="Z409" s="5">
        <f t="shared" si="54"/>
        <v>2024</v>
      </c>
      <c r="AA409" t="str">
        <f t="shared" si="55"/>
        <v>Clean</v>
      </c>
    </row>
    <row r="410" spans="1:27" x14ac:dyDescent="0.3">
      <c r="A410" t="str">
        <f>[1]raw_orders!A410</f>
        <v>ORD-2025-10409</v>
      </c>
      <c r="B410" s="4">
        <f>IFERROR(DATEVALUE([1]raw_orders!B410), "Invalid Date")</f>
        <v>45665</v>
      </c>
      <c r="C410" s="4">
        <f>IFERROR(DATEVALUE([1]raw_orders!C410), "Invalid Date")</f>
        <v>45724</v>
      </c>
      <c r="D410" t="str">
        <f>[1]raw_orders!D410</f>
        <v>CUST-5036</v>
      </c>
      <c r="E410" t="str">
        <f>PROPER(TRIM([1]raw_orders!E410))</f>
        <v>Sneha Kapoor</v>
      </c>
      <c r="F410" t="str">
        <f>PROPER(TRIM([1]raw_orders!F410))</f>
        <v>Consumer</v>
      </c>
      <c r="G410" t="str">
        <f>IF(TRIM([1]raw_orders!G410)="","Unknown",PROPER(TRIM([1]raw_orders!G410)))</f>
        <v>West</v>
      </c>
      <c r="H410" t="str">
        <f>PROPER(TRIM([1]raw_orders!H410))</f>
        <v>Maharashtra</v>
      </c>
      <c r="I410" t="str">
        <f>PROPER(TRIM([1]raw_orders!I410))</f>
        <v>Mumbai</v>
      </c>
      <c r="J410" t="str">
        <f>PROPER(TRIM([1]raw_orders!J410))</f>
        <v>Furniture</v>
      </c>
      <c r="K410" t="str">
        <f>PROPER(TRIM([1]raw_orders!K410))</f>
        <v>Chairs</v>
      </c>
      <c r="L410" t="str">
        <f>[1]raw_orders!L410</f>
        <v>Max Chairs 765</v>
      </c>
      <c r="M410" t="str">
        <f>IF(TRIM([1]raw_orders!M410)="","Unknown",PROPER(TRIM([1]raw_orders!M410)))</f>
        <v>First Class</v>
      </c>
      <c r="N410" s="5">
        <f>[1]raw_orders!N410</f>
        <v>4</v>
      </c>
      <c r="O410" s="5">
        <f>[1]raw_orders!O410</f>
        <v>1773.46</v>
      </c>
      <c r="P410" s="5">
        <f>[1]raw_orders!P410</f>
        <v>0</v>
      </c>
      <c r="Q410" t="str">
        <f>PROPER(TRIM([1]raw_orders!T410))</f>
        <v>Failed</v>
      </c>
      <c r="R410" t="str">
        <f>PROPER(TRIM([1]raw_orders!U410))</f>
        <v>Returned</v>
      </c>
      <c r="S410" s="5">
        <f>[1]raw_orders!S410</f>
        <v>2506.35</v>
      </c>
      <c r="T410" s="5">
        <f t="shared" si="48"/>
        <v>25.063499999999998</v>
      </c>
      <c r="U410" s="5">
        <f t="shared" si="49"/>
        <v>-170702.61883999998</v>
      </c>
      <c r="V410" s="5">
        <f t="shared" si="50"/>
        <v>-170702.61883999998</v>
      </c>
      <c r="W410" s="5">
        <f t="shared" si="51"/>
        <v>1</v>
      </c>
      <c r="X410" s="5">
        <f t="shared" si="52"/>
        <v>59</v>
      </c>
      <c r="Y410" s="5">
        <f t="shared" si="53"/>
        <v>1</v>
      </c>
      <c r="Z410" s="5">
        <f t="shared" si="54"/>
        <v>2025</v>
      </c>
      <c r="AA410" t="str">
        <f t="shared" si="55"/>
        <v>Clean</v>
      </c>
    </row>
    <row r="411" spans="1:27" x14ac:dyDescent="0.3">
      <c r="A411" t="str">
        <f>[1]raw_orders!A411</f>
        <v>ORD-2025-10410</v>
      </c>
      <c r="B411" s="4">
        <f>IFERROR(DATEVALUE([1]raw_orders!B411), "Invalid Date")</f>
        <v>45701</v>
      </c>
      <c r="C411" s="4">
        <f>IFERROR(DATEVALUE([1]raw_orders!C411), "Invalid Date")</f>
        <v>45703</v>
      </c>
      <c r="D411" t="str">
        <f>[1]raw_orders!D411</f>
        <v>CUST-7721</v>
      </c>
      <c r="E411" t="str">
        <f>PROPER(TRIM([1]raw_orders!E411))</f>
        <v>Karan Malhotra</v>
      </c>
      <c r="F411" t="str">
        <f>PROPER(TRIM([1]raw_orders!F411))</f>
        <v>Consumer</v>
      </c>
      <c r="G411" t="str">
        <f>IF(TRIM([1]raw_orders!G411)="","Unknown",PROPER(TRIM([1]raw_orders!G411)))</f>
        <v>East</v>
      </c>
      <c r="H411" t="str">
        <f>PROPER(TRIM([1]raw_orders!H411))</f>
        <v>Assam</v>
      </c>
      <c r="I411" t="str">
        <f>PROPER(TRIM([1]raw_orders!I411))</f>
        <v>Guwahati</v>
      </c>
      <c r="J411" t="str">
        <f>PROPER(TRIM([1]raw_orders!J411))</f>
        <v>Technology</v>
      </c>
      <c r="K411" t="str">
        <f>PROPER(TRIM([1]raw_orders!K411))</f>
        <v>Accessories</v>
      </c>
      <c r="L411" t="str">
        <f>[1]raw_orders!L411</f>
        <v>Pro Accessories 686</v>
      </c>
      <c r="M411" t="str">
        <f>IF(TRIM([1]raw_orders!M411)="","Unknown",PROPER(TRIM([1]raw_orders!M411)))</f>
        <v>Same Day</v>
      </c>
      <c r="N411" s="5">
        <f>[1]raw_orders!N411</f>
        <v>1</v>
      </c>
      <c r="O411" s="5">
        <f>[1]raw_orders!O411</f>
        <v>3025.46</v>
      </c>
      <c r="P411" s="5">
        <f>[1]raw_orders!P411</f>
        <v>0.25</v>
      </c>
      <c r="Q411" t="str">
        <f>PROPER(TRIM([1]raw_orders!T411))</f>
        <v>Refunded</v>
      </c>
      <c r="R411" t="str">
        <f>PROPER(TRIM([1]raw_orders!U411))</f>
        <v>Returned</v>
      </c>
      <c r="S411" s="5">
        <f>[1]raw_orders!S411</f>
        <v>675.51</v>
      </c>
      <c r="T411" s="5">
        <f t="shared" si="48"/>
        <v>6.7550999999999997</v>
      </c>
      <c r="U411" s="5">
        <f t="shared" si="49"/>
        <v>-17411.824846</v>
      </c>
      <c r="V411" s="5">
        <f t="shared" si="50"/>
        <v>-17412.074846</v>
      </c>
      <c r="W411" s="5">
        <f t="shared" si="51"/>
        <v>1.0000143580585155</v>
      </c>
      <c r="X411" s="5">
        <f t="shared" si="52"/>
        <v>2</v>
      </c>
      <c r="Y411" s="5">
        <f t="shared" si="53"/>
        <v>2</v>
      </c>
      <c r="Z411" s="5">
        <f t="shared" si="54"/>
        <v>2025</v>
      </c>
      <c r="AA411" t="str">
        <f t="shared" si="55"/>
        <v>Clean</v>
      </c>
    </row>
    <row r="412" spans="1:27" x14ac:dyDescent="0.3">
      <c r="A412" t="str">
        <f>[1]raw_orders!A412</f>
        <v>ORD-2024-10411</v>
      </c>
      <c r="B412" s="4">
        <f>IFERROR(DATEVALUE([1]raw_orders!B412), "Invalid Date")</f>
        <v>45394</v>
      </c>
      <c r="C412" s="4">
        <f>IFERROR(DATEVALUE([1]raw_orders!C412), "Invalid Date")</f>
        <v>45402</v>
      </c>
      <c r="D412" t="str">
        <f>[1]raw_orders!D412</f>
        <v>CUST-9495</v>
      </c>
      <c r="E412" t="str">
        <f>PROPER(TRIM([1]raw_orders!E412))</f>
        <v>Diya Patel</v>
      </c>
      <c r="F412" t="str">
        <f>PROPER(TRIM([1]raw_orders!F412))</f>
        <v>Consumer</v>
      </c>
      <c r="G412" t="str">
        <f>IF(TRIM([1]raw_orders!G412)="","Unknown",PROPER(TRIM([1]raw_orders!G412)))</f>
        <v>West</v>
      </c>
      <c r="H412" t="str">
        <f>PROPER(TRIM([1]raw_orders!H412))</f>
        <v>Goa</v>
      </c>
      <c r="I412" t="str">
        <f>PROPER(TRIM([1]raw_orders!I412))</f>
        <v>Panaji</v>
      </c>
      <c r="J412" t="str">
        <f>PROPER(TRIM([1]raw_orders!J412))</f>
        <v>Furniture</v>
      </c>
      <c r="K412" t="str">
        <f>PROPER(TRIM([1]raw_orders!K412))</f>
        <v>Tables</v>
      </c>
      <c r="L412" t="str">
        <f>[1]raw_orders!L412</f>
        <v>Smart Tables 100</v>
      </c>
      <c r="M412" t="str">
        <f>IF(TRIM([1]raw_orders!M412)="","Unknown",PROPER(TRIM([1]raw_orders!M412)))</f>
        <v>First Class</v>
      </c>
      <c r="N412" s="5">
        <f>[1]raw_orders!N412</f>
        <v>9</v>
      </c>
      <c r="O412" s="5">
        <f>[1]raw_orders!O412</f>
        <v>1302.6099999999999</v>
      </c>
      <c r="P412" s="5">
        <f>[1]raw_orders!P412</f>
        <v>0.2</v>
      </c>
      <c r="Q412" t="str">
        <f>PROPER(TRIM([1]raw_orders!T412))</f>
        <v>Paid</v>
      </c>
      <c r="R412" t="str">
        <f>PROPER(TRIM([1]raw_orders!U412))</f>
        <v>Completed</v>
      </c>
      <c r="S412" s="5">
        <f>[1]raw_orders!S412</f>
        <v>2604.31</v>
      </c>
      <c r="T412" s="5">
        <f t="shared" si="48"/>
        <v>26.043099999999999</v>
      </c>
      <c r="U412" s="5">
        <f t="shared" si="49"/>
        <v>-293592.532419</v>
      </c>
      <c r="V412" s="5">
        <f t="shared" si="50"/>
        <v>-293592.73241900001</v>
      </c>
      <c r="W412" s="5">
        <f t="shared" si="51"/>
        <v>1.0000006812162365</v>
      </c>
      <c r="X412" s="5">
        <f t="shared" si="52"/>
        <v>8</v>
      </c>
      <c r="Y412" s="5">
        <f t="shared" si="53"/>
        <v>4</v>
      </c>
      <c r="Z412" s="5">
        <f t="shared" si="54"/>
        <v>2024</v>
      </c>
      <c r="AA412" t="str">
        <f t="shared" si="55"/>
        <v>Clean</v>
      </c>
    </row>
    <row r="413" spans="1:27" x14ac:dyDescent="0.3">
      <c r="A413" t="str">
        <f>[1]raw_orders!A413</f>
        <v>ORD-2025-10412</v>
      </c>
      <c r="B413" s="4">
        <f>IFERROR(DATEVALUE([1]raw_orders!B413), "Invalid Date")</f>
        <v>45892</v>
      </c>
      <c r="C413" s="4">
        <f>IFERROR(DATEVALUE([1]raw_orders!C413), "Invalid Date")</f>
        <v>45897</v>
      </c>
      <c r="D413" t="str">
        <f>[1]raw_orders!D413</f>
        <v>CUST-2855</v>
      </c>
      <c r="E413" t="str">
        <f>PROPER(TRIM([1]raw_orders!E413))</f>
        <v>Arjun Bose</v>
      </c>
      <c r="F413" t="str">
        <f>PROPER(TRIM([1]raw_orders!F413))</f>
        <v>Home Office</v>
      </c>
      <c r="G413" t="str">
        <f>IF(TRIM([1]raw_orders!G413)="","Unknown",PROPER(TRIM([1]raw_orders!G413)))</f>
        <v>West</v>
      </c>
      <c r="H413" t="str">
        <f>PROPER(TRIM([1]raw_orders!H413))</f>
        <v>Rajasthan</v>
      </c>
      <c r="I413" t="str">
        <f>PROPER(TRIM([1]raw_orders!I413))</f>
        <v>Udaipur</v>
      </c>
      <c r="J413" t="str">
        <f>PROPER(TRIM([1]raw_orders!J413))</f>
        <v>Furniture</v>
      </c>
      <c r="K413" t="str">
        <f>PROPER(TRIM([1]raw_orders!K413))</f>
        <v>Tables</v>
      </c>
      <c r="L413" t="str">
        <f>[1]raw_orders!L413</f>
        <v>Basic Tables 615</v>
      </c>
      <c r="M413" t="str">
        <f>IF(TRIM([1]raw_orders!M413)="","Unknown",PROPER(TRIM([1]raw_orders!M413)))</f>
        <v>First Class</v>
      </c>
      <c r="N413" s="5">
        <f>[1]raw_orders!N413</f>
        <v>1</v>
      </c>
      <c r="O413" s="5">
        <f>[1]raw_orders!O413</f>
        <v>4167.8100000000004</v>
      </c>
      <c r="P413" s="5">
        <f>[1]raw_orders!P413</f>
        <v>0.2</v>
      </c>
      <c r="Q413" t="str">
        <f>PROPER(TRIM([1]raw_orders!T413))</f>
        <v>Failed</v>
      </c>
      <c r="R413" t="str">
        <f>PROPER(TRIM([1]raw_orders!U413))</f>
        <v>Returned</v>
      </c>
      <c r="S413" s="5">
        <f>[1]raw_orders!S413</f>
        <v>565.48</v>
      </c>
      <c r="T413" s="5">
        <f t="shared" si="48"/>
        <v>5.6547999999999998</v>
      </c>
      <c r="U413" s="5">
        <f t="shared" si="49"/>
        <v>-19400.321988</v>
      </c>
      <c r="V413" s="5">
        <f t="shared" si="50"/>
        <v>-19400.521988</v>
      </c>
      <c r="W413" s="5">
        <f t="shared" si="51"/>
        <v>1.000010309107247</v>
      </c>
      <c r="X413" s="5">
        <f t="shared" si="52"/>
        <v>5</v>
      </c>
      <c r="Y413" s="5">
        <f t="shared" si="53"/>
        <v>8</v>
      </c>
      <c r="Z413" s="5">
        <f t="shared" si="54"/>
        <v>2025</v>
      </c>
      <c r="AA413" t="str">
        <f t="shared" si="55"/>
        <v>Clean</v>
      </c>
    </row>
    <row r="414" spans="1:27" x14ac:dyDescent="0.3">
      <c r="A414" t="str">
        <f>[1]raw_orders!A414</f>
        <v>ORD-2024-10413</v>
      </c>
      <c r="B414" s="4">
        <f>IFERROR(DATEVALUE([1]raw_orders!B414), "Invalid Date")</f>
        <v>45313</v>
      </c>
      <c r="C414" s="4">
        <f>IFERROR(DATEVALUE([1]raw_orders!C414), "Invalid Date")</f>
        <v>45321</v>
      </c>
      <c r="D414" t="str">
        <f>[1]raw_orders!D414</f>
        <v>CUST-4329</v>
      </c>
      <c r="E414" t="str">
        <f>PROPER(TRIM([1]raw_orders!E414))</f>
        <v>Isha Nair</v>
      </c>
      <c r="F414" t="str">
        <f>PROPER(TRIM([1]raw_orders!F414))</f>
        <v>Corporate</v>
      </c>
      <c r="G414" t="str">
        <f>IF(TRIM([1]raw_orders!G414)="","Unknown",PROPER(TRIM([1]raw_orders!G414)))</f>
        <v>South</v>
      </c>
      <c r="H414" t="str">
        <f>PROPER(TRIM([1]raw_orders!H414))</f>
        <v>Karnataka</v>
      </c>
      <c r="I414" t="str">
        <f>PROPER(TRIM([1]raw_orders!I414))</f>
        <v>Bengaluru</v>
      </c>
      <c r="J414" t="str">
        <f>PROPER(TRIM([1]raw_orders!J414))</f>
        <v>Furniture</v>
      </c>
      <c r="K414" t="str">
        <f>PROPER(TRIM([1]raw_orders!K414))</f>
        <v>Chairs</v>
      </c>
      <c r="L414" t="str">
        <f>[1]raw_orders!L414</f>
        <v>Basic Chairs 790</v>
      </c>
      <c r="M414" t="str">
        <f>IF(TRIM([1]raw_orders!M414)="","Unknown",PROPER(TRIM([1]raw_orders!M414)))</f>
        <v>Same Day</v>
      </c>
      <c r="N414" s="5">
        <f>[1]raw_orders!N414</f>
        <v>1</v>
      </c>
      <c r="O414" s="5">
        <f>[1]raw_orders!O414</f>
        <v>2111.39</v>
      </c>
      <c r="P414" s="5">
        <f>[1]raw_orders!P414</f>
        <v>0.25</v>
      </c>
      <c r="Q414" t="str">
        <f>PROPER(TRIM([1]raw_orders!T414))</f>
        <v>Paid</v>
      </c>
      <c r="R414" t="str">
        <f>PROPER(TRIM([1]raw_orders!U414))</f>
        <v>Completed</v>
      </c>
      <c r="S414" s="5">
        <f>[1]raw_orders!S414</f>
        <v>569.35</v>
      </c>
      <c r="T414" s="5">
        <f t="shared" si="48"/>
        <v>5.6935000000000002</v>
      </c>
      <c r="U414" s="5">
        <f t="shared" si="49"/>
        <v>-9909.8089650000002</v>
      </c>
      <c r="V414" s="5">
        <f t="shared" si="50"/>
        <v>-9910.0589650000002</v>
      </c>
      <c r="W414" s="5">
        <f t="shared" si="51"/>
        <v>1.0000252275297015</v>
      </c>
      <c r="X414" s="5">
        <f t="shared" si="52"/>
        <v>8</v>
      </c>
      <c r="Y414" s="5">
        <f t="shared" si="53"/>
        <v>1</v>
      </c>
      <c r="Z414" s="5">
        <f t="shared" si="54"/>
        <v>2024</v>
      </c>
      <c r="AA414" t="str">
        <f t="shared" si="55"/>
        <v>Clean</v>
      </c>
    </row>
    <row r="415" spans="1:27" x14ac:dyDescent="0.3">
      <c r="A415" t="str">
        <f>[1]raw_orders!A415</f>
        <v>ORD-2025-10414</v>
      </c>
      <c r="B415" s="4">
        <f>IFERROR(DATEVALUE([1]raw_orders!B415), "Invalid Date")</f>
        <v>45882</v>
      </c>
      <c r="C415" s="4">
        <f>IFERROR(DATEVALUE([1]raw_orders!C415), "Invalid Date")</f>
        <v>45886</v>
      </c>
      <c r="D415" t="str">
        <f>[1]raw_orders!D415</f>
        <v>CUST-5094</v>
      </c>
      <c r="E415" t="str">
        <f>PROPER(TRIM([1]raw_orders!E415))</f>
        <v>Neha Gupta</v>
      </c>
      <c r="F415" t="str">
        <f>PROPER(TRIM([1]raw_orders!F415))</f>
        <v>Home Office</v>
      </c>
      <c r="G415" t="str">
        <f>IF(TRIM([1]raw_orders!G415)="","Unknown",PROPER(TRIM([1]raw_orders!G415)))</f>
        <v>West</v>
      </c>
      <c r="H415" t="str">
        <f>PROPER(TRIM([1]raw_orders!H415))</f>
        <v>Madhya Pradesh</v>
      </c>
      <c r="I415" t="str">
        <f>PROPER(TRIM([1]raw_orders!I415))</f>
        <v>Indore</v>
      </c>
      <c r="J415" t="str">
        <f>PROPER(TRIM([1]raw_orders!J415))</f>
        <v>Technology</v>
      </c>
      <c r="K415" t="str">
        <f>PROPER(TRIM([1]raw_orders!K415))</f>
        <v>Accessories</v>
      </c>
      <c r="L415" t="str">
        <f>[1]raw_orders!L415</f>
        <v>Smart Accessories 226</v>
      </c>
      <c r="M415" t="str">
        <f>IF(TRIM([1]raw_orders!M415)="","Unknown",PROPER(TRIM([1]raw_orders!M415)))</f>
        <v>Second Class</v>
      </c>
      <c r="N415" s="5">
        <f>[1]raw_orders!N415</f>
        <v>8</v>
      </c>
      <c r="O415" s="5">
        <f>[1]raw_orders!O415</f>
        <v>1918.23</v>
      </c>
      <c r="P415" s="5">
        <f>[1]raw_orders!P415</f>
        <v>0</v>
      </c>
      <c r="Q415" t="str">
        <f>PROPER(TRIM([1]raw_orders!T415))</f>
        <v>Pending</v>
      </c>
      <c r="R415" t="str">
        <f>PROPER(TRIM([1]raw_orders!U415))</f>
        <v>Cancelled</v>
      </c>
      <c r="S415" s="5">
        <f>[1]raw_orders!S415</f>
        <v>4610.51</v>
      </c>
      <c r="T415" s="5">
        <f t="shared" si="48"/>
        <v>46.1051</v>
      </c>
      <c r="U415" s="5">
        <f t="shared" si="49"/>
        <v>-692175.64778400003</v>
      </c>
      <c r="V415" s="5">
        <f t="shared" si="50"/>
        <v>-692175.64778400003</v>
      </c>
      <c r="W415" s="5">
        <f t="shared" si="51"/>
        <v>1</v>
      </c>
      <c r="X415" s="5">
        <f t="shared" si="52"/>
        <v>4</v>
      </c>
      <c r="Y415" s="5">
        <f t="shared" si="53"/>
        <v>8</v>
      </c>
      <c r="Z415" s="5">
        <f t="shared" si="54"/>
        <v>2025</v>
      </c>
      <c r="AA415" t="str">
        <f t="shared" si="55"/>
        <v>Clean</v>
      </c>
    </row>
    <row r="416" spans="1:27" x14ac:dyDescent="0.3">
      <c r="A416" t="str">
        <f>[1]raw_orders!A416</f>
        <v>ORD-2024-10415</v>
      </c>
      <c r="B416" s="4">
        <f>IFERROR(DATEVALUE([1]raw_orders!B416), "Invalid Date")</f>
        <v>45533</v>
      </c>
      <c r="C416" s="4" t="str">
        <f>IFERROR(DATEVALUE([1]raw_orders!C416), "Invalid Date")</f>
        <v>Invalid Date</v>
      </c>
      <c r="D416" t="str">
        <f>[1]raw_orders!D416</f>
        <v>CUST-4194</v>
      </c>
      <c r="E416" t="str">
        <f>PROPER(TRIM([1]raw_orders!E416))</f>
        <v>Arjun Bose</v>
      </c>
      <c r="F416" t="str">
        <f>PROPER(TRIM([1]raw_orders!F416))</f>
        <v>Home Office</v>
      </c>
      <c r="G416" t="str">
        <f>IF(TRIM([1]raw_orders!G416)="","Unknown",PROPER(TRIM([1]raw_orders!G416)))</f>
        <v>East</v>
      </c>
      <c r="H416" t="str">
        <f>PROPER(TRIM([1]raw_orders!H416))</f>
        <v>Assam</v>
      </c>
      <c r="I416" t="str">
        <f>PROPER(TRIM([1]raw_orders!I416))</f>
        <v>Guwahati</v>
      </c>
      <c r="J416" t="str">
        <f>PROPER(TRIM([1]raw_orders!J416))</f>
        <v>Office Supplies</v>
      </c>
      <c r="K416" t="str">
        <f>PROPER(TRIM([1]raw_orders!K416))</f>
        <v>Storage</v>
      </c>
      <c r="L416" t="str">
        <f>[1]raw_orders!L416</f>
        <v>Max Storage 692</v>
      </c>
      <c r="M416" t="str">
        <f>IF(TRIM([1]raw_orders!M416)="","Unknown",PROPER(TRIM([1]raw_orders!M416)))</f>
        <v>First Class</v>
      </c>
      <c r="N416" s="5">
        <f>[1]raw_orders!N416</f>
        <v>4</v>
      </c>
      <c r="O416" s="5">
        <f>[1]raw_orders!O416</f>
        <v>2484.08</v>
      </c>
      <c r="P416" s="5">
        <f>[1]raw_orders!P416</f>
        <v>0.05</v>
      </c>
      <c r="Q416" t="str">
        <f>PROPER(TRIM([1]raw_orders!T416))</f>
        <v>Paid</v>
      </c>
      <c r="R416" t="str">
        <f>PROPER(TRIM([1]raw_orders!U416))</f>
        <v>Completed</v>
      </c>
      <c r="S416" s="5">
        <f>[1]raw_orders!S416</f>
        <v>3920.11</v>
      </c>
      <c r="T416" s="5">
        <f t="shared" si="48"/>
        <v>39.201100000000004</v>
      </c>
      <c r="U416" s="5">
        <f t="shared" si="49"/>
        <v>-379578.35395200003</v>
      </c>
      <c r="V416" s="5">
        <f t="shared" si="50"/>
        <v>-379578.40395200002</v>
      </c>
      <c r="W416" s="5">
        <f t="shared" si="51"/>
        <v>1.0000001317251088</v>
      </c>
      <c r="X416" s="5" t="str">
        <f t="shared" si="52"/>
        <v>Invalid Date</v>
      </c>
      <c r="Y416" s="5">
        <f t="shared" si="53"/>
        <v>8</v>
      </c>
      <c r="Z416" s="5">
        <f t="shared" si="54"/>
        <v>2024</v>
      </c>
      <c r="AA416" t="str">
        <f t="shared" si="55"/>
        <v>Clean</v>
      </c>
    </row>
    <row r="417" spans="1:27" x14ac:dyDescent="0.3">
      <c r="A417" t="str">
        <f>[1]raw_orders!A417</f>
        <v>ORD-2024-10416</v>
      </c>
      <c r="B417" s="4" t="str">
        <f>IFERROR(DATEVALUE([1]raw_orders!B417), "Invalid Date")</f>
        <v>Invalid Date</v>
      </c>
      <c r="C417" s="4">
        <f>IFERROR(DATEVALUE([1]raw_orders!C417), "Invalid Date")</f>
        <v>45318</v>
      </c>
      <c r="D417" t="str">
        <f>[1]raw_orders!D417</f>
        <v>CUST-7087</v>
      </c>
      <c r="E417" t="str">
        <f>PROPER(TRIM([1]raw_orders!E417))</f>
        <v>Aarav Sharma</v>
      </c>
      <c r="F417" t="str">
        <f>PROPER(TRIM([1]raw_orders!F417))</f>
        <v>Corporate</v>
      </c>
      <c r="G417" t="str">
        <f>IF(TRIM([1]raw_orders!G417)="","Unknown",PROPER(TRIM([1]raw_orders!G417)))</f>
        <v>South</v>
      </c>
      <c r="H417" t="str">
        <f>PROPER(TRIM([1]raw_orders!H417))</f>
        <v>Karnataka</v>
      </c>
      <c r="I417" t="str">
        <f>PROPER(TRIM([1]raw_orders!I417))</f>
        <v>Bengaluru</v>
      </c>
      <c r="J417" t="str">
        <f>PROPER(TRIM([1]raw_orders!J417))</f>
        <v>Office Supplies</v>
      </c>
      <c r="K417" t="str">
        <f>PROPER(TRIM([1]raw_orders!K417))</f>
        <v>Storage</v>
      </c>
      <c r="L417" t="str">
        <f>[1]raw_orders!L417</f>
        <v>Basic Storage 684</v>
      </c>
      <c r="M417" t="str">
        <f>IF(TRIM([1]raw_orders!M417)="","Unknown",PROPER(TRIM([1]raw_orders!M417)))</f>
        <v>Same Day</v>
      </c>
      <c r="N417" s="5">
        <f>[1]raw_orders!N417</f>
        <v>7</v>
      </c>
      <c r="O417" s="5">
        <f>[1]raw_orders!O417</f>
        <v>1727.26</v>
      </c>
      <c r="P417" s="5">
        <f>[1]raw_orders!P417</f>
        <v>0.15</v>
      </c>
      <c r="Q417" t="str">
        <f>PROPER(TRIM([1]raw_orders!T417))</f>
        <v>Paid</v>
      </c>
      <c r="R417" t="str">
        <f>PROPER(TRIM([1]raw_orders!U417))</f>
        <v>Returned</v>
      </c>
      <c r="S417" s="5">
        <f>[1]raw_orders!S417</f>
        <v>2370.6999999999998</v>
      </c>
      <c r="T417" s="5">
        <f t="shared" si="48"/>
        <v>23.706999999999997</v>
      </c>
      <c r="U417" s="5">
        <f t="shared" si="49"/>
        <v>-274546.24973999994</v>
      </c>
      <c r="V417" s="5">
        <f t="shared" si="50"/>
        <v>-274546.39973999996</v>
      </c>
      <c r="W417" s="5">
        <f t="shared" si="51"/>
        <v>1.0000005463560335</v>
      </c>
      <c r="X417" s="5" t="str">
        <f t="shared" si="52"/>
        <v>Invalid Date</v>
      </c>
      <c r="Y417" s="5" t="e">
        <f t="shared" si="53"/>
        <v>#VALUE!</v>
      </c>
      <c r="Z417" s="5" t="e">
        <f t="shared" si="54"/>
        <v>#VALUE!</v>
      </c>
      <c r="AA417" t="str">
        <f t="shared" si="55"/>
        <v>Clean</v>
      </c>
    </row>
    <row r="418" spans="1:27" x14ac:dyDescent="0.3">
      <c r="A418" t="str">
        <f>[1]raw_orders!A418</f>
        <v>ORD-2025-10417</v>
      </c>
      <c r="B418" s="4">
        <f>IFERROR(DATEVALUE([1]raw_orders!B418), "Invalid Date")</f>
        <v>45665</v>
      </c>
      <c r="C418" s="4">
        <f>IFERROR(DATEVALUE([1]raw_orders!C418), "Invalid Date")</f>
        <v>45673</v>
      </c>
      <c r="D418" t="str">
        <f>[1]raw_orders!D418</f>
        <v>CUST-7608</v>
      </c>
      <c r="E418" t="str">
        <f>PROPER(TRIM([1]raw_orders!E418))</f>
        <v>Neha Gupta</v>
      </c>
      <c r="F418" t="str">
        <f>PROPER(TRIM([1]raw_orders!F418))</f>
        <v>Consumer</v>
      </c>
      <c r="G418" t="str">
        <f>IF(TRIM([1]raw_orders!G418)="","Unknown",PROPER(TRIM([1]raw_orders!G418)))</f>
        <v>South</v>
      </c>
      <c r="H418" t="str">
        <f>PROPER(TRIM([1]raw_orders!H418))</f>
        <v>Telangana</v>
      </c>
      <c r="I418" t="str">
        <f>PROPER(TRIM([1]raw_orders!I418))</f>
        <v>Hyderabad</v>
      </c>
      <c r="J418" t="str">
        <f>PROPER(TRIM([1]raw_orders!J418))</f>
        <v>Furniture</v>
      </c>
      <c r="K418" t="str">
        <f>PROPER(TRIM([1]raw_orders!K418))</f>
        <v>Furnishings</v>
      </c>
      <c r="L418" t="str">
        <f>[1]raw_orders!L418</f>
        <v>Smart Furnishings 152</v>
      </c>
      <c r="M418" t="str">
        <f>IF(TRIM([1]raw_orders!M418)="","Unknown",PROPER(TRIM([1]raw_orders!M418)))</f>
        <v>First Class</v>
      </c>
      <c r="N418" s="5">
        <f>[1]raw_orders!N418</f>
        <v>8</v>
      </c>
      <c r="O418" s="5">
        <f>[1]raw_orders!O418</f>
        <v>638.95000000000005</v>
      </c>
      <c r="P418" s="5">
        <f>[1]raw_orders!P418</f>
        <v>0.25</v>
      </c>
      <c r="Q418" t="str">
        <f>PROPER(TRIM([1]raw_orders!T418))</f>
        <v>Paid</v>
      </c>
      <c r="R418" t="str">
        <f>PROPER(TRIM([1]raw_orders!U418))</f>
        <v>Completed</v>
      </c>
      <c r="S418" s="5">
        <f>[1]raw_orders!S418</f>
        <v>947.35</v>
      </c>
      <c r="T418" s="5">
        <f t="shared" si="48"/>
        <v>9.4734999999999996</v>
      </c>
      <c r="U418" s="5">
        <f t="shared" si="49"/>
        <v>-43313.142599999999</v>
      </c>
      <c r="V418" s="5">
        <f t="shared" si="50"/>
        <v>-43313.392599999999</v>
      </c>
      <c r="W418" s="5">
        <f t="shared" si="51"/>
        <v>1.0000057719201376</v>
      </c>
      <c r="X418" s="5">
        <f t="shared" si="52"/>
        <v>8</v>
      </c>
      <c r="Y418" s="5">
        <f t="shared" si="53"/>
        <v>1</v>
      </c>
      <c r="Z418" s="5">
        <f t="shared" si="54"/>
        <v>2025</v>
      </c>
      <c r="AA418" t="str">
        <f t="shared" si="55"/>
        <v>Clean</v>
      </c>
    </row>
    <row r="419" spans="1:27" x14ac:dyDescent="0.3">
      <c r="A419" t="str">
        <f>[1]raw_orders!A419</f>
        <v>ORD-2025-10418</v>
      </c>
      <c r="B419" s="4" t="str">
        <f>IFERROR(DATEVALUE([1]raw_orders!B419), "Invalid Date")</f>
        <v>Invalid Date</v>
      </c>
      <c r="C419" s="4">
        <f>IFERROR(DATEVALUE([1]raw_orders!C419), "Invalid Date")</f>
        <v>45779</v>
      </c>
      <c r="D419" t="str">
        <f>[1]raw_orders!D419</f>
        <v>CUST-5269</v>
      </c>
      <c r="E419" t="str">
        <f>PROPER(TRIM([1]raw_orders!E419))</f>
        <v>Mira Das</v>
      </c>
      <c r="F419" t="str">
        <f>PROPER(TRIM([1]raw_orders!F419))</f>
        <v>Consumer</v>
      </c>
      <c r="G419" t="str">
        <f>IF(TRIM([1]raw_orders!G419)="","Unknown",PROPER(TRIM([1]raw_orders!G419)))</f>
        <v>West</v>
      </c>
      <c r="H419" t="str">
        <f>PROPER(TRIM([1]raw_orders!H419))</f>
        <v>Gujarat</v>
      </c>
      <c r="I419" t="str">
        <f>PROPER(TRIM([1]raw_orders!I419))</f>
        <v>Ahmedabad</v>
      </c>
      <c r="J419" t="str">
        <f>PROPER(TRIM([1]raw_orders!J419))</f>
        <v>Office Supplies</v>
      </c>
      <c r="K419" t="str">
        <f>PROPER(TRIM([1]raw_orders!K419))</f>
        <v>Art</v>
      </c>
      <c r="L419" t="str">
        <f>[1]raw_orders!L419</f>
        <v>Max Art 736</v>
      </c>
      <c r="M419" t="str">
        <f>IF(TRIM([1]raw_orders!M419)="","Unknown",PROPER(TRIM([1]raw_orders!M419)))</f>
        <v>First Class</v>
      </c>
      <c r="N419" s="5">
        <f>[1]raw_orders!N419</f>
        <v>6</v>
      </c>
      <c r="O419" s="5">
        <f>[1]raw_orders!O419</f>
        <v>3863</v>
      </c>
      <c r="P419" s="5">
        <f>[1]raw_orders!P419</f>
        <v>0.2</v>
      </c>
      <c r="Q419" t="str">
        <f>PROPER(TRIM([1]raw_orders!T419))</f>
        <v>Paid</v>
      </c>
      <c r="R419" t="str">
        <f>PROPER(TRIM([1]raw_orders!U419))</f>
        <v>Completed</v>
      </c>
      <c r="S419" s="5">
        <f>[1]raw_orders!S419</f>
        <v>7348.65</v>
      </c>
      <c r="T419" s="5">
        <f t="shared" si="48"/>
        <v>73.486499999999992</v>
      </c>
      <c r="U419" s="5">
        <f t="shared" si="49"/>
        <v>-1680092.0969999998</v>
      </c>
      <c r="V419" s="5">
        <f t="shared" si="50"/>
        <v>-1680092.2969999998</v>
      </c>
      <c r="W419" s="5">
        <f t="shared" si="51"/>
        <v>1.0000001190410932</v>
      </c>
      <c r="X419" s="5" t="str">
        <f t="shared" si="52"/>
        <v>Invalid Date</v>
      </c>
      <c r="Y419" s="5" t="e">
        <f t="shared" si="53"/>
        <v>#VALUE!</v>
      </c>
      <c r="Z419" s="5" t="e">
        <f t="shared" si="54"/>
        <v>#VALUE!</v>
      </c>
      <c r="AA419" t="str">
        <f t="shared" si="55"/>
        <v>Clean</v>
      </c>
    </row>
    <row r="420" spans="1:27" x14ac:dyDescent="0.3">
      <c r="A420" t="str">
        <f>[1]raw_orders!A420</f>
        <v>ORD-2024-10419</v>
      </c>
      <c r="B420" s="4">
        <f>IFERROR(DATEVALUE([1]raw_orders!B420), "Invalid Date")</f>
        <v>45546</v>
      </c>
      <c r="C420" s="4" t="str">
        <f>IFERROR(DATEVALUE([1]raw_orders!C420), "Invalid Date")</f>
        <v>Invalid Date</v>
      </c>
      <c r="D420" t="str">
        <f>[1]raw_orders!D420</f>
        <v>CUST-7925</v>
      </c>
      <c r="E420" t="str">
        <f>PROPER(TRIM([1]raw_orders!E420))</f>
        <v>Sneha Kapoor</v>
      </c>
      <c r="F420" t="str">
        <f>PROPER(TRIM([1]raw_orders!F420))</f>
        <v>Corporate</v>
      </c>
      <c r="G420" t="str">
        <f>IF(TRIM([1]raw_orders!G420)="","Unknown",PROPER(TRIM([1]raw_orders!G420)))</f>
        <v>East</v>
      </c>
      <c r="H420" t="str">
        <f>PROPER(TRIM([1]raw_orders!H420))</f>
        <v>Odisha</v>
      </c>
      <c r="I420" t="str">
        <f>PROPER(TRIM([1]raw_orders!I420))</f>
        <v>Bhubaneswar</v>
      </c>
      <c r="J420" t="str">
        <f>PROPER(TRIM([1]raw_orders!J420))</f>
        <v>Technology</v>
      </c>
      <c r="K420" t="str">
        <f>PROPER(TRIM([1]raw_orders!K420))</f>
        <v>Copiers</v>
      </c>
      <c r="L420" t="str">
        <f>[1]raw_orders!L420</f>
        <v>Elite Copiers 971</v>
      </c>
      <c r="M420" t="str">
        <f>IF(TRIM([1]raw_orders!M420)="","Unknown",PROPER(TRIM([1]raw_orders!M420)))</f>
        <v>Standard Class</v>
      </c>
      <c r="N420" s="5">
        <f>[1]raw_orders!N420</f>
        <v>6</v>
      </c>
      <c r="O420" s="5">
        <f>[1]raw_orders!O420</f>
        <v>3660.4</v>
      </c>
      <c r="P420" s="5">
        <f>[1]raw_orders!P420</f>
        <v>0</v>
      </c>
      <c r="Q420" t="str">
        <f>PROPER(TRIM([1]raw_orders!T420))</f>
        <v>Failed</v>
      </c>
      <c r="R420" t="str">
        <f>PROPER(TRIM([1]raw_orders!U420))</f>
        <v>Cancelled</v>
      </c>
      <c r="S420" s="5">
        <f>[1]raw_orders!S420</f>
        <v>6630.41</v>
      </c>
      <c r="T420" s="5">
        <f t="shared" si="48"/>
        <v>66.304100000000005</v>
      </c>
      <c r="U420" s="5">
        <f t="shared" si="49"/>
        <v>-1434234.7658400002</v>
      </c>
      <c r="V420" s="5">
        <f t="shared" si="50"/>
        <v>-1434234.7658400002</v>
      </c>
      <c r="W420" s="5">
        <f t="shared" si="51"/>
        <v>1</v>
      </c>
      <c r="X420" s="5" t="str">
        <f t="shared" si="52"/>
        <v>Invalid Date</v>
      </c>
      <c r="Y420" s="5">
        <f t="shared" si="53"/>
        <v>9</v>
      </c>
      <c r="Z420" s="5">
        <f t="shared" si="54"/>
        <v>2024</v>
      </c>
      <c r="AA420" t="str">
        <f t="shared" si="55"/>
        <v>Clean</v>
      </c>
    </row>
    <row r="421" spans="1:27" x14ac:dyDescent="0.3">
      <c r="A421" t="str">
        <f>[1]raw_orders!A421</f>
        <v>ORD-2025-10420</v>
      </c>
      <c r="B421" s="4">
        <f>IFERROR(DATEVALUE([1]raw_orders!B421), "Invalid Date")</f>
        <v>45926</v>
      </c>
      <c r="C421" s="4" t="str">
        <f>IFERROR(DATEVALUE([1]raw_orders!C421), "Invalid Date")</f>
        <v>Invalid Date</v>
      </c>
      <c r="D421" t="str">
        <f>[1]raw_orders!D421</f>
        <v>CUST-6552</v>
      </c>
      <c r="E421" t="str">
        <f>PROPER(TRIM([1]raw_orders!E421))</f>
        <v>Sneha Kapoor</v>
      </c>
      <c r="F421" t="str">
        <f>PROPER(TRIM([1]raw_orders!F421))</f>
        <v>Home Office</v>
      </c>
      <c r="G421" t="str">
        <f>IF(TRIM([1]raw_orders!G421)="","Unknown",PROPER(TRIM([1]raw_orders!G421)))</f>
        <v>North</v>
      </c>
      <c r="H421" t="str">
        <f>PROPER(TRIM([1]raw_orders!H421))</f>
        <v>Haryana</v>
      </c>
      <c r="I421" t="str">
        <f>PROPER(TRIM([1]raw_orders!I421))</f>
        <v>Gurugram</v>
      </c>
      <c r="J421" t="str">
        <f>PROPER(TRIM([1]raw_orders!J421))</f>
        <v>Technology</v>
      </c>
      <c r="K421" t="str">
        <f>PROPER(TRIM([1]raw_orders!K421))</f>
        <v>Phones</v>
      </c>
      <c r="L421" t="str">
        <f>[1]raw_orders!L421</f>
        <v>Classic Phones 940</v>
      </c>
      <c r="M421" t="str">
        <f>IF(TRIM([1]raw_orders!M421)="","Unknown",PROPER(TRIM([1]raw_orders!M421)))</f>
        <v>Same Day</v>
      </c>
      <c r="N421" s="5">
        <f>[1]raw_orders!N421</f>
        <v>2</v>
      </c>
      <c r="O421" s="5">
        <f>[1]raw_orders!O421</f>
        <v>688.83</v>
      </c>
      <c r="P421" s="5">
        <f>[1]raw_orders!P421</f>
        <v>0.05</v>
      </c>
      <c r="Q421" t="str">
        <f>PROPER(TRIM([1]raw_orders!T421))</f>
        <v>Paid</v>
      </c>
      <c r="R421" t="str">
        <f>PROPER(TRIM([1]raw_orders!U421))</f>
        <v>Completed</v>
      </c>
      <c r="S421" s="5">
        <f>[1]raw_orders!S421</f>
        <v>465.78</v>
      </c>
      <c r="T421" s="5">
        <f t="shared" si="48"/>
        <v>4.6577999999999999</v>
      </c>
      <c r="U421" s="5">
        <f t="shared" si="49"/>
        <v>-5039.2047480000001</v>
      </c>
      <c r="V421" s="5">
        <f t="shared" si="50"/>
        <v>-5039.2547480000003</v>
      </c>
      <c r="W421" s="5">
        <f t="shared" si="51"/>
        <v>1.0000099222005259</v>
      </c>
      <c r="X421" s="5" t="str">
        <f t="shared" si="52"/>
        <v>Invalid Date</v>
      </c>
      <c r="Y421" s="5">
        <f t="shared" si="53"/>
        <v>9</v>
      </c>
      <c r="Z421" s="5">
        <f t="shared" si="54"/>
        <v>2025</v>
      </c>
      <c r="AA421" t="str">
        <f t="shared" si="55"/>
        <v>Clean</v>
      </c>
    </row>
    <row r="422" spans="1:27" x14ac:dyDescent="0.3">
      <c r="A422" t="str">
        <f>[1]raw_orders!A422</f>
        <v>ORD-2025-10421</v>
      </c>
      <c r="B422" s="4">
        <f>IFERROR(DATEVALUE([1]raw_orders!B422), "Invalid Date")</f>
        <v>45734</v>
      </c>
      <c r="C422" s="4">
        <f>IFERROR(DATEVALUE([1]raw_orders!C422), "Invalid Date")</f>
        <v>45735</v>
      </c>
      <c r="D422" t="str">
        <f>[1]raw_orders!D422</f>
        <v>CUST-7131</v>
      </c>
      <c r="E422" t="str">
        <f>PROPER(TRIM([1]raw_orders!E422))</f>
        <v>Isha Nair</v>
      </c>
      <c r="F422" t="str">
        <f>PROPER(TRIM([1]raw_orders!F422))</f>
        <v>Corporate</v>
      </c>
      <c r="G422" t="str">
        <f>IF(TRIM([1]raw_orders!G422)="","Unknown",PROPER(TRIM([1]raw_orders!G422)))</f>
        <v>South</v>
      </c>
      <c r="H422" t="str">
        <f>PROPER(TRIM([1]raw_orders!H422))</f>
        <v>Tamil Nadu</v>
      </c>
      <c r="I422" t="str">
        <f>PROPER(TRIM([1]raw_orders!I422))</f>
        <v>Chennai</v>
      </c>
      <c r="J422" t="str">
        <f>PROPER(TRIM([1]raw_orders!J422))</f>
        <v>Technology</v>
      </c>
      <c r="K422" t="str">
        <f>PROPER(TRIM([1]raw_orders!K422))</f>
        <v>Machines</v>
      </c>
      <c r="L422" t="str">
        <f>[1]raw_orders!L422</f>
        <v>Pro Machines 579</v>
      </c>
      <c r="M422" t="str">
        <f>IF(TRIM([1]raw_orders!M422)="","Unknown",PROPER(TRIM([1]raw_orders!M422)))</f>
        <v>Standard Class</v>
      </c>
      <c r="N422" s="5">
        <f>[1]raw_orders!N422</f>
        <v>2</v>
      </c>
      <c r="O422" s="5">
        <f>[1]raw_orders!O422</f>
        <v>1209.99</v>
      </c>
      <c r="P422" s="5">
        <f>[1]raw_orders!P422</f>
        <v>0.25</v>
      </c>
      <c r="Q422" t="str">
        <f>PROPER(TRIM([1]raw_orders!T422))</f>
        <v>Pending</v>
      </c>
      <c r="R422" t="str">
        <f>PROPER(TRIM([1]raw_orders!U422))</f>
        <v>Cancelled</v>
      </c>
      <c r="S422" s="5">
        <f>[1]raw_orders!S422</f>
        <v>694.93</v>
      </c>
      <c r="T422" s="5">
        <f t="shared" si="48"/>
        <v>6.9492999999999991</v>
      </c>
      <c r="U422" s="5">
        <f t="shared" si="49"/>
        <v>-14397.187013999997</v>
      </c>
      <c r="V422" s="5">
        <f t="shared" si="50"/>
        <v>-14397.437013999997</v>
      </c>
      <c r="W422" s="5">
        <f t="shared" si="51"/>
        <v>1.0000173645032018</v>
      </c>
      <c r="X422" s="5">
        <f t="shared" si="52"/>
        <v>1</v>
      </c>
      <c r="Y422" s="5">
        <f t="shared" si="53"/>
        <v>3</v>
      </c>
      <c r="Z422" s="5">
        <f t="shared" si="54"/>
        <v>2025</v>
      </c>
      <c r="AA422" t="str">
        <f t="shared" si="55"/>
        <v>Clean</v>
      </c>
    </row>
    <row r="423" spans="1:27" x14ac:dyDescent="0.3">
      <c r="A423" t="str">
        <f>[1]raw_orders!A423</f>
        <v>ORD-2025-10422</v>
      </c>
      <c r="B423" s="4" t="str">
        <f>IFERROR(DATEVALUE([1]raw_orders!B423), "Invalid Date")</f>
        <v>Invalid Date</v>
      </c>
      <c r="C423" s="4">
        <f>IFERROR(DATEVALUE([1]raw_orders!C423), "Invalid Date")</f>
        <v>45827</v>
      </c>
      <c r="D423" t="str">
        <f>[1]raw_orders!D423</f>
        <v>CUST-2779</v>
      </c>
      <c r="E423" t="str">
        <f>PROPER(TRIM([1]raw_orders!E423))</f>
        <v>Rohan Mehta</v>
      </c>
      <c r="F423" t="str">
        <f>PROPER(TRIM([1]raw_orders!F423))</f>
        <v>Small Business</v>
      </c>
      <c r="G423" t="str">
        <f>IF(TRIM([1]raw_orders!G423)="","Unknown",PROPER(TRIM([1]raw_orders!G423)))</f>
        <v>North</v>
      </c>
      <c r="H423" t="str">
        <f>PROPER(TRIM([1]raw_orders!H423))</f>
        <v>Delhi</v>
      </c>
      <c r="I423" t="str">
        <f>PROPER(TRIM([1]raw_orders!I423))</f>
        <v>New Delhi</v>
      </c>
      <c r="J423" t="str">
        <f>PROPER(TRIM([1]raw_orders!J423))</f>
        <v>Office Supplies</v>
      </c>
      <c r="K423" t="str">
        <f>PROPER(TRIM([1]raw_orders!K423))</f>
        <v>Binders</v>
      </c>
      <c r="L423" t="str">
        <f>[1]raw_orders!L423</f>
        <v>Elite Binders 943</v>
      </c>
      <c r="M423" t="str">
        <f>IF(TRIM([1]raw_orders!M423)="","Unknown",PROPER(TRIM([1]raw_orders!M423)))</f>
        <v>Same Day</v>
      </c>
      <c r="N423" s="5">
        <f>[1]raw_orders!N423</f>
        <v>3</v>
      </c>
      <c r="O423" s="5">
        <f>[1]raw_orders!O423</f>
        <v>1037.45</v>
      </c>
      <c r="P423" s="5">
        <f>[1]raw_orders!P423</f>
        <v>0.2</v>
      </c>
      <c r="Q423" t="str">
        <f>PROPER(TRIM([1]raw_orders!T423))</f>
        <v>Pending</v>
      </c>
      <c r="R423" t="str">
        <f>PROPER(TRIM([1]raw_orders!U423))</f>
        <v>Returned</v>
      </c>
      <c r="S423" s="5">
        <f>[1]raw_orders!S423</f>
        <v>782.36</v>
      </c>
      <c r="T423" s="5">
        <f t="shared" si="48"/>
        <v>7.8235999999999999</v>
      </c>
      <c r="U423" s="5">
        <f t="shared" si="49"/>
        <v>-21237.431460000003</v>
      </c>
      <c r="V423" s="5">
        <f t="shared" si="50"/>
        <v>-21237.631460000004</v>
      </c>
      <c r="W423" s="5">
        <f t="shared" si="51"/>
        <v>1.0000094173346894</v>
      </c>
      <c r="X423" s="5" t="str">
        <f t="shared" si="52"/>
        <v>Invalid Date</v>
      </c>
      <c r="Y423" s="5" t="e">
        <f t="shared" si="53"/>
        <v>#VALUE!</v>
      </c>
      <c r="Z423" s="5" t="e">
        <f t="shared" si="54"/>
        <v>#VALUE!</v>
      </c>
      <c r="AA423" t="str">
        <f t="shared" si="55"/>
        <v>Clean</v>
      </c>
    </row>
    <row r="424" spans="1:27" x14ac:dyDescent="0.3">
      <c r="A424" t="str">
        <f>[1]raw_orders!A424</f>
        <v>ORD-2025-10423</v>
      </c>
      <c r="B424" s="4">
        <f>IFERROR(DATEVALUE([1]raw_orders!B424), "Invalid Date")</f>
        <v>45725</v>
      </c>
      <c r="C424" s="4">
        <f>IFERROR(DATEVALUE([1]raw_orders!C424), "Invalid Date")</f>
        <v>45906</v>
      </c>
      <c r="D424" t="str">
        <f>[1]raw_orders!D424</f>
        <v>CUST-6077</v>
      </c>
      <c r="E424" t="str">
        <f>PROPER(TRIM([1]raw_orders!E424))</f>
        <v>Kabir Singh</v>
      </c>
      <c r="F424" t="str">
        <f>PROPER(TRIM([1]raw_orders!F424))</f>
        <v>Consumer</v>
      </c>
      <c r="G424" t="str">
        <f>IF(TRIM([1]raw_orders!G424)="","Unknown",PROPER(TRIM([1]raw_orders!G424)))</f>
        <v>West</v>
      </c>
      <c r="H424" t="str">
        <f>PROPER(TRIM([1]raw_orders!H424))</f>
        <v>Madhya Pradesh</v>
      </c>
      <c r="I424" t="str">
        <f>PROPER(TRIM([1]raw_orders!I424))</f>
        <v>Indore</v>
      </c>
      <c r="J424" t="str">
        <f>PROPER(TRIM([1]raw_orders!J424))</f>
        <v>Technology</v>
      </c>
      <c r="K424" t="str">
        <f>PROPER(TRIM([1]raw_orders!K424))</f>
        <v>Copiers</v>
      </c>
      <c r="L424" t="str">
        <f>[1]raw_orders!L424</f>
        <v>Elite Copiers 474</v>
      </c>
      <c r="M424" t="str">
        <f>IF(TRIM([1]raw_orders!M424)="","Unknown",PROPER(TRIM([1]raw_orders!M424)))</f>
        <v>Same Day</v>
      </c>
      <c r="N424" s="5">
        <f>[1]raw_orders!N424</f>
        <v>7</v>
      </c>
      <c r="O424" s="5">
        <f>[1]raw_orders!O424</f>
        <v>688.85</v>
      </c>
      <c r="P424" s="5">
        <f>[1]raw_orders!P424</f>
        <v>0.15</v>
      </c>
      <c r="Q424" t="str">
        <f>PROPER(TRIM([1]raw_orders!T424))</f>
        <v>Paid</v>
      </c>
      <c r="R424" t="str">
        <f>PROPER(TRIM([1]raw_orders!U424))</f>
        <v>Completed</v>
      </c>
      <c r="S424" s="5">
        <f>[1]raw_orders!S424</f>
        <v>1420.6</v>
      </c>
      <c r="T424" s="5">
        <f t="shared" si="48"/>
        <v>14.206</v>
      </c>
      <c r="U424" s="5">
        <f t="shared" si="49"/>
        <v>-63678.671699999992</v>
      </c>
      <c r="V424" s="5">
        <f t="shared" si="50"/>
        <v>-63678.821699999993</v>
      </c>
      <c r="W424" s="5">
        <f t="shared" si="51"/>
        <v>1.0000023555767732</v>
      </c>
      <c r="X424" s="5">
        <f t="shared" si="52"/>
        <v>181</v>
      </c>
      <c r="Y424" s="5">
        <f t="shared" si="53"/>
        <v>3</v>
      </c>
      <c r="Z424" s="5">
        <f t="shared" si="54"/>
        <v>2025</v>
      </c>
      <c r="AA424" t="str">
        <f t="shared" si="55"/>
        <v>Clean</v>
      </c>
    </row>
    <row r="425" spans="1:27" x14ac:dyDescent="0.3">
      <c r="A425" t="str">
        <f>[1]raw_orders!A425</f>
        <v>ORD-2024-10424</v>
      </c>
      <c r="B425" s="4">
        <f>IFERROR(DATEVALUE([1]raw_orders!B425), "Invalid Date")</f>
        <v>45342</v>
      </c>
      <c r="C425" s="4">
        <f>IFERROR(DATEVALUE([1]raw_orders!C425), "Invalid Date")</f>
        <v>45349</v>
      </c>
      <c r="D425" t="str">
        <f>[1]raw_orders!D425</f>
        <v>CUST-6169</v>
      </c>
      <c r="E425" t="str">
        <f>PROPER(TRIM([1]raw_orders!E425))</f>
        <v>Diya Patel</v>
      </c>
      <c r="F425" t="str">
        <f>PROPER(TRIM([1]raw_orders!F425))</f>
        <v>Consumer</v>
      </c>
      <c r="G425" t="str">
        <f>IF(TRIM([1]raw_orders!G425)="","Unknown",PROPER(TRIM([1]raw_orders!G425)))</f>
        <v>South</v>
      </c>
      <c r="H425" t="str">
        <f>PROPER(TRIM([1]raw_orders!H425))</f>
        <v>Kerala</v>
      </c>
      <c r="I425" t="str">
        <f>PROPER(TRIM([1]raw_orders!I425))</f>
        <v>Kochi</v>
      </c>
      <c r="J425" t="str">
        <f>PROPER(TRIM([1]raw_orders!J425))</f>
        <v>Technology</v>
      </c>
      <c r="K425" t="str">
        <f>PROPER(TRIM([1]raw_orders!K425))</f>
        <v>Accessories</v>
      </c>
      <c r="L425" t="str">
        <f>[1]raw_orders!L425</f>
        <v>Prime Accessories 236</v>
      </c>
      <c r="M425" t="str">
        <f>IF(TRIM([1]raw_orders!M425)="","Unknown",PROPER(TRIM([1]raw_orders!M425)))</f>
        <v>First Class</v>
      </c>
      <c r="N425" s="5">
        <f>[1]raw_orders!N425</f>
        <v>9</v>
      </c>
      <c r="O425" s="5">
        <f>[1]raw_orders!O425</f>
        <v>3779.31</v>
      </c>
      <c r="P425" s="5">
        <f>[1]raw_orders!P425</f>
        <v>0.2</v>
      </c>
      <c r="Q425" t="str">
        <f>PROPER(TRIM([1]raw_orders!T425))</f>
        <v>Paid</v>
      </c>
      <c r="R425" t="str">
        <f>PROPER(TRIM([1]raw_orders!U425))</f>
        <v>Completed</v>
      </c>
      <c r="S425" s="5">
        <f>[1]raw_orders!S425</f>
        <v>9270.6</v>
      </c>
      <c r="T425" s="5">
        <f t="shared" si="48"/>
        <v>92.706000000000003</v>
      </c>
      <c r="U425" s="5">
        <f t="shared" si="49"/>
        <v>-3119268.62574</v>
      </c>
      <c r="V425" s="5">
        <f t="shared" si="50"/>
        <v>-3119268.8257400002</v>
      </c>
      <c r="W425" s="5">
        <f t="shared" si="51"/>
        <v>1.0000000641175943</v>
      </c>
      <c r="X425" s="5">
        <f t="shared" si="52"/>
        <v>7</v>
      </c>
      <c r="Y425" s="5">
        <f t="shared" si="53"/>
        <v>2</v>
      </c>
      <c r="Z425" s="5">
        <f t="shared" si="54"/>
        <v>2024</v>
      </c>
      <c r="AA425" t="str">
        <f t="shared" si="55"/>
        <v>Clean</v>
      </c>
    </row>
    <row r="426" spans="1:27" x14ac:dyDescent="0.3">
      <c r="A426" t="str">
        <f>[1]raw_orders!A426</f>
        <v>ORD-2024-10425</v>
      </c>
      <c r="B426" s="4" t="str">
        <f>IFERROR(DATEVALUE([1]raw_orders!B426), "Invalid Date")</f>
        <v>Invalid Date</v>
      </c>
      <c r="C426" s="4">
        <f>IFERROR(DATEVALUE([1]raw_orders!C426), "Invalid Date")</f>
        <v>45472</v>
      </c>
      <c r="D426" t="str">
        <f>[1]raw_orders!D426</f>
        <v>CUST-8904</v>
      </c>
      <c r="E426" t="str">
        <f>PROPER(TRIM([1]raw_orders!E426))</f>
        <v>Neha Gupta</v>
      </c>
      <c r="F426" t="str">
        <f>PROPER(TRIM([1]raw_orders!F426))</f>
        <v>Corporate</v>
      </c>
      <c r="G426" t="str">
        <f>IF(TRIM([1]raw_orders!G426)="","Unknown",PROPER(TRIM([1]raw_orders!G426)))</f>
        <v>North</v>
      </c>
      <c r="H426" t="str">
        <f>PROPER(TRIM([1]raw_orders!H426))</f>
        <v>Punjab</v>
      </c>
      <c r="I426" t="str">
        <f>PROPER(TRIM([1]raw_orders!I426))</f>
        <v>Ludhiana</v>
      </c>
      <c r="J426" t="str">
        <f>PROPER(TRIM([1]raw_orders!J426))</f>
        <v>Technology</v>
      </c>
      <c r="K426" t="str">
        <f>PROPER(TRIM([1]raw_orders!K426))</f>
        <v>Phones</v>
      </c>
      <c r="L426" t="str">
        <f>[1]raw_orders!L426</f>
        <v>Prime Phones 881</v>
      </c>
      <c r="M426" t="str">
        <f>IF(TRIM([1]raw_orders!M426)="","Unknown",PROPER(TRIM([1]raw_orders!M426)))</f>
        <v>Standard Class</v>
      </c>
      <c r="N426" s="5">
        <f>[1]raw_orders!N426</f>
        <v>8</v>
      </c>
      <c r="O426" s="5">
        <f>[1]raw_orders!O426</f>
        <v>804.52</v>
      </c>
      <c r="P426" s="5">
        <f>[1]raw_orders!P426</f>
        <v>0</v>
      </c>
      <c r="Q426" t="str">
        <f>PROPER(TRIM([1]raw_orders!T426))</f>
        <v>Paid</v>
      </c>
      <c r="R426" t="str">
        <f>PROPER(TRIM([1]raw_orders!U426))</f>
        <v>Completed</v>
      </c>
      <c r="S426" s="5">
        <f>[1]raw_orders!S426</f>
        <v>2172.33</v>
      </c>
      <c r="T426" s="5">
        <f t="shared" si="48"/>
        <v>21.723299999999998</v>
      </c>
      <c r="U426" s="5">
        <f t="shared" si="49"/>
        <v>-133378.47452799999</v>
      </c>
      <c r="V426" s="5">
        <f t="shared" si="50"/>
        <v>-133378.47452799999</v>
      </c>
      <c r="W426" s="5">
        <f t="shared" si="51"/>
        <v>1</v>
      </c>
      <c r="X426" s="5" t="str">
        <f t="shared" si="52"/>
        <v>Invalid Date</v>
      </c>
      <c r="Y426" s="5" t="e">
        <f t="shared" si="53"/>
        <v>#VALUE!</v>
      </c>
      <c r="Z426" s="5" t="e">
        <f t="shared" si="54"/>
        <v>#VALUE!</v>
      </c>
      <c r="AA426" t="str">
        <f t="shared" si="55"/>
        <v>Clean</v>
      </c>
    </row>
    <row r="427" spans="1:27" x14ac:dyDescent="0.3">
      <c r="A427" t="str">
        <f>[1]raw_orders!A427</f>
        <v>ORD-2024-10426</v>
      </c>
      <c r="B427" s="4">
        <f>IFERROR(DATEVALUE([1]raw_orders!B427), "Invalid Date")</f>
        <v>45561</v>
      </c>
      <c r="C427" s="4" t="str">
        <f>IFERROR(DATEVALUE([1]raw_orders!C427), "Invalid Date")</f>
        <v>Invalid Date</v>
      </c>
      <c r="D427" t="str">
        <f>[1]raw_orders!D427</f>
        <v>CUST-9586</v>
      </c>
      <c r="E427" t="str">
        <f>PROPER(TRIM([1]raw_orders!E427))</f>
        <v>Isha Nair</v>
      </c>
      <c r="F427" t="str">
        <f>PROPER(TRIM([1]raw_orders!F427))</f>
        <v>Home Office</v>
      </c>
      <c r="G427" t="str">
        <f>IF(TRIM([1]raw_orders!G427)="","Unknown",PROPER(TRIM([1]raw_orders!G427)))</f>
        <v>North</v>
      </c>
      <c r="H427" t="str">
        <f>PROPER(TRIM([1]raw_orders!H427))</f>
        <v>Delhi</v>
      </c>
      <c r="I427" t="str">
        <f>PROPER(TRIM([1]raw_orders!I427))</f>
        <v>New Delhi</v>
      </c>
      <c r="J427" t="str">
        <f>PROPER(TRIM([1]raw_orders!J427))</f>
        <v>Office Supplies</v>
      </c>
      <c r="K427" t="str">
        <f>PROPER(TRIM([1]raw_orders!K427))</f>
        <v>Labels</v>
      </c>
      <c r="L427" t="str">
        <f>[1]raw_orders!L427</f>
        <v>Pro Labels 903</v>
      </c>
      <c r="M427" t="str">
        <f>IF(TRIM([1]raw_orders!M427)="","Unknown",PROPER(TRIM([1]raw_orders!M427)))</f>
        <v>First Class</v>
      </c>
      <c r="N427" s="5">
        <f>[1]raw_orders!N427</f>
        <v>2</v>
      </c>
      <c r="O427" s="5">
        <f>[1]raw_orders!O427</f>
        <v>1065.69</v>
      </c>
      <c r="P427" s="5">
        <f>[1]raw_orders!P427</f>
        <v>0.1</v>
      </c>
      <c r="Q427" t="str">
        <f>PROPER(TRIM([1]raw_orders!T427))</f>
        <v>Refunded</v>
      </c>
      <c r="R427" t="str">
        <f>PROPER(TRIM([1]raw_orders!U427))</f>
        <v>Cancelled</v>
      </c>
      <c r="S427" s="5">
        <f>[1]raw_orders!S427</f>
        <v>544.72</v>
      </c>
      <c r="T427" s="5">
        <f t="shared" si="48"/>
        <v>5.4472000000000005</v>
      </c>
      <c r="U427" s="5">
        <f t="shared" si="49"/>
        <v>-9478.6731360000013</v>
      </c>
      <c r="V427" s="5">
        <f t="shared" si="50"/>
        <v>-9478.7731360000016</v>
      </c>
      <c r="W427" s="5">
        <f t="shared" si="51"/>
        <v>1.0000105499998329</v>
      </c>
      <c r="X427" s="5" t="str">
        <f t="shared" si="52"/>
        <v>Invalid Date</v>
      </c>
      <c r="Y427" s="5">
        <f t="shared" si="53"/>
        <v>9</v>
      </c>
      <c r="Z427" s="5">
        <f t="shared" si="54"/>
        <v>2024</v>
      </c>
      <c r="AA427" t="str">
        <f t="shared" si="55"/>
        <v>Clean</v>
      </c>
    </row>
    <row r="428" spans="1:27" x14ac:dyDescent="0.3">
      <c r="A428" t="str">
        <f>[1]raw_orders!A428</f>
        <v>ORD-2024-10427</v>
      </c>
      <c r="B428" s="4">
        <f>IFERROR(DATEVALUE([1]raw_orders!B428), "Invalid Date")</f>
        <v>45473</v>
      </c>
      <c r="C428" s="4">
        <f>IFERROR(DATEVALUE([1]raw_orders!C428), "Invalid Date")</f>
        <v>45474</v>
      </c>
      <c r="D428" t="str">
        <f>[1]raw_orders!D428</f>
        <v>CUST-5431</v>
      </c>
      <c r="E428" t="str">
        <f>PROPER(TRIM([1]raw_orders!E428))</f>
        <v>Aditi Sen</v>
      </c>
      <c r="F428" t="str">
        <f>PROPER(TRIM([1]raw_orders!F428))</f>
        <v>Consumer</v>
      </c>
      <c r="G428" t="str">
        <f>IF(TRIM([1]raw_orders!G428)="","Unknown",PROPER(TRIM([1]raw_orders!G428)))</f>
        <v>North</v>
      </c>
      <c r="H428" t="str">
        <f>PROPER(TRIM([1]raw_orders!H428))</f>
        <v>Haryana</v>
      </c>
      <c r="I428" t="str">
        <f>PROPER(TRIM([1]raw_orders!I428))</f>
        <v>Gurugram</v>
      </c>
      <c r="J428" t="str">
        <f>PROPER(TRIM([1]raw_orders!J428))</f>
        <v>Technology</v>
      </c>
      <c r="K428" t="str">
        <f>PROPER(TRIM([1]raw_orders!K428))</f>
        <v>Copiers</v>
      </c>
      <c r="L428" t="str">
        <f>[1]raw_orders!L428</f>
        <v>Max Copiers 402</v>
      </c>
      <c r="M428" t="str">
        <f>IF(TRIM([1]raw_orders!M428)="","Unknown",PROPER(TRIM([1]raw_orders!M428)))</f>
        <v>Same Day</v>
      </c>
      <c r="N428" s="5">
        <f>[1]raw_orders!N428</f>
        <v>8</v>
      </c>
      <c r="O428" s="5">
        <f>[1]raw_orders!O428</f>
        <v>3756.66</v>
      </c>
      <c r="P428" s="5">
        <f>[1]raw_orders!P428</f>
        <v>0.1</v>
      </c>
      <c r="Q428" t="str">
        <f>PROPER(TRIM([1]raw_orders!T428))</f>
        <v>Paid</v>
      </c>
      <c r="R428" t="str">
        <f>PROPER(TRIM([1]raw_orders!U428))</f>
        <v>Completed</v>
      </c>
      <c r="S428" s="5">
        <f>[1]raw_orders!S428</f>
        <v>8616.6200000000008</v>
      </c>
      <c r="T428" s="5">
        <f t="shared" si="48"/>
        <v>86.166200000000003</v>
      </c>
      <c r="U428" s="5">
        <f t="shared" si="49"/>
        <v>-2559523.6551359999</v>
      </c>
      <c r="V428" s="5">
        <f t="shared" si="50"/>
        <v>-2559523.755136</v>
      </c>
      <c r="W428" s="5">
        <f t="shared" si="51"/>
        <v>1.0000000390697699</v>
      </c>
      <c r="X428" s="5">
        <f t="shared" si="52"/>
        <v>1</v>
      </c>
      <c r="Y428" s="5">
        <f t="shared" si="53"/>
        <v>6</v>
      </c>
      <c r="Z428" s="5">
        <f t="shared" si="54"/>
        <v>2024</v>
      </c>
      <c r="AA428" t="str">
        <f t="shared" si="55"/>
        <v>Clean</v>
      </c>
    </row>
    <row r="429" spans="1:27" x14ac:dyDescent="0.3">
      <c r="A429" t="str">
        <f>[1]raw_orders!A429</f>
        <v>ORD-2025-10428</v>
      </c>
      <c r="B429" s="4">
        <f>IFERROR(DATEVALUE([1]raw_orders!B429), "Invalid Date")</f>
        <v>45769</v>
      </c>
      <c r="C429" s="4">
        <f>IFERROR(DATEVALUE([1]raw_orders!C429), "Invalid Date")</f>
        <v>45771</v>
      </c>
      <c r="D429" t="str">
        <f>[1]raw_orders!D429</f>
        <v>CUST-8843</v>
      </c>
      <c r="E429" t="str">
        <f>PROPER(TRIM([1]raw_orders!E429))</f>
        <v>Isha Nair</v>
      </c>
      <c r="F429" t="str">
        <f>PROPER(TRIM([1]raw_orders!F429))</f>
        <v>Corporate</v>
      </c>
      <c r="G429" t="str">
        <f>IF(TRIM([1]raw_orders!G429)="","Unknown",PROPER(TRIM([1]raw_orders!G429)))</f>
        <v>Unknown</v>
      </c>
      <c r="H429" t="str">
        <f>PROPER(TRIM([1]raw_orders!H429))</f>
        <v>Jharkhand</v>
      </c>
      <c r="I429" t="str">
        <f>PROPER(TRIM([1]raw_orders!I429))</f>
        <v>Ranchi</v>
      </c>
      <c r="J429" t="str">
        <f>PROPER(TRIM([1]raw_orders!J429))</f>
        <v>Technology</v>
      </c>
      <c r="K429" t="str">
        <f>PROPER(TRIM([1]raw_orders!K429))</f>
        <v>Accessories</v>
      </c>
      <c r="L429" t="str">
        <f>[1]raw_orders!L429</f>
        <v>Prime Accessories 419</v>
      </c>
      <c r="M429" t="str">
        <f>IF(TRIM([1]raw_orders!M429)="","Unknown",PROPER(TRIM([1]raw_orders!M429)))</f>
        <v>Standard Class</v>
      </c>
      <c r="N429" s="5">
        <f>[1]raw_orders!N429</f>
        <v>9</v>
      </c>
      <c r="O429" s="5">
        <f>[1]raw_orders!O429</f>
        <v>2939.44</v>
      </c>
      <c r="P429" s="5">
        <f>[1]raw_orders!P429</f>
        <v>0</v>
      </c>
      <c r="Q429" t="str">
        <f>PROPER(TRIM([1]raw_orders!T429))</f>
        <v>Paid</v>
      </c>
      <c r="R429" t="str">
        <f>PROPER(TRIM([1]raw_orders!U429))</f>
        <v>Completed</v>
      </c>
      <c r="S429" s="5">
        <f>[1]raw_orders!S429</f>
        <v>8824.7099999999991</v>
      </c>
      <c r="T429" s="5">
        <f t="shared" si="48"/>
        <v>88.247099999999989</v>
      </c>
      <c r="U429" s="5">
        <f t="shared" si="49"/>
        <v>-2308118.5406159996</v>
      </c>
      <c r="V429" s="5">
        <f t="shared" si="50"/>
        <v>-2308118.5406159996</v>
      </c>
      <c r="W429" s="5">
        <f t="shared" si="51"/>
        <v>1</v>
      </c>
      <c r="X429" s="5">
        <f t="shared" si="52"/>
        <v>2</v>
      </c>
      <c r="Y429" s="5">
        <f t="shared" si="53"/>
        <v>4</v>
      </c>
      <c r="Z429" s="5">
        <f t="shared" si="54"/>
        <v>2025</v>
      </c>
      <c r="AA429" t="str">
        <f t="shared" si="55"/>
        <v>Warning</v>
      </c>
    </row>
    <row r="430" spans="1:27" x14ac:dyDescent="0.3">
      <c r="A430" t="str">
        <f>[1]raw_orders!A430</f>
        <v>ORD-2025-10429</v>
      </c>
      <c r="B430" s="4">
        <f>IFERROR(DATEVALUE([1]raw_orders!B430), "Invalid Date")</f>
        <v>45731</v>
      </c>
      <c r="C430" s="4">
        <f>IFERROR(DATEVALUE([1]raw_orders!C430), "Invalid Date")</f>
        <v>45738</v>
      </c>
      <c r="D430" t="str">
        <f>[1]raw_orders!D430</f>
        <v>CUST-7626</v>
      </c>
      <c r="E430" t="str">
        <f>PROPER(TRIM([1]raw_orders!E430))</f>
        <v>Karan Malhotra</v>
      </c>
      <c r="F430" t="str">
        <f>PROPER(TRIM([1]raw_orders!F430))</f>
        <v>Small Business</v>
      </c>
      <c r="G430" t="str">
        <f>IF(TRIM([1]raw_orders!G430)="","Unknown",PROPER(TRIM([1]raw_orders!G430)))</f>
        <v>East</v>
      </c>
      <c r="H430" t="str">
        <f>PROPER(TRIM([1]raw_orders!H430))</f>
        <v>West Bengal</v>
      </c>
      <c r="I430" t="str">
        <f>PROPER(TRIM([1]raw_orders!I430))</f>
        <v>Kolkata</v>
      </c>
      <c r="J430" t="str">
        <f>PROPER(TRIM([1]raw_orders!J430))</f>
        <v>Technology</v>
      </c>
      <c r="K430" t="str">
        <f>PROPER(TRIM([1]raw_orders!K430))</f>
        <v>Phones</v>
      </c>
      <c r="L430" t="str">
        <f>[1]raw_orders!L430</f>
        <v>Elite Phones 488</v>
      </c>
      <c r="M430" t="str">
        <f>IF(TRIM([1]raw_orders!M430)="","Unknown",PROPER(TRIM([1]raw_orders!M430)))</f>
        <v>Same Day</v>
      </c>
      <c r="N430" s="5">
        <f>[1]raw_orders!N430</f>
        <v>2</v>
      </c>
      <c r="O430" s="5">
        <f>[1]raw_orders!O430</f>
        <v>1235.93</v>
      </c>
      <c r="P430" s="5">
        <f>[1]raw_orders!P430</f>
        <v>0.25</v>
      </c>
      <c r="Q430" t="str">
        <f>PROPER(TRIM([1]raw_orders!T430))</f>
        <v>Pending</v>
      </c>
      <c r="R430" t="str">
        <f>PROPER(TRIM([1]raw_orders!U430))</f>
        <v>Cancelled</v>
      </c>
      <c r="S430" s="5">
        <f>[1]raw_orders!S430</f>
        <v>752.66</v>
      </c>
      <c r="T430" s="5">
        <f t="shared" si="48"/>
        <v>7.5265999999999993</v>
      </c>
      <c r="U430" s="5">
        <f t="shared" si="49"/>
        <v>-16132.841476</v>
      </c>
      <c r="V430" s="5">
        <f t="shared" si="50"/>
        <v>-16133.091476</v>
      </c>
      <c r="W430" s="5">
        <f t="shared" si="51"/>
        <v>1.0000154963402059</v>
      </c>
      <c r="X430" s="5">
        <f t="shared" si="52"/>
        <v>7</v>
      </c>
      <c r="Y430" s="5">
        <f t="shared" si="53"/>
        <v>3</v>
      </c>
      <c r="Z430" s="5">
        <f t="shared" si="54"/>
        <v>2025</v>
      </c>
      <c r="AA430" t="str">
        <f t="shared" si="55"/>
        <v>Clean</v>
      </c>
    </row>
    <row r="431" spans="1:27" x14ac:dyDescent="0.3">
      <c r="A431" t="str">
        <f>[1]raw_orders!A431</f>
        <v>ORD-2025-10430</v>
      </c>
      <c r="B431" s="4">
        <f>IFERROR(DATEVALUE([1]raw_orders!B431), "Invalid Date")</f>
        <v>45717</v>
      </c>
      <c r="C431" s="4">
        <f>IFERROR(DATEVALUE([1]raw_orders!C431), "Invalid Date")</f>
        <v>45724</v>
      </c>
      <c r="D431" t="str">
        <f>[1]raw_orders!D431</f>
        <v>CUST-8562</v>
      </c>
      <c r="E431" t="str">
        <f>PROPER(TRIM([1]raw_orders!E431))</f>
        <v>Neha Gupta</v>
      </c>
      <c r="F431" t="str">
        <f>PROPER(TRIM([1]raw_orders!F431))</f>
        <v>Home Office</v>
      </c>
      <c r="G431" t="str">
        <f>IF(TRIM([1]raw_orders!G431)="","Unknown",PROPER(TRIM([1]raw_orders!G431)))</f>
        <v>North</v>
      </c>
      <c r="H431" t="str">
        <f>PROPER(TRIM([1]raw_orders!H431))</f>
        <v>Rajasthan</v>
      </c>
      <c r="I431" t="str">
        <f>PROPER(TRIM([1]raw_orders!I431))</f>
        <v>Jaipur</v>
      </c>
      <c r="J431" t="str">
        <f>PROPER(TRIM([1]raw_orders!J431))</f>
        <v>Technology</v>
      </c>
      <c r="K431" t="str">
        <f>PROPER(TRIM([1]raw_orders!K431))</f>
        <v>Copiers</v>
      </c>
      <c r="L431" t="str">
        <f>[1]raw_orders!L431</f>
        <v>Prime Copiers 109</v>
      </c>
      <c r="M431" t="str">
        <f>IF(TRIM([1]raw_orders!M431)="","Unknown",PROPER(TRIM([1]raw_orders!M431)))</f>
        <v>Same Day</v>
      </c>
      <c r="N431" s="5">
        <f>[1]raw_orders!N431</f>
        <v>8</v>
      </c>
      <c r="O431" s="5">
        <f>[1]raw_orders!O431</f>
        <v>2943.1</v>
      </c>
      <c r="P431" s="5">
        <f>[1]raw_orders!P431</f>
        <v>0.25</v>
      </c>
      <c r="Q431" t="str">
        <f>PROPER(TRIM([1]raw_orders!T431))</f>
        <v>Paid</v>
      </c>
      <c r="R431" t="str">
        <f>PROPER(TRIM([1]raw_orders!U431))</f>
        <v>Completed</v>
      </c>
      <c r="S431" s="5">
        <f>[1]raw_orders!S431</f>
        <v>3816.12</v>
      </c>
      <c r="T431" s="5">
        <f t="shared" si="48"/>
        <v>38.161200000000001</v>
      </c>
      <c r="U431" s="5">
        <f t="shared" si="49"/>
        <v>-874953.02176000003</v>
      </c>
      <c r="V431" s="5">
        <f t="shared" si="50"/>
        <v>-874953.27176000003</v>
      </c>
      <c r="W431" s="5">
        <f t="shared" si="51"/>
        <v>1.0000002857296264</v>
      </c>
      <c r="X431" s="5">
        <f t="shared" si="52"/>
        <v>7</v>
      </c>
      <c r="Y431" s="5">
        <f t="shared" si="53"/>
        <v>3</v>
      </c>
      <c r="Z431" s="5">
        <f t="shared" si="54"/>
        <v>2025</v>
      </c>
      <c r="AA431" t="str">
        <f t="shared" si="55"/>
        <v>Clean</v>
      </c>
    </row>
    <row r="432" spans="1:27" x14ac:dyDescent="0.3">
      <c r="A432" t="str">
        <f>[1]raw_orders!A432</f>
        <v>ORD-2024-10431</v>
      </c>
      <c r="B432" s="4">
        <f>IFERROR(DATEVALUE([1]raw_orders!B432), "Invalid Date")</f>
        <v>45534</v>
      </c>
      <c r="C432" s="4">
        <f>IFERROR(DATEVALUE([1]raw_orders!C432), "Invalid Date")</f>
        <v>45537</v>
      </c>
      <c r="D432" t="str">
        <f>[1]raw_orders!D432</f>
        <v>CUST-2732</v>
      </c>
      <c r="E432" t="str">
        <f>PROPER(TRIM([1]raw_orders!E432))</f>
        <v>Neha Gupta</v>
      </c>
      <c r="F432" t="str">
        <f>PROPER(TRIM([1]raw_orders!F432))</f>
        <v>Small Business</v>
      </c>
      <c r="G432" t="str">
        <f>IF(TRIM([1]raw_orders!G432)="","Unknown",PROPER(TRIM([1]raw_orders!G432)))</f>
        <v>North</v>
      </c>
      <c r="H432" t="str">
        <f>PROPER(TRIM([1]raw_orders!H432))</f>
        <v>Haryana</v>
      </c>
      <c r="I432" t="str">
        <f>PROPER(TRIM([1]raw_orders!I432))</f>
        <v>Gurugram</v>
      </c>
      <c r="J432" t="str">
        <f>PROPER(TRIM([1]raw_orders!J432))</f>
        <v>Office Supplies</v>
      </c>
      <c r="K432" t="str">
        <f>PROPER(TRIM([1]raw_orders!K432))</f>
        <v>Paper</v>
      </c>
      <c r="L432" t="str">
        <f>[1]raw_orders!L432</f>
        <v>Max Paper 576</v>
      </c>
      <c r="M432" t="str">
        <f>IF(TRIM([1]raw_orders!M432)="","Unknown",PROPER(TRIM([1]raw_orders!M432)))</f>
        <v>Second Class</v>
      </c>
      <c r="N432" s="5">
        <f>[1]raw_orders!N432</f>
        <v>1</v>
      </c>
      <c r="O432" s="5">
        <f>[1]raw_orders!O432</f>
        <v>4320.84</v>
      </c>
      <c r="P432" s="5">
        <f>[1]raw_orders!P432</f>
        <v>0.15</v>
      </c>
      <c r="Q432" t="str">
        <f>PROPER(TRIM([1]raw_orders!T432))</f>
        <v>Paid</v>
      </c>
      <c r="R432" t="str">
        <f>PROPER(TRIM([1]raw_orders!U432))</f>
        <v>Completed</v>
      </c>
      <c r="S432" s="5">
        <f>[1]raw_orders!S432</f>
        <v>763.38</v>
      </c>
      <c r="T432" s="5">
        <f t="shared" si="48"/>
        <v>7.6337999999999999</v>
      </c>
      <c r="U432" s="5">
        <f t="shared" si="49"/>
        <v>-28663.588392000001</v>
      </c>
      <c r="V432" s="5">
        <f t="shared" si="50"/>
        <v>-28663.738392000003</v>
      </c>
      <c r="W432" s="5">
        <f t="shared" si="51"/>
        <v>1.0000052331200808</v>
      </c>
      <c r="X432" s="5">
        <f t="shared" si="52"/>
        <v>3</v>
      </c>
      <c r="Y432" s="5">
        <f t="shared" si="53"/>
        <v>8</v>
      </c>
      <c r="Z432" s="5">
        <f t="shared" si="54"/>
        <v>2024</v>
      </c>
      <c r="AA432" t="str">
        <f t="shared" si="55"/>
        <v>Clean</v>
      </c>
    </row>
    <row r="433" spans="1:27" x14ac:dyDescent="0.3">
      <c r="A433" t="str">
        <f>[1]raw_orders!A433</f>
        <v>ORD-2024-10432</v>
      </c>
      <c r="B433" s="4">
        <f>IFERROR(DATEVALUE([1]raw_orders!B433), "Invalid Date")</f>
        <v>45332</v>
      </c>
      <c r="C433" s="4" t="str">
        <f>IFERROR(DATEVALUE([1]raw_orders!C433), "Invalid Date")</f>
        <v>Invalid Date</v>
      </c>
      <c r="D433" t="str">
        <f>[1]raw_orders!D433</f>
        <v>CUST-3989</v>
      </c>
      <c r="E433" t="str">
        <f>PROPER(TRIM([1]raw_orders!E433))</f>
        <v>Karan Malhotra</v>
      </c>
      <c r="F433" t="str">
        <f>PROPER(TRIM([1]raw_orders!F433))</f>
        <v>Home Office</v>
      </c>
      <c r="G433" t="str">
        <f>IF(TRIM([1]raw_orders!G433)="","Unknown",PROPER(TRIM([1]raw_orders!G433)))</f>
        <v>West</v>
      </c>
      <c r="H433" t="str">
        <f>PROPER(TRIM([1]raw_orders!H433))</f>
        <v>Goa</v>
      </c>
      <c r="I433" t="str">
        <f>PROPER(TRIM([1]raw_orders!I433))</f>
        <v>Panaji</v>
      </c>
      <c r="J433" t="str">
        <f>PROPER(TRIM([1]raw_orders!J433))</f>
        <v>Technology</v>
      </c>
      <c r="K433" t="str">
        <f>PROPER(TRIM([1]raw_orders!K433))</f>
        <v>Machines</v>
      </c>
      <c r="L433" t="str">
        <f>[1]raw_orders!L433</f>
        <v>Max Machines 412</v>
      </c>
      <c r="M433" t="str">
        <f>IF(TRIM([1]raw_orders!M433)="","Unknown",PROPER(TRIM([1]raw_orders!M433)))</f>
        <v>Same Day</v>
      </c>
      <c r="N433" s="5">
        <f>[1]raw_orders!N433</f>
        <v>2</v>
      </c>
      <c r="O433" s="5">
        <f>[1]raw_orders!O433</f>
        <v>4118.45</v>
      </c>
      <c r="P433" s="5">
        <f>[1]raw_orders!P433</f>
        <v>0.25</v>
      </c>
      <c r="Q433" t="str">
        <f>PROPER(TRIM([1]raw_orders!T433))</f>
        <v>Paid</v>
      </c>
      <c r="R433" t="str">
        <f>PROPER(TRIM([1]raw_orders!U433))</f>
        <v>Completed</v>
      </c>
      <c r="S433" s="5">
        <f>[1]raw_orders!S433</f>
        <v>1656.92</v>
      </c>
      <c r="T433" s="5">
        <f t="shared" si="48"/>
        <v>16.569200000000002</v>
      </c>
      <c r="U433" s="5">
        <f t="shared" si="49"/>
        <v>-128241.94348000002</v>
      </c>
      <c r="V433" s="5">
        <f t="shared" si="50"/>
        <v>-128242.19348000002</v>
      </c>
      <c r="W433" s="5">
        <f t="shared" si="51"/>
        <v>1.0000019494402004</v>
      </c>
      <c r="X433" s="5" t="str">
        <f t="shared" si="52"/>
        <v>Invalid Date</v>
      </c>
      <c r="Y433" s="5">
        <f t="shared" si="53"/>
        <v>2</v>
      </c>
      <c r="Z433" s="5">
        <f t="shared" si="54"/>
        <v>2024</v>
      </c>
      <c r="AA433" t="str">
        <f t="shared" si="55"/>
        <v>Clean</v>
      </c>
    </row>
    <row r="434" spans="1:27" x14ac:dyDescent="0.3">
      <c r="A434" t="str">
        <f>[1]raw_orders!A434</f>
        <v>ORD-2024-10433</v>
      </c>
      <c r="B434" s="4" t="str">
        <f>IFERROR(DATEVALUE([1]raw_orders!B434), "Invalid Date")</f>
        <v>Invalid Date</v>
      </c>
      <c r="C434" s="4">
        <f>IFERROR(DATEVALUE([1]raw_orders!C434), "Invalid Date")</f>
        <v>45537</v>
      </c>
      <c r="D434" t="str">
        <f>[1]raw_orders!D434</f>
        <v>CUST-3522</v>
      </c>
      <c r="E434" t="str">
        <f>PROPER(TRIM([1]raw_orders!E434))</f>
        <v>Priya Menon</v>
      </c>
      <c r="F434" t="str">
        <f>PROPER(TRIM([1]raw_orders!F434))</f>
        <v>Small Business</v>
      </c>
      <c r="G434" t="str">
        <f>IF(TRIM([1]raw_orders!G434)="","Unknown",PROPER(TRIM([1]raw_orders!G434)))</f>
        <v>West</v>
      </c>
      <c r="H434" t="str">
        <f>PROPER(TRIM([1]raw_orders!H434))</f>
        <v>Maharashtra</v>
      </c>
      <c r="I434" t="str">
        <f>PROPER(TRIM([1]raw_orders!I434))</f>
        <v>Mumbai</v>
      </c>
      <c r="J434" t="str">
        <f>PROPER(TRIM([1]raw_orders!J434))</f>
        <v>Furniture</v>
      </c>
      <c r="K434" t="str">
        <f>PROPER(TRIM([1]raw_orders!K434))</f>
        <v>Bookcases</v>
      </c>
      <c r="L434" t="str">
        <f>[1]raw_orders!L434</f>
        <v>Classic Bookcases 291</v>
      </c>
      <c r="M434" t="str">
        <f>IF(TRIM([1]raw_orders!M434)="","Unknown",PROPER(TRIM([1]raw_orders!M434)))</f>
        <v>Standard Class</v>
      </c>
      <c r="N434" s="5">
        <f>[1]raw_orders!N434</f>
        <v>6</v>
      </c>
      <c r="O434" s="5">
        <f>[1]raw_orders!O434</f>
        <v>172.82</v>
      </c>
      <c r="P434" s="5">
        <f>[1]raw_orders!P434</f>
        <v>0.05</v>
      </c>
      <c r="Q434" t="str">
        <f>PROPER(TRIM([1]raw_orders!T434))</f>
        <v>Paid</v>
      </c>
      <c r="R434" t="str">
        <f>PROPER(TRIM([1]raw_orders!U434))</f>
        <v>Completed</v>
      </c>
      <c r="S434" s="5">
        <f>[1]raw_orders!S434</f>
        <v>140.59</v>
      </c>
      <c r="T434" s="5">
        <f t="shared" si="48"/>
        <v>1.4058999999999999</v>
      </c>
      <c r="U434" s="5">
        <f t="shared" si="49"/>
        <v>-420.88582799999995</v>
      </c>
      <c r="V434" s="5">
        <f t="shared" si="50"/>
        <v>-420.93582799999996</v>
      </c>
      <c r="W434" s="5">
        <f t="shared" si="51"/>
        <v>1.0001187970624661</v>
      </c>
      <c r="X434" s="5" t="str">
        <f t="shared" si="52"/>
        <v>Invalid Date</v>
      </c>
      <c r="Y434" s="5" t="e">
        <f t="shared" si="53"/>
        <v>#VALUE!</v>
      </c>
      <c r="Z434" s="5" t="e">
        <f t="shared" si="54"/>
        <v>#VALUE!</v>
      </c>
      <c r="AA434" t="str">
        <f t="shared" si="55"/>
        <v>Clean</v>
      </c>
    </row>
    <row r="435" spans="1:27" x14ac:dyDescent="0.3">
      <c r="A435" t="str">
        <f>[1]raw_orders!A435</f>
        <v>ORD-2024-10434</v>
      </c>
      <c r="B435" s="4" t="str">
        <f>IFERROR(DATEVALUE([1]raw_orders!B435), "Invalid Date")</f>
        <v>Invalid Date</v>
      </c>
      <c r="C435" s="4">
        <f>IFERROR(DATEVALUE([1]raw_orders!C435), "Invalid Date")</f>
        <v>45402</v>
      </c>
      <c r="D435" t="str">
        <f>[1]raw_orders!D435</f>
        <v>CUST-7066</v>
      </c>
      <c r="E435" t="str">
        <f>PROPER(TRIM([1]raw_orders!E435))</f>
        <v>Priya Menon</v>
      </c>
      <c r="F435" t="str">
        <f>PROPER(TRIM([1]raw_orders!F435))</f>
        <v>Corporate</v>
      </c>
      <c r="G435" t="str">
        <f>IF(TRIM([1]raw_orders!G435)="","Unknown",PROPER(TRIM([1]raw_orders!G435)))</f>
        <v>South</v>
      </c>
      <c r="H435" t="str">
        <f>PROPER(TRIM([1]raw_orders!H435))</f>
        <v>Kerala</v>
      </c>
      <c r="I435" t="str">
        <f>PROPER(TRIM([1]raw_orders!I435))</f>
        <v>Kochi</v>
      </c>
      <c r="J435" t="str">
        <f>PROPER(TRIM([1]raw_orders!J435))</f>
        <v>Office Supplies</v>
      </c>
      <c r="K435" t="str">
        <f>PROPER(TRIM([1]raw_orders!K435))</f>
        <v>Art</v>
      </c>
      <c r="L435" t="str">
        <f>[1]raw_orders!L435</f>
        <v>Elite Art 946</v>
      </c>
      <c r="M435" t="str">
        <f>IF(TRIM([1]raw_orders!M435)="","Unknown",PROPER(TRIM([1]raw_orders!M435)))</f>
        <v>Second Class</v>
      </c>
      <c r="N435" s="5">
        <f>[1]raw_orders!N435</f>
        <v>4</v>
      </c>
      <c r="O435" s="5">
        <f>[1]raw_orders!O435</f>
        <v>1540.22</v>
      </c>
      <c r="P435" s="5">
        <f>[1]raw_orders!P435</f>
        <v>0</v>
      </c>
      <c r="Q435" t="str">
        <f>PROPER(TRIM([1]raw_orders!T435))</f>
        <v>Refunded</v>
      </c>
      <c r="R435" t="str">
        <f>PROPER(TRIM([1]raw_orders!U435))</f>
        <v>Returned</v>
      </c>
      <c r="S435" s="5">
        <f>[1]raw_orders!S435</f>
        <v>1222.18</v>
      </c>
      <c r="T435" s="5">
        <f t="shared" si="48"/>
        <v>12.2218</v>
      </c>
      <c r="U435" s="5">
        <f t="shared" si="49"/>
        <v>-69136.163184000005</v>
      </c>
      <c r="V435" s="5">
        <f t="shared" si="50"/>
        <v>-69136.163184000005</v>
      </c>
      <c r="W435" s="5">
        <f t="shared" si="51"/>
        <v>1</v>
      </c>
      <c r="X435" s="5" t="str">
        <f t="shared" si="52"/>
        <v>Invalid Date</v>
      </c>
      <c r="Y435" s="5" t="e">
        <f t="shared" si="53"/>
        <v>#VALUE!</v>
      </c>
      <c r="Z435" s="5" t="e">
        <f t="shared" si="54"/>
        <v>#VALUE!</v>
      </c>
      <c r="AA435" t="str">
        <f t="shared" si="55"/>
        <v>Clean</v>
      </c>
    </row>
    <row r="436" spans="1:27" x14ac:dyDescent="0.3">
      <c r="A436" t="str">
        <f>[1]raw_orders!A436</f>
        <v>ORD-2025-10435</v>
      </c>
      <c r="B436" s="4">
        <f>IFERROR(DATEVALUE([1]raw_orders!B436), "Invalid Date")</f>
        <v>45965</v>
      </c>
      <c r="C436" s="4">
        <f>IFERROR(DATEVALUE([1]raw_orders!C436), "Invalid Date")</f>
        <v>45762</v>
      </c>
      <c r="D436" t="str">
        <f>[1]raw_orders!D436</f>
        <v>CUST-2351</v>
      </c>
      <c r="E436" t="str">
        <f>PROPER(TRIM([1]raw_orders!E436))</f>
        <v>Mira Das</v>
      </c>
      <c r="F436" t="str">
        <f>PROPER(TRIM([1]raw_orders!F436))</f>
        <v>Home Office</v>
      </c>
      <c r="G436" t="str">
        <f>IF(TRIM([1]raw_orders!G436)="","Unknown",PROPER(TRIM([1]raw_orders!G436)))</f>
        <v>North</v>
      </c>
      <c r="H436" t="str">
        <f>PROPER(TRIM([1]raw_orders!H436))</f>
        <v>Uttar Pradesh</v>
      </c>
      <c r="I436" t="str">
        <f>PROPER(TRIM([1]raw_orders!I436))</f>
        <v>Noida</v>
      </c>
      <c r="J436" t="str">
        <f>PROPER(TRIM([1]raw_orders!J436))</f>
        <v>Technology</v>
      </c>
      <c r="K436" t="str">
        <f>PROPER(TRIM([1]raw_orders!K436))</f>
        <v>Accessories</v>
      </c>
      <c r="L436" t="str">
        <f>[1]raw_orders!L436</f>
        <v>Eco Accessories 705</v>
      </c>
      <c r="M436" t="str">
        <f>IF(TRIM([1]raw_orders!M436)="","Unknown",PROPER(TRIM([1]raw_orders!M436)))</f>
        <v>Second Class</v>
      </c>
      <c r="N436" s="5">
        <f>[1]raw_orders!N436</f>
        <v>5</v>
      </c>
      <c r="O436" s="5">
        <f>[1]raw_orders!O436</f>
        <v>652.78</v>
      </c>
      <c r="P436" s="5">
        <f>[1]raw_orders!P436</f>
        <v>0</v>
      </c>
      <c r="Q436" t="str">
        <f>PROPER(TRIM([1]raw_orders!T436))</f>
        <v>Paid</v>
      </c>
      <c r="R436" t="str">
        <f>PROPER(TRIM([1]raw_orders!U436))</f>
        <v>Completed</v>
      </c>
      <c r="S436" s="5">
        <f>[1]raw_orders!S436</f>
        <v>1195.46</v>
      </c>
      <c r="T436" s="5">
        <f t="shared" si="48"/>
        <v>11.954600000000001</v>
      </c>
      <c r="U436" s="5">
        <f t="shared" si="49"/>
        <v>-35754.718939999999</v>
      </c>
      <c r="V436" s="5">
        <f t="shared" si="50"/>
        <v>-35754.718939999999</v>
      </c>
      <c r="W436" s="5">
        <f t="shared" si="51"/>
        <v>1</v>
      </c>
      <c r="X436" s="5">
        <f t="shared" si="52"/>
        <v>-203</v>
      </c>
      <c r="Y436" s="5">
        <f t="shared" si="53"/>
        <v>11</v>
      </c>
      <c r="Z436" s="5">
        <f t="shared" si="54"/>
        <v>2025</v>
      </c>
      <c r="AA436" t="str">
        <f t="shared" si="55"/>
        <v>Invalid</v>
      </c>
    </row>
    <row r="437" spans="1:27" x14ac:dyDescent="0.3">
      <c r="A437" t="str">
        <f>[1]raw_orders!A437</f>
        <v>ORD-2025-10436</v>
      </c>
      <c r="B437" s="4">
        <f>IFERROR(DATEVALUE([1]raw_orders!B437), "Invalid Date")</f>
        <v>45759</v>
      </c>
      <c r="C437" s="4">
        <f>IFERROR(DATEVALUE([1]raw_orders!C437), "Invalid Date")</f>
        <v>45767</v>
      </c>
      <c r="D437" t="str">
        <f>[1]raw_orders!D437</f>
        <v>CUST-7291</v>
      </c>
      <c r="E437" t="str">
        <f>PROPER(TRIM([1]raw_orders!E437))</f>
        <v>Kabir Singh</v>
      </c>
      <c r="F437" t="str">
        <f>PROPER(TRIM([1]raw_orders!F437))</f>
        <v>Home Office</v>
      </c>
      <c r="G437" t="str">
        <f>IF(TRIM([1]raw_orders!G437)="","Unknown",PROPER(TRIM([1]raw_orders!G437)))</f>
        <v>North</v>
      </c>
      <c r="H437" t="str">
        <f>PROPER(TRIM([1]raw_orders!H437))</f>
        <v>Delhi</v>
      </c>
      <c r="I437" t="str">
        <f>PROPER(TRIM([1]raw_orders!I437))</f>
        <v>New Delhi</v>
      </c>
      <c r="J437" t="str">
        <f>PROPER(TRIM([1]raw_orders!J437))</f>
        <v>Technology</v>
      </c>
      <c r="K437" t="str">
        <f>PROPER(TRIM([1]raw_orders!K437))</f>
        <v>Machines</v>
      </c>
      <c r="L437" t="str">
        <f>[1]raw_orders!L437</f>
        <v>Max Machines 151</v>
      </c>
      <c r="M437" t="str">
        <f>IF(TRIM([1]raw_orders!M437)="","Unknown",PROPER(TRIM([1]raw_orders!M437)))</f>
        <v>Standard Class</v>
      </c>
      <c r="N437" s="5">
        <f>[1]raw_orders!N437</f>
        <v>1</v>
      </c>
      <c r="O437" s="5">
        <f>[1]raw_orders!O437</f>
        <v>2737.71</v>
      </c>
      <c r="P437" s="5">
        <f>[1]raw_orders!P437</f>
        <v>0.15</v>
      </c>
      <c r="Q437" t="str">
        <f>PROPER(TRIM([1]raw_orders!T437))</f>
        <v>Paid</v>
      </c>
      <c r="R437" t="str">
        <f>PROPER(TRIM([1]raw_orders!U437))</f>
        <v>Cancelled</v>
      </c>
      <c r="S437" s="5">
        <f>[1]raw_orders!S437</f>
        <v>407.63</v>
      </c>
      <c r="T437" s="5">
        <f t="shared" si="48"/>
        <v>4.0762999999999998</v>
      </c>
      <c r="U437" s="5">
        <f t="shared" si="49"/>
        <v>-8422.0172729999995</v>
      </c>
      <c r="V437" s="5">
        <f t="shared" si="50"/>
        <v>-8422.1672729999991</v>
      </c>
      <c r="W437" s="5">
        <f t="shared" si="51"/>
        <v>1.000017810459791</v>
      </c>
      <c r="X437" s="5">
        <f t="shared" si="52"/>
        <v>8</v>
      </c>
      <c r="Y437" s="5">
        <f t="shared" si="53"/>
        <v>4</v>
      </c>
      <c r="Z437" s="5">
        <f t="shared" si="54"/>
        <v>2025</v>
      </c>
      <c r="AA437" t="str">
        <f t="shared" si="55"/>
        <v>Clean</v>
      </c>
    </row>
    <row r="438" spans="1:27" x14ac:dyDescent="0.3">
      <c r="A438" t="str">
        <f>[1]raw_orders!A438</f>
        <v>ORD-2024-10437</v>
      </c>
      <c r="B438" s="4">
        <f>IFERROR(DATEVALUE([1]raw_orders!B438), "Invalid Date")</f>
        <v>45459</v>
      </c>
      <c r="C438" s="4">
        <f>IFERROR(DATEVALUE([1]raw_orders!C438), "Invalid Date")</f>
        <v>45464</v>
      </c>
      <c r="D438" t="str">
        <f>[1]raw_orders!D438</f>
        <v>CUST-4492</v>
      </c>
      <c r="E438" t="str">
        <f>PROPER(TRIM([1]raw_orders!E438))</f>
        <v>Neha Gupta</v>
      </c>
      <c r="F438" t="str">
        <f>PROPER(TRIM([1]raw_orders!F438))</f>
        <v>Consumer</v>
      </c>
      <c r="G438" t="str">
        <f>IF(TRIM([1]raw_orders!G438)="","Unknown",PROPER(TRIM([1]raw_orders!G438)))</f>
        <v>South</v>
      </c>
      <c r="H438" t="str">
        <f>PROPER(TRIM([1]raw_orders!H438))</f>
        <v>Kerala</v>
      </c>
      <c r="I438" t="str">
        <f>PROPER(TRIM([1]raw_orders!I438))</f>
        <v>Kochi</v>
      </c>
      <c r="J438" t="str">
        <f>PROPER(TRIM([1]raw_orders!J438))</f>
        <v>Furniture</v>
      </c>
      <c r="K438" t="str">
        <f>PROPER(TRIM([1]raw_orders!K438))</f>
        <v>Furnishings</v>
      </c>
      <c r="L438" t="str">
        <f>[1]raw_orders!L438</f>
        <v>Max Furnishings 803</v>
      </c>
      <c r="M438" t="str">
        <f>IF(TRIM([1]raw_orders!M438)="","Unknown",PROPER(TRIM([1]raw_orders!M438)))</f>
        <v>Same Day</v>
      </c>
      <c r="N438" s="5">
        <f>[1]raw_orders!N438</f>
        <v>6</v>
      </c>
      <c r="O438" s="5">
        <f>[1]raw_orders!O438</f>
        <v>1156.78</v>
      </c>
      <c r="P438" s="5">
        <f>[1]raw_orders!P438</f>
        <v>0.05</v>
      </c>
      <c r="Q438" t="str">
        <f>PROPER(TRIM([1]raw_orders!T438))</f>
        <v>Paid</v>
      </c>
      <c r="R438" t="str">
        <f>PROPER(TRIM([1]raw_orders!U438))</f>
        <v>Returned</v>
      </c>
      <c r="S438" s="5">
        <f>[1]raw_orders!S438</f>
        <v>2234.2600000000002</v>
      </c>
      <c r="T438" s="5">
        <f t="shared" si="48"/>
        <v>22.342600000000001</v>
      </c>
      <c r="U438" s="5">
        <f t="shared" si="49"/>
        <v>-148132.15696800002</v>
      </c>
      <c r="V438" s="5">
        <f t="shared" si="50"/>
        <v>-148132.20696800001</v>
      </c>
      <c r="W438" s="5">
        <f t="shared" si="51"/>
        <v>1.0000003375364337</v>
      </c>
      <c r="X438" s="5">
        <f t="shared" si="52"/>
        <v>5</v>
      </c>
      <c r="Y438" s="5">
        <f t="shared" si="53"/>
        <v>6</v>
      </c>
      <c r="Z438" s="5">
        <f t="shared" si="54"/>
        <v>2024</v>
      </c>
      <c r="AA438" t="str">
        <f t="shared" si="55"/>
        <v>Clean</v>
      </c>
    </row>
    <row r="439" spans="1:27" x14ac:dyDescent="0.3">
      <c r="A439" t="str">
        <f>[1]raw_orders!A439</f>
        <v>ORD-2024-10438</v>
      </c>
      <c r="B439" s="4">
        <f>IFERROR(DATEVALUE([1]raw_orders!B439), "Invalid Date")</f>
        <v>45337</v>
      </c>
      <c r="C439" s="4">
        <f>IFERROR(DATEVALUE([1]raw_orders!C439), "Invalid Date")</f>
        <v>45340</v>
      </c>
      <c r="D439" t="str">
        <f>[1]raw_orders!D439</f>
        <v>CUST-5029</v>
      </c>
      <c r="E439" t="str">
        <f>PROPER(TRIM([1]raw_orders!E439))</f>
        <v>Aditi Sen</v>
      </c>
      <c r="F439" t="str">
        <f>PROPER(TRIM([1]raw_orders!F439))</f>
        <v>Small Business</v>
      </c>
      <c r="G439" t="str">
        <f>IF(TRIM([1]raw_orders!G439)="","Unknown",PROPER(TRIM([1]raw_orders!G439)))</f>
        <v>South</v>
      </c>
      <c r="H439" t="str">
        <f>PROPER(TRIM([1]raw_orders!H439))</f>
        <v>Kerala</v>
      </c>
      <c r="I439" t="str">
        <f>PROPER(TRIM([1]raw_orders!I439))</f>
        <v>Kochi</v>
      </c>
      <c r="J439" t="str">
        <f>PROPER(TRIM([1]raw_orders!J439))</f>
        <v>Technology</v>
      </c>
      <c r="K439" t="str">
        <f>PROPER(TRIM([1]raw_orders!K439))</f>
        <v>Accessories</v>
      </c>
      <c r="L439" t="str">
        <f>[1]raw_orders!L439</f>
        <v>Max Accessories 423</v>
      </c>
      <c r="M439" t="str">
        <f>IF(TRIM([1]raw_orders!M439)="","Unknown",PROPER(TRIM([1]raw_orders!M439)))</f>
        <v>Same Day</v>
      </c>
      <c r="N439" s="5">
        <f>[1]raw_orders!N439</f>
        <v>8</v>
      </c>
      <c r="O439" s="5">
        <f>[1]raw_orders!O439</f>
        <v>379.82</v>
      </c>
      <c r="P439" s="5">
        <f>[1]raw_orders!P439</f>
        <v>0.05</v>
      </c>
      <c r="Q439" t="str">
        <f>PROPER(TRIM([1]raw_orders!T439))</f>
        <v>Failed</v>
      </c>
      <c r="R439" t="str">
        <f>PROPER(TRIM([1]raw_orders!U439))</f>
        <v>Returned</v>
      </c>
      <c r="S439" s="5">
        <f>[1]raw_orders!S439</f>
        <v>1298.4000000000001</v>
      </c>
      <c r="T439" s="5">
        <f t="shared" si="48"/>
        <v>12.984000000000002</v>
      </c>
      <c r="U439" s="5">
        <f t="shared" si="49"/>
        <v>-36414.103040000002</v>
      </c>
      <c r="V439" s="5">
        <f t="shared" si="50"/>
        <v>-36414.153040000005</v>
      </c>
      <c r="W439" s="5">
        <f t="shared" si="51"/>
        <v>1.0000013730943735</v>
      </c>
      <c r="X439" s="5">
        <f t="shared" si="52"/>
        <v>3</v>
      </c>
      <c r="Y439" s="5">
        <f t="shared" si="53"/>
        <v>2</v>
      </c>
      <c r="Z439" s="5">
        <f t="shared" si="54"/>
        <v>2024</v>
      </c>
      <c r="AA439" t="str">
        <f t="shared" si="55"/>
        <v>Clean</v>
      </c>
    </row>
    <row r="440" spans="1:27" x14ac:dyDescent="0.3">
      <c r="A440" t="str">
        <f>[1]raw_orders!A440</f>
        <v>ORD-2025-10439</v>
      </c>
      <c r="B440" s="4">
        <f>IFERROR(DATEVALUE([1]raw_orders!B440), "Invalid Date")</f>
        <v>45784</v>
      </c>
      <c r="C440" s="4">
        <f>IFERROR(DATEVALUE([1]raw_orders!C440), "Invalid Date")</f>
        <v>45782</v>
      </c>
      <c r="D440" t="str">
        <f>[1]raw_orders!D440</f>
        <v>CUST-7252</v>
      </c>
      <c r="E440" t="str">
        <f>PROPER(TRIM([1]raw_orders!E440))</f>
        <v>Neha Gupta</v>
      </c>
      <c r="F440" t="str">
        <f>PROPER(TRIM([1]raw_orders!F440))</f>
        <v>Corporate</v>
      </c>
      <c r="G440" t="str">
        <f>IF(TRIM([1]raw_orders!G440)="","Unknown",PROPER(TRIM([1]raw_orders!G440)))</f>
        <v>East</v>
      </c>
      <c r="H440" t="str">
        <f>PROPER(TRIM([1]raw_orders!H440))</f>
        <v>Jharkhand</v>
      </c>
      <c r="I440" t="str">
        <f>PROPER(TRIM([1]raw_orders!I440))</f>
        <v>Ranchi</v>
      </c>
      <c r="J440" t="str">
        <f>PROPER(TRIM([1]raw_orders!J440))</f>
        <v>Technology</v>
      </c>
      <c r="K440" t="str">
        <f>PROPER(TRIM([1]raw_orders!K440))</f>
        <v>Phones</v>
      </c>
      <c r="L440" t="str">
        <f>[1]raw_orders!L440</f>
        <v>Elite Phones 276</v>
      </c>
      <c r="M440" t="str">
        <f>IF(TRIM([1]raw_orders!M440)="","Unknown",PROPER(TRIM([1]raw_orders!M440)))</f>
        <v>Standard Class</v>
      </c>
      <c r="N440" s="5">
        <f>[1]raw_orders!N440</f>
        <v>1</v>
      </c>
      <c r="O440" s="5">
        <f>[1]raw_orders!O440</f>
        <v>2266.4699999999998</v>
      </c>
      <c r="P440" s="5">
        <f>[1]raw_orders!P440</f>
        <v>0.2</v>
      </c>
      <c r="Q440" t="str">
        <f>PROPER(TRIM([1]raw_orders!T440))</f>
        <v>Paid</v>
      </c>
      <c r="R440" t="str">
        <f>PROPER(TRIM([1]raw_orders!U440))</f>
        <v>Completed</v>
      </c>
      <c r="S440" s="5">
        <f>[1]raw_orders!S440</f>
        <v>449.54</v>
      </c>
      <c r="T440" s="5">
        <f t="shared" si="48"/>
        <v>4.4954000000000001</v>
      </c>
      <c r="U440" s="5">
        <f t="shared" si="49"/>
        <v>-7922.2192379999997</v>
      </c>
      <c r="V440" s="5">
        <f t="shared" si="50"/>
        <v>-7922.4192379999995</v>
      </c>
      <c r="W440" s="5">
        <f t="shared" si="51"/>
        <v>1.000025245451305</v>
      </c>
      <c r="X440" s="5">
        <f t="shared" si="52"/>
        <v>-2</v>
      </c>
      <c r="Y440" s="5">
        <f t="shared" si="53"/>
        <v>5</v>
      </c>
      <c r="Z440" s="5">
        <f t="shared" si="54"/>
        <v>2025</v>
      </c>
      <c r="AA440" t="str">
        <f t="shared" si="55"/>
        <v>Invalid</v>
      </c>
    </row>
    <row r="441" spans="1:27" x14ac:dyDescent="0.3">
      <c r="A441" t="str">
        <f>[1]raw_orders!A441</f>
        <v>ORD-2025-10440</v>
      </c>
      <c r="B441" s="4">
        <f>IFERROR(DATEVALUE([1]raw_orders!B441), "Invalid Date")</f>
        <v>45838</v>
      </c>
      <c r="C441" s="4">
        <f>IFERROR(DATEVALUE([1]raw_orders!C441), "Invalid Date")</f>
        <v>45841</v>
      </c>
      <c r="D441" t="str">
        <f>[1]raw_orders!D441</f>
        <v>CUST-7346</v>
      </c>
      <c r="E441" t="str">
        <f>PROPER(TRIM([1]raw_orders!E441))</f>
        <v>Aarav Sharma</v>
      </c>
      <c r="F441" t="str">
        <f>PROPER(TRIM([1]raw_orders!F441))</f>
        <v>Home Office</v>
      </c>
      <c r="G441" t="str">
        <f>IF(TRIM([1]raw_orders!G441)="","Unknown",PROPER(TRIM([1]raw_orders!G441)))</f>
        <v>West</v>
      </c>
      <c r="H441" t="str">
        <f>PROPER(TRIM([1]raw_orders!H441))</f>
        <v>Goa</v>
      </c>
      <c r="I441" t="str">
        <f>PROPER(TRIM([1]raw_orders!I441))</f>
        <v>Panaji</v>
      </c>
      <c r="J441" t="str">
        <f>PROPER(TRIM([1]raw_orders!J441))</f>
        <v>Office Supplies</v>
      </c>
      <c r="K441" t="str">
        <f>PROPER(TRIM([1]raw_orders!K441))</f>
        <v>Storage</v>
      </c>
      <c r="L441" t="str">
        <f>[1]raw_orders!L441</f>
        <v>Smart Storage 287</v>
      </c>
      <c r="M441" t="str">
        <f>IF(TRIM([1]raw_orders!M441)="","Unknown",PROPER(TRIM([1]raw_orders!M441)))</f>
        <v>Same Day</v>
      </c>
      <c r="N441" s="5">
        <f>[1]raw_orders!N441</f>
        <v>5</v>
      </c>
      <c r="O441" s="5">
        <f>[1]raw_orders!O441</f>
        <v>665.25</v>
      </c>
      <c r="P441" s="5">
        <f>[1]raw_orders!P441</f>
        <v>0</v>
      </c>
      <c r="Q441" t="str">
        <f>PROPER(TRIM([1]raw_orders!T441))</f>
        <v>Refunded</v>
      </c>
      <c r="R441" t="str">
        <f>PROPER(TRIM([1]raw_orders!U441))</f>
        <v>Returned</v>
      </c>
      <c r="S441" s="5">
        <f>[1]raw_orders!S441</f>
        <v>636.89</v>
      </c>
      <c r="T441" s="5">
        <f t="shared" si="48"/>
        <v>6.3689</v>
      </c>
      <c r="U441" s="5">
        <f t="shared" si="49"/>
        <v>-17858.303625</v>
      </c>
      <c r="V441" s="5">
        <f t="shared" si="50"/>
        <v>-17858.303625</v>
      </c>
      <c r="W441" s="5">
        <f t="shared" si="51"/>
        <v>1</v>
      </c>
      <c r="X441" s="5">
        <f t="shared" si="52"/>
        <v>3</v>
      </c>
      <c r="Y441" s="5">
        <f t="shared" si="53"/>
        <v>6</v>
      </c>
      <c r="Z441" s="5">
        <f t="shared" si="54"/>
        <v>2025</v>
      </c>
      <c r="AA441" t="str">
        <f t="shared" si="55"/>
        <v>Clean</v>
      </c>
    </row>
    <row r="442" spans="1:27" x14ac:dyDescent="0.3">
      <c r="A442" t="str">
        <f>[1]raw_orders!A442</f>
        <v>ORD-2024-10441</v>
      </c>
      <c r="B442" s="4">
        <f>IFERROR(DATEVALUE([1]raw_orders!B442), "Invalid Date")</f>
        <v>45326</v>
      </c>
      <c r="C442" s="4">
        <f>IFERROR(DATEVALUE([1]raw_orders!C442), "Invalid Date")</f>
        <v>45508</v>
      </c>
      <c r="D442" t="str">
        <f>[1]raw_orders!D442</f>
        <v>CUST-9039</v>
      </c>
      <c r="E442" t="str">
        <f>PROPER(TRIM([1]raw_orders!E442))</f>
        <v>Vikram Iyer</v>
      </c>
      <c r="F442" t="str">
        <f>PROPER(TRIM([1]raw_orders!F442))</f>
        <v>Corporate</v>
      </c>
      <c r="G442" t="str">
        <f>IF(TRIM([1]raw_orders!G442)="","Unknown",PROPER(TRIM([1]raw_orders!G442)))</f>
        <v>East</v>
      </c>
      <c r="H442" t="str">
        <f>PROPER(TRIM([1]raw_orders!H442))</f>
        <v>Odisha</v>
      </c>
      <c r="I442" t="str">
        <f>PROPER(TRIM([1]raw_orders!I442))</f>
        <v>Bhubaneswar</v>
      </c>
      <c r="J442" t="str">
        <f>PROPER(TRIM([1]raw_orders!J442))</f>
        <v>Technology</v>
      </c>
      <c r="K442" t="str">
        <f>PROPER(TRIM([1]raw_orders!K442))</f>
        <v>Machines</v>
      </c>
      <c r="L442" t="str">
        <f>[1]raw_orders!L442</f>
        <v>Basic Machines 610</v>
      </c>
      <c r="M442" t="str">
        <f>IF(TRIM([1]raw_orders!M442)="","Unknown",PROPER(TRIM([1]raw_orders!M442)))</f>
        <v>Second Class</v>
      </c>
      <c r="N442" s="5">
        <f>[1]raw_orders!N442</f>
        <v>6</v>
      </c>
      <c r="O442" s="5">
        <f>[1]raw_orders!O442</f>
        <v>3722.84</v>
      </c>
      <c r="P442" s="5">
        <f>[1]raw_orders!P442</f>
        <v>0.2</v>
      </c>
      <c r="Q442" t="str">
        <f>PROPER(TRIM([1]raw_orders!T442))</f>
        <v>Paid</v>
      </c>
      <c r="R442" t="str">
        <f>PROPER(TRIM([1]raw_orders!U442))</f>
        <v>Completed</v>
      </c>
      <c r="S442" s="5">
        <f>[1]raw_orders!S442</f>
        <v>5705.83</v>
      </c>
      <c r="T442" s="5">
        <f t="shared" si="48"/>
        <v>57.058300000000003</v>
      </c>
      <c r="U442" s="5">
        <f t="shared" si="49"/>
        <v>-1252176.4894320001</v>
      </c>
      <c r="V442" s="5">
        <f t="shared" si="50"/>
        <v>-1252176.689432</v>
      </c>
      <c r="W442" s="5">
        <f t="shared" si="51"/>
        <v>1.0000001597218935</v>
      </c>
      <c r="X442" s="5">
        <f t="shared" si="52"/>
        <v>182</v>
      </c>
      <c r="Y442" s="5">
        <f t="shared" si="53"/>
        <v>2</v>
      </c>
      <c r="Z442" s="5">
        <f t="shared" si="54"/>
        <v>2024</v>
      </c>
      <c r="AA442" t="str">
        <f t="shared" si="55"/>
        <v>Clean</v>
      </c>
    </row>
    <row r="443" spans="1:27" x14ac:dyDescent="0.3">
      <c r="A443" t="str">
        <f>[1]raw_orders!A443</f>
        <v>ORD-2024-10442</v>
      </c>
      <c r="B443" s="4">
        <f>IFERROR(DATEVALUE([1]raw_orders!B443), "Invalid Date")</f>
        <v>45568</v>
      </c>
      <c r="C443" s="4">
        <f>IFERROR(DATEVALUE([1]raw_orders!C443), "Invalid Date")</f>
        <v>45568</v>
      </c>
      <c r="D443" t="str">
        <f>[1]raw_orders!D443</f>
        <v>CUST-3975</v>
      </c>
      <c r="E443" t="str">
        <f>PROPER(TRIM([1]raw_orders!E443))</f>
        <v>Karan Malhotra</v>
      </c>
      <c r="F443" t="str">
        <f>PROPER(TRIM([1]raw_orders!F443))</f>
        <v>Consumer</v>
      </c>
      <c r="G443" t="str">
        <f>IF(TRIM([1]raw_orders!G443)="","Unknown",PROPER(TRIM([1]raw_orders!G443)))</f>
        <v>East</v>
      </c>
      <c r="H443" t="str">
        <f>PROPER(TRIM([1]raw_orders!H443))</f>
        <v>Bihar</v>
      </c>
      <c r="I443" t="str">
        <f>PROPER(TRIM([1]raw_orders!I443))</f>
        <v>Patna</v>
      </c>
      <c r="J443" t="str">
        <f>PROPER(TRIM([1]raw_orders!J443))</f>
        <v>Furniture</v>
      </c>
      <c r="K443" t="str">
        <f>PROPER(TRIM([1]raw_orders!K443))</f>
        <v>Bookcases</v>
      </c>
      <c r="L443" t="str">
        <f>[1]raw_orders!L443</f>
        <v>Elite Bookcases 393</v>
      </c>
      <c r="M443" t="str">
        <f>IF(TRIM([1]raw_orders!M443)="","Unknown",PROPER(TRIM([1]raw_orders!M443)))</f>
        <v>Standard Class</v>
      </c>
      <c r="N443" s="5">
        <f>[1]raw_orders!N443</f>
        <v>6</v>
      </c>
      <c r="O443" s="5">
        <f>[1]raw_orders!O443</f>
        <v>4217.49</v>
      </c>
      <c r="P443" s="5">
        <f>[1]raw_orders!P443</f>
        <v>0</v>
      </c>
      <c r="Q443" t="str">
        <f>PROPER(TRIM([1]raw_orders!T443))</f>
        <v>Paid</v>
      </c>
      <c r="R443" t="str">
        <f>PROPER(TRIM([1]raw_orders!U443))</f>
        <v>Cancelled</v>
      </c>
      <c r="S443" s="5">
        <f>[1]raw_orders!S443</f>
        <v>4532.99</v>
      </c>
      <c r="T443" s="5">
        <f t="shared" si="48"/>
        <v>45.329899999999995</v>
      </c>
      <c r="U443" s="5">
        <f t="shared" si="49"/>
        <v>-1121765.4597059998</v>
      </c>
      <c r="V443" s="5">
        <f t="shared" si="50"/>
        <v>-1121765.4597059998</v>
      </c>
      <c r="W443" s="5">
        <f t="shared" si="51"/>
        <v>1</v>
      </c>
      <c r="X443" s="5">
        <f t="shared" si="52"/>
        <v>0</v>
      </c>
      <c r="Y443" s="5">
        <f t="shared" si="53"/>
        <v>10</v>
      </c>
      <c r="Z443" s="5">
        <f t="shared" si="54"/>
        <v>2024</v>
      </c>
      <c r="AA443" t="str">
        <f t="shared" si="55"/>
        <v>Clean</v>
      </c>
    </row>
    <row r="444" spans="1:27" x14ac:dyDescent="0.3">
      <c r="A444" t="str">
        <f>[1]raw_orders!A444</f>
        <v>ORD-2025-10443</v>
      </c>
      <c r="B444" s="4">
        <f>IFERROR(DATEVALUE([1]raw_orders!B444), "Invalid Date")</f>
        <v>45669</v>
      </c>
      <c r="C444" s="4">
        <f>IFERROR(DATEVALUE([1]raw_orders!C444), "Invalid Date")</f>
        <v>45676</v>
      </c>
      <c r="D444" t="str">
        <f>[1]raw_orders!D444</f>
        <v>CUST-6588</v>
      </c>
      <c r="E444" t="str">
        <f>PROPER(TRIM([1]raw_orders!E444))</f>
        <v>Aarav Sharma</v>
      </c>
      <c r="F444" t="str">
        <f>PROPER(TRIM([1]raw_orders!F444))</f>
        <v>Consumer</v>
      </c>
      <c r="G444" t="str">
        <f>IF(TRIM([1]raw_orders!G444)="","Unknown",PROPER(TRIM([1]raw_orders!G444)))</f>
        <v>East</v>
      </c>
      <c r="H444" t="str">
        <f>PROPER(TRIM([1]raw_orders!H444))</f>
        <v>Jharkhand</v>
      </c>
      <c r="I444" t="str">
        <f>PROPER(TRIM([1]raw_orders!I444))</f>
        <v>Ranchi</v>
      </c>
      <c r="J444" t="str">
        <f>PROPER(TRIM([1]raw_orders!J444))</f>
        <v>Furniture</v>
      </c>
      <c r="K444" t="str">
        <f>PROPER(TRIM([1]raw_orders!K444))</f>
        <v>Tables</v>
      </c>
      <c r="L444" t="str">
        <f>[1]raw_orders!L444</f>
        <v>Prime Tables 242</v>
      </c>
      <c r="M444" t="str">
        <f>IF(TRIM([1]raw_orders!M444)="","Unknown",PROPER(TRIM([1]raw_orders!M444)))</f>
        <v>First Class</v>
      </c>
      <c r="N444" s="5">
        <f>[1]raw_orders!N444</f>
        <v>1</v>
      </c>
      <c r="O444" s="5">
        <f>[1]raw_orders!O444</f>
        <v>1842.31</v>
      </c>
      <c r="P444" s="5">
        <f>[1]raw_orders!P444</f>
        <v>0</v>
      </c>
      <c r="Q444" t="str">
        <f>PROPER(TRIM([1]raw_orders!T444))</f>
        <v>Paid</v>
      </c>
      <c r="R444" t="str">
        <f>PROPER(TRIM([1]raw_orders!U444))</f>
        <v>Completed</v>
      </c>
      <c r="S444" s="5">
        <f>[1]raw_orders!S444</f>
        <v>823.14</v>
      </c>
      <c r="T444" s="5">
        <f t="shared" si="48"/>
        <v>8.2314000000000007</v>
      </c>
      <c r="U444" s="5">
        <f t="shared" si="49"/>
        <v>-13322.480534</v>
      </c>
      <c r="V444" s="5">
        <f t="shared" si="50"/>
        <v>-13322.480534</v>
      </c>
      <c r="W444" s="5">
        <f t="shared" si="51"/>
        <v>1</v>
      </c>
      <c r="X444" s="5">
        <f t="shared" si="52"/>
        <v>7</v>
      </c>
      <c r="Y444" s="5">
        <f t="shared" si="53"/>
        <v>1</v>
      </c>
      <c r="Z444" s="5">
        <f t="shared" si="54"/>
        <v>2025</v>
      </c>
      <c r="AA444" t="str">
        <f t="shared" si="55"/>
        <v>Clean</v>
      </c>
    </row>
    <row r="445" spans="1:27" x14ac:dyDescent="0.3">
      <c r="A445" t="str">
        <f>[1]raw_orders!A445</f>
        <v>ORD-2024-10444</v>
      </c>
      <c r="B445" s="4">
        <f>IFERROR(DATEVALUE([1]raw_orders!B445), "Invalid Date")</f>
        <v>45386</v>
      </c>
      <c r="C445" s="4">
        <f>IFERROR(DATEVALUE([1]raw_orders!C445), "Invalid Date")</f>
        <v>45389</v>
      </c>
      <c r="D445" t="str">
        <f>[1]raw_orders!D445</f>
        <v>CUST-2207</v>
      </c>
      <c r="E445" t="str">
        <f>PROPER(TRIM([1]raw_orders!E445))</f>
        <v>Rohan Mehta</v>
      </c>
      <c r="F445" t="str">
        <f>PROPER(TRIM([1]raw_orders!F445))</f>
        <v>Home Office</v>
      </c>
      <c r="G445" t="str">
        <f>IF(TRIM([1]raw_orders!G445)="","Unknown",PROPER(TRIM([1]raw_orders!G445)))</f>
        <v>East</v>
      </c>
      <c r="H445" t="str">
        <f>PROPER(TRIM([1]raw_orders!H445))</f>
        <v>Odisha</v>
      </c>
      <c r="I445" t="str">
        <f>PROPER(TRIM([1]raw_orders!I445))</f>
        <v>Bhubaneswar</v>
      </c>
      <c r="J445" t="str">
        <f>PROPER(TRIM([1]raw_orders!J445))</f>
        <v>Furniture</v>
      </c>
      <c r="K445" t="str">
        <f>PROPER(TRIM([1]raw_orders!K445))</f>
        <v>Furnishings</v>
      </c>
      <c r="L445" t="str">
        <f>[1]raw_orders!L445</f>
        <v>Basic Furnishings 563</v>
      </c>
      <c r="M445" t="str">
        <f>IF(TRIM([1]raw_orders!M445)="","Unknown",PROPER(TRIM([1]raw_orders!M445)))</f>
        <v>First Class</v>
      </c>
      <c r="N445" s="5">
        <f>[1]raw_orders!N445</f>
        <v>1</v>
      </c>
      <c r="O445" s="5">
        <f>[1]raw_orders!O445</f>
        <v>3683.75</v>
      </c>
      <c r="P445" s="5">
        <f>[1]raw_orders!P445</f>
        <v>0.1</v>
      </c>
      <c r="Q445" t="str">
        <f>PROPER(TRIM([1]raw_orders!T445))</f>
        <v>Paid</v>
      </c>
      <c r="R445" t="str">
        <f>PROPER(TRIM([1]raw_orders!U445))</f>
        <v>Completed</v>
      </c>
      <c r="S445" s="5">
        <f>[1]raw_orders!S445</f>
        <v>967.7</v>
      </c>
      <c r="T445" s="5">
        <f t="shared" si="48"/>
        <v>9.6769999999999996</v>
      </c>
      <c r="U445" s="5">
        <f t="shared" si="49"/>
        <v>-31963.89875</v>
      </c>
      <c r="V445" s="5">
        <f t="shared" si="50"/>
        <v>-31963.998749999999</v>
      </c>
      <c r="W445" s="5">
        <f t="shared" si="51"/>
        <v>1.0000031285294946</v>
      </c>
      <c r="X445" s="5">
        <f t="shared" si="52"/>
        <v>3</v>
      </c>
      <c r="Y445" s="5">
        <f t="shared" si="53"/>
        <v>4</v>
      </c>
      <c r="Z445" s="5">
        <f t="shared" si="54"/>
        <v>2024</v>
      </c>
      <c r="AA445" t="str">
        <f t="shared" si="55"/>
        <v>Clean</v>
      </c>
    </row>
    <row r="446" spans="1:27" x14ac:dyDescent="0.3">
      <c r="A446" t="str">
        <f>[1]raw_orders!A446</f>
        <v>ORD-2025-10445</v>
      </c>
      <c r="B446" s="4">
        <f>IFERROR(DATEVALUE([1]raw_orders!B446), "Invalid Date")</f>
        <v>45881</v>
      </c>
      <c r="C446" s="4">
        <f>IFERROR(DATEVALUE([1]raw_orders!C446), "Invalid Date")</f>
        <v>45885</v>
      </c>
      <c r="D446" t="str">
        <f>[1]raw_orders!D446</f>
        <v>CUST-4475</v>
      </c>
      <c r="E446" t="str">
        <f>PROPER(TRIM([1]raw_orders!E446))</f>
        <v>Ananya Rao</v>
      </c>
      <c r="F446" t="str">
        <f>PROPER(TRIM([1]raw_orders!F446))</f>
        <v>Consumer</v>
      </c>
      <c r="G446" t="str">
        <f>IF(TRIM([1]raw_orders!G446)="","Unknown",PROPER(TRIM([1]raw_orders!G446)))</f>
        <v>East</v>
      </c>
      <c r="H446" t="str">
        <f>PROPER(TRIM([1]raw_orders!H446))</f>
        <v>Assam</v>
      </c>
      <c r="I446" t="str">
        <f>PROPER(TRIM([1]raw_orders!I446))</f>
        <v>Guwahati</v>
      </c>
      <c r="J446" t="str">
        <f>PROPER(TRIM([1]raw_orders!J446))</f>
        <v>Technology</v>
      </c>
      <c r="K446" t="str">
        <f>PROPER(TRIM([1]raw_orders!K446))</f>
        <v>Accessories</v>
      </c>
      <c r="L446" t="str">
        <f>[1]raw_orders!L446</f>
        <v>Prime Accessories 482</v>
      </c>
      <c r="M446" t="str">
        <f>IF(TRIM([1]raw_orders!M446)="","Unknown",PROPER(TRIM([1]raw_orders!M446)))</f>
        <v>Same Day</v>
      </c>
      <c r="N446" s="5">
        <f>[1]raw_orders!N446</f>
        <v>9</v>
      </c>
      <c r="O446" s="5">
        <f>[1]raw_orders!O446</f>
        <v>2379.2399999999998</v>
      </c>
      <c r="P446" s="5">
        <f>[1]raw_orders!P446</f>
        <v>0.05</v>
      </c>
      <c r="Q446" t="str">
        <f>PROPER(TRIM([1]raw_orders!T446))</f>
        <v>Paid</v>
      </c>
      <c r="R446" t="str">
        <f>PROPER(TRIM([1]raw_orders!U446))</f>
        <v>Completed</v>
      </c>
      <c r="S446" s="5">
        <f>[1]raw_orders!S446</f>
        <v>7934.99</v>
      </c>
      <c r="T446" s="5">
        <f t="shared" si="48"/>
        <v>79.349899999999991</v>
      </c>
      <c r="U446" s="5">
        <f t="shared" si="49"/>
        <v>-1677718.9446839995</v>
      </c>
      <c r="V446" s="5">
        <f t="shared" si="50"/>
        <v>-1677718.9946839996</v>
      </c>
      <c r="W446" s="5">
        <f t="shared" si="51"/>
        <v>1.0000000298023697</v>
      </c>
      <c r="X446" s="5">
        <f t="shared" si="52"/>
        <v>4</v>
      </c>
      <c r="Y446" s="5">
        <f t="shared" si="53"/>
        <v>8</v>
      </c>
      <c r="Z446" s="5">
        <f t="shared" si="54"/>
        <v>2025</v>
      </c>
      <c r="AA446" t="str">
        <f t="shared" si="55"/>
        <v>Clean</v>
      </c>
    </row>
    <row r="447" spans="1:27" x14ac:dyDescent="0.3">
      <c r="A447" t="str">
        <f>[1]raw_orders!A447</f>
        <v>ORD-2024-10446</v>
      </c>
      <c r="B447" s="4">
        <f>IFERROR(DATEVALUE([1]raw_orders!B447), "Invalid Date")</f>
        <v>45540</v>
      </c>
      <c r="C447" s="4">
        <f>IFERROR(DATEVALUE([1]raw_orders!C447), "Invalid Date")</f>
        <v>45417</v>
      </c>
      <c r="D447" t="str">
        <f>[1]raw_orders!D447</f>
        <v>CUST-1351</v>
      </c>
      <c r="E447" t="str">
        <f>PROPER(TRIM([1]raw_orders!E447))</f>
        <v>Arjun Bose</v>
      </c>
      <c r="F447" t="str">
        <f>PROPER(TRIM([1]raw_orders!F447))</f>
        <v>Consumer</v>
      </c>
      <c r="G447" t="str">
        <f>IF(TRIM([1]raw_orders!G447)="","Unknown",PROPER(TRIM([1]raw_orders!G447)))</f>
        <v>East</v>
      </c>
      <c r="H447" t="str">
        <f>PROPER(TRIM([1]raw_orders!H447))</f>
        <v>Assam</v>
      </c>
      <c r="I447" t="str">
        <f>PROPER(TRIM([1]raw_orders!I447))</f>
        <v>Guwahati</v>
      </c>
      <c r="J447" t="str">
        <f>PROPER(TRIM([1]raw_orders!J447))</f>
        <v>Furniture</v>
      </c>
      <c r="K447" t="str">
        <f>PROPER(TRIM([1]raw_orders!K447))</f>
        <v>Bookcases</v>
      </c>
      <c r="L447" t="str">
        <f>[1]raw_orders!L447</f>
        <v>Eco Bookcases 215</v>
      </c>
      <c r="M447" t="str">
        <f>IF(TRIM([1]raw_orders!M447)="","Unknown",PROPER(TRIM([1]raw_orders!M447)))</f>
        <v>Same Day</v>
      </c>
      <c r="N447" s="5">
        <f>[1]raw_orders!N447</f>
        <v>2</v>
      </c>
      <c r="O447" s="5">
        <f>[1]raw_orders!O447</f>
        <v>2111.23</v>
      </c>
      <c r="P447" s="5">
        <f>[1]raw_orders!P447</f>
        <v>0.2</v>
      </c>
      <c r="Q447" t="str">
        <f>PROPER(TRIM([1]raw_orders!T447))</f>
        <v>Paid</v>
      </c>
      <c r="R447" t="str">
        <f>PROPER(TRIM([1]raw_orders!U447))</f>
        <v>Completed</v>
      </c>
      <c r="S447" s="5">
        <f>[1]raw_orders!S447</f>
        <v>881.68</v>
      </c>
      <c r="T447" s="5">
        <f t="shared" si="48"/>
        <v>8.8167999999999989</v>
      </c>
      <c r="U447" s="5">
        <f t="shared" si="49"/>
        <v>-33006.125327999995</v>
      </c>
      <c r="V447" s="5">
        <f t="shared" si="50"/>
        <v>-33006.325327999992</v>
      </c>
      <c r="W447" s="5">
        <f t="shared" si="51"/>
        <v>1.0000060594813238</v>
      </c>
      <c r="X447" s="5">
        <f t="shared" si="52"/>
        <v>-123</v>
      </c>
      <c r="Y447" s="5">
        <f t="shared" si="53"/>
        <v>9</v>
      </c>
      <c r="Z447" s="5">
        <f t="shared" si="54"/>
        <v>2024</v>
      </c>
      <c r="AA447" t="str">
        <f t="shared" si="55"/>
        <v>Invalid</v>
      </c>
    </row>
    <row r="448" spans="1:27" x14ac:dyDescent="0.3">
      <c r="A448" t="str">
        <f>[1]raw_orders!A448</f>
        <v>ORD-2025-10447</v>
      </c>
      <c r="B448" s="4">
        <f>IFERROR(DATEVALUE([1]raw_orders!B448), "Invalid Date")</f>
        <v>45918</v>
      </c>
      <c r="C448" s="4">
        <f>IFERROR(DATEVALUE([1]raw_orders!C448), "Invalid Date")</f>
        <v>45919</v>
      </c>
      <c r="D448" t="str">
        <f>[1]raw_orders!D448</f>
        <v>CUST-9295</v>
      </c>
      <c r="E448" t="str">
        <f>PROPER(TRIM([1]raw_orders!E448))</f>
        <v>Sneha Kapoor</v>
      </c>
      <c r="F448" t="str">
        <f>PROPER(TRIM([1]raw_orders!F448))</f>
        <v>Home Office</v>
      </c>
      <c r="G448" t="str">
        <f>IF(TRIM([1]raw_orders!G448)="","Unknown",PROPER(TRIM([1]raw_orders!G448)))</f>
        <v>South</v>
      </c>
      <c r="H448" t="str">
        <f>PROPER(TRIM([1]raw_orders!H448))</f>
        <v>Andhra Pradesh</v>
      </c>
      <c r="I448" t="str">
        <f>PROPER(TRIM([1]raw_orders!I448))</f>
        <v>Vijayawada</v>
      </c>
      <c r="J448" t="str">
        <f>PROPER(TRIM([1]raw_orders!J448))</f>
        <v>Office Supplies</v>
      </c>
      <c r="K448" t="str">
        <f>PROPER(TRIM([1]raw_orders!K448))</f>
        <v>Storage</v>
      </c>
      <c r="L448" t="str">
        <f>[1]raw_orders!L448</f>
        <v>Eco Storage 793</v>
      </c>
      <c r="M448" t="str">
        <f>IF(TRIM([1]raw_orders!M448)="","Unknown",PROPER(TRIM([1]raw_orders!M448)))</f>
        <v>Same Day</v>
      </c>
      <c r="N448" s="5">
        <f>[1]raw_orders!N448</f>
        <v>8</v>
      </c>
      <c r="O448" s="5">
        <f>[1]raw_orders!O448</f>
        <v>4242.51</v>
      </c>
      <c r="P448" s="5">
        <f>[1]raw_orders!P448</f>
        <v>0</v>
      </c>
      <c r="Q448" t="str">
        <f>PROPER(TRIM([1]raw_orders!T448))</f>
        <v>Paid</v>
      </c>
      <c r="R448" t="str">
        <f>PROPER(TRIM([1]raw_orders!U448))</f>
        <v>Completed</v>
      </c>
      <c r="S448" s="5">
        <f>[1]raw_orders!S448</f>
        <v>10185.89</v>
      </c>
      <c r="T448" s="5">
        <f t="shared" si="48"/>
        <v>101.85889999999999</v>
      </c>
      <c r="U448" s="5">
        <f t="shared" si="49"/>
        <v>-3423159.1347119999</v>
      </c>
      <c r="V448" s="5">
        <f t="shared" si="50"/>
        <v>-3423159.1347119999</v>
      </c>
      <c r="W448" s="5">
        <f t="shared" si="51"/>
        <v>1</v>
      </c>
      <c r="X448" s="5">
        <f t="shared" si="52"/>
        <v>1</v>
      </c>
      <c r="Y448" s="5">
        <f t="shared" si="53"/>
        <v>9</v>
      </c>
      <c r="Z448" s="5">
        <f t="shared" si="54"/>
        <v>2025</v>
      </c>
      <c r="AA448" t="str">
        <f t="shared" si="55"/>
        <v>Clean</v>
      </c>
    </row>
    <row r="449" spans="1:27" x14ac:dyDescent="0.3">
      <c r="A449" t="str">
        <f>[1]raw_orders!A449</f>
        <v>ORD-2025-10448</v>
      </c>
      <c r="B449" s="4">
        <f>IFERROR(DATEVALUE([1]raw_orders!B449), "Invalid Date")</f>
        <v>45879</v>
      </c>
      <c r="C449" s="4">
        <f>IFERROR(DATEVALUE([1]raw_orders!C449), "Invalid Date")</f>
        <v>45879</v>
      </c>
      <c r="D449" t="str">
        <f>[1]raw_orders!D449</f>
        <v>CUST-3614</v>
      </c>
      <c r="E449" t="str">
        <f>PROPER(TRIM([1]raw_orders!E449))</f>
        <v>Rohan Mehta</v>
      </c>
      <c r="F449" t="str">
        <f>PROPER(TRIM([1]raw_orders!F449))</f>
        <v>Home Office</v>
      </c>
      <c r="G449" t="str">
        <f>IF(TRIM([1]raw_orders!G449)="","Unknown",PROPER(TRIM([1]raw_orders!G449)))</f>
        <v>South</v>
      </c>
      <c r="H449" t="str">
        <f>PROPER(TRIM([1]raw_orders!H449))</f>
        <v>Telangana</v>
      </c>
      <c r="I449" t="str">
        <f>PROPER(TRIM([1]raw_orders!I449))</f>
        <v>Hyderabad</v>
      </c>
      <c r="J449" t="str">
        <f>PROPER(TRIM([1]raw_orders!J449))</f>
        <v>Furniture</v>
      </c>
      <c r="K449" t="str">
        <f>PROPER(TRIM([1]raw_orders!K449))</f>
        <v>Bookcases</v>
      </c>
      <c r="L449" t="str">
        <f>[1]raw_orders!L449</f>
        <v>Basic Bookcases 182</v>
      </c>
      <c r="M449" t="str">
        <f>IF(TRIM([1]raw_orders!M449)="","Unknown",PROPER(TRIM([1]raw_orders!M449)))</f>
        <v>Standard Class</v>
      </c>
      <c r="N449" s="5">
        <f>[1]raw_orders!N449</f>
        <v>6</v>
      </c>
      <c r="O449" s="5">
        <f>[1]raw_orders!O449</f>
        <v>4288.7</v>
      </c>
      <c r="P449" s="5">
        <f>[1]raw_orders!P449</f>
        <v>0.15</v>
      </c>
      <c r="Q449" t="str">
        <f>PROPER(TRIM([1]raw_orders!T449))</f>
        <v>Pending</v>
      </c>
      <c r="R449" t="str">
        <f>PROPER(TRIM([1]raw_orders!U449))</f>
        <v>Returned</v>
      </c>
      <c r="S449" s="5">
        <f>[1]raw_orders!S449</f>
        <v>8042.87</v>
      </c>
      <c r="T449" s="5">
        <f t="shared" si="48"/>
        <v>80.428699999999992</v>
      </c>
      <c r="U449" s="5">
        <f t="shared" si="49"/>
        <v>-2043875.1941399996</v>
      </c>
      <c r="V449" s="5">
        <f t="shared" si="50"/>
        <v>-2043875.3441399995</v>
      </c>
      <c r="W449" s="5">
        <f t="shared" si="51"/>
        <v>1.0000000733899996</v>
      </c>
      <c r="X449" s="5">
        <f t="shared" si="52"/>
        <v>0</v>
      </c>
      <c r="Y449" s="5">
        <f t="shared" si="53"/>
        <v>8</v>
      </c>
      <c r="Z449" s="5">
        <f t="shared" si="54"/>
        <v>2025</v>
      </c>
      <c r="AA449" t="str">
        <f t="shared" si="55"/>
        <v>Clean</v>
      </c>
    </row>
    <row r="450" spans="1:27" x14ac:dyDescent="0.3">
      <c r="A450" t="str">
        <f>[1]raw_orders!A450</f>
        <v>ORD-2024-10449</v>
      </c>
      <c r="B450" s="4" t="str">
        <f>IFERROR(DATEVALUE([1]raw_orders!B450), "Invalid Date")</f>
        <v>Invalid Date</v>
      </c>
      <c r="C450" s="4">
        <f>IFERROR(DATEVALUE([1]raw_orders!C450), "Invalid Date")</f>
        <v>45309</v>
      </c>
      <c r="D450" t="str">
        <f>[1]raw_orders!D450</f>
        <v>CUST-1932</v>
      </c>
      <c r="E450" t="str">
        <f>PROPER(TRIM([1]raw_orders!E450))</f>
        <v>Mira Das</v>
      </c>
      <c r="F450" t="str">
        <f>PROPER(TRIM([1]raw_orders!F450))</f>
        <v>Small Business</v>
      </c>
      <c r="G450" t="str">
        <f>IF(TRIM([1]raw_orders!G450)="","Unknown",PROPER(TRIM([1]raw_orders!G450)))</f>
        <v>South</v>
      </c>
      <c r="H450" t="str">
        <f>PROPER(TRIM([1]raw_orders!H450))</f>
        <v>Andhra Pradesh</v>
      </c>
      <c r="I450" t="str">
        <f>PROPER(TRIM([1]raw_orders!I450))</f>
        <v>Vijayawada</v>
      </c>
      <c r="J450" t="str">
        <f>PROPER(TRIM([1]raw_orders!J450))</f>
        <v>Furniture</v>
      </c>
      <c r="K450" t="str">
        <f>PROPER(TRIM([1]raw_orders!K450))</f>
        <v>Chairs</v>
      </c>
      <c r="L450" t="str">
        <f>[1]raw_orders!L450</f>
        <v>Prime Chairs 631</v>
      </c>
      <c r="M450" t="str">
        <f>IF(TRIM([1]raw_orders!M450)="","Unknown",PROPER(TRIM([1]raw_orders!M450)))</f>
        <v>First Class</v>
      </c>
      <c r="N450" s="5">
        <f>[1]raw_orders!N450</f>
        <v>2</v>
      </c>
      <c r="O450" s="5">
        <f>[1]raw_orders!O450</f>
        <v>201.21</v>
      </c>
      <c r="P450" s="5">
        <f>[1]raw_orders!P450</f>
        <v>0.15</v>
      </c>
      <c r="Q450" t="str">
        <f>PROPER(TRIM([1]raw_orders!T450))</f>
        <v>Paid</v>
      </c>
      <c r="R450" t="str">
        <f>PROPER(TRIM([1]raw_orders!U450))</f>
        <v>Completed</v>
      </c>
      <c r="S450" s="5">
        <f>[1]raw_orders!S450</f>
        <v>97.49</v>
      </c>
      <c r="T450" s="5">
        <f t="shared" si="48"/>
        <v>0.97489999999999999</v>
      </c>
      <c r="U450" s="5">
        <f t="shared" si="49"/>
        <v>10.100742000000006</v>
      </c>
      <c r="V450" s="5">
        <f t="shared" si="50"/>
        <v>9.9507420000000053</v>
      </c>
      <c r="W450" s="5">
        <f t="shared" si="51"/>
        <v>0.98514960584083822</v>
      </c>
      <c r="X450" s="5" t="str">
        <f t="shared" si="52"/>
        <v>Invalid Date</v>
      </c>
      <c r="Y450" s="5" t="e">
        <f t="shared" si="53"/>
        <v>#VALUE!</v>
      </c>
      <c r="Z450" s="5" t="e">
        <f t="shared" si="54"/>
        <v>#VALUE!</v>
      </c>
      <c r="AA450" t="str">
        <f t="shared" si="55"/>
        <v>Clean</v>
      </c>
    </row>
    <row r="451" spans="1:27" x14ac:dyDescent="0.3">
      <c r="A451" t="str">
        <f>[1]raw_orders!A451</f>
        <v>ORD-2024-10450</v>
      </c>
      <c r="B451" s="4">
        <f>IFERROR(DATEVALUE([1]raw_orders!B451), "Invalid Date")</f>
        <v>45449</v>
      </c>
      <c r="C451" s="4">
        <f>IFERROR(DATEVALUE([1]raw_orders!C451), "Invalid Date")</f>
        <v>45456</v>
      </c>
      <c r="D451" t="str">
        <f>[1]raw_orders!D451</f>
        <v>CUST-5094</v>
      </c>
      <c r="E451" t="str">
        <f>PROPER(TRIM([1]raw_orders!E451))</f>
        <v>Aditi Sen</v>
      </c>
      <c r="F451" t="str">
        <f>PROPER(TRIM([1]raw_orders!F451))</f>
        <v>Corporate</v>
      </c>
      <c r="G451" t="str">
        <f>IF(TRIM([1]raw_orders!G451)="","Unknown",PROPER(TRIM([1]raw_orders!G451)))</f>
        <v>East</v>
      </c>
      <c r="H451" t="str">
        <f>PROPER(TRIM([1]raw_orders!H451))</f>
        <v>Assam</v>
      </c>
      <c r="I451" t="str">
        <f>PROPER(TRIM([1]raw_orders!I451))</f>
        <v>Guwahati</v>
      </c>
      <c r="J451" t="str">
        <f>PROPER(TRIM([1]raw_orders!J451))</f>
        <v>Technology</v>
      </c>
      <c r="K451" t="str">
        <f>PROPER(TRIM([1]raw_orders!K451))</f>
        <v>Machines</v>
      </c>
      <c r="L451" t="str">
        <f>[1]raw_orders!L451</f>
        <v>Basic Machines 808</v>
      </c>
      <c r="M451" t="str">
        <f>IF(TRIM([1]raw_orders!M451)="","Unknown",PROPER(TRIM([1]raw_orders!M451)))</f>
        <v>Second Class</v>
      </c>
      <c r="N451" s="5">
        <f>[1]raw_orders!N451</f>
        <v>6</v>
      </c>
      <c r="O451" s="5">
        <f>[1]raw_orders!O451</f>
        <v>3270.36</v>
      </c>
      <c r="P451" s="5">
        <f>[1]raw_orders!P451</f>
        <v>0</v>
      </c>
      <c r="Q451" t="str">
        <f>PROPER(TRIM([1]raw_orders!T451))</f>
        <v>Paid</v>
      </c>
      <c r="R451" t="str">
        <f>PROPER(TRIM([1]raw_orders!U451))</f>
        <v>Completed</v>
      </c>
      <c r="S451" s="5">
        <f>[1]raw_orders!S451</f>
        <v>5350.89</v>
      </c>
      <c r="T451" s="5">
        <f t="shared" ref="T451:T514" si="56">IF(AND(ISNUMBER(S451),S451&gt;=0,S451&lt;=1),S451,IF(S451="",0,IF(S451&lt;0,"INVALID - Negative",IF(S451&gt;1,S451/100,"INVALID"))))</f>
        <v>53.508900000000004</v>
      </c>
      <c r="U451" s="5">
        <f t="shared" ref="U451:U514" si="57">IF(AND(ISNUMBER(N451),ISNUMBER(O451),OR(ISNUMBER(T451),T451=0)),N451*O451*(1-IF(ISNUMBER(T451),T451,0)),"Calculation Error")</f>
        <v>-1030338.0372240001</v>
      </c>
      <c r="V451" s="5">
        <f t="shared" ref="V451:V514" si="58">IF(AND(ISNUMBER(U451),ISNUMBER(P451)),U451-P451,"Calculation Error")</f>
        <v>-1030338.0372240001</v>
      </c>
      <c r="W451" s="5">
        <f t="shared" ref="W451:W514" si="59">IF(AND(ISNUMBER(V451),ISNUMBER(U451),U451&lt;&gt;0),V451/U451,IF(U451=0,"N/A","Calculation Error"))</f>
        <v>1</v>
      </c>
      <c r="X451" s="5">
        <f t="shared" ref="X451:X514" si="60">IF(AND(ISNUMBER(B451),ISNUMBER(C451)),C451-B451,"Invalid Date")</f>
        <v>7</v>
      </c>
      <c r="Y451" s="5">
        <f t="shared" ref="Y451:Y514" si="61">MONTH(B451)</f>
        <v>6</v>
      </c>
      <c r="Z451" s="5">
        <f t="shared" ref="Z451:Z514" si="62">YEAR(B451)</f>
        <v>2024</v>
      </c>
      <c r="AA451" t="str">
        <f t="shared" ref="AA451:AA514" si="63">IF(OR(G451="Unknown",M451="Unknown",T451="INVALID - Negative",T451="INVALID",X451&lt;0,R451="Duplicate ID - Review Required"),IF(OR(T451="INVALID - Negative",T451="INVALID",X451&lt;0,R451="Duplicate ID - Review Required"),"Invalid","Warning"),"Clean")</f>
        <v>Clean</v>
      </c>
    </row>
    <row r="452" spans="1:27" x14ac:dyDescent="0.3">
      <c r="A452" t="str">
        <f>[1]raw_orders!A452</f>
        <v>ORD-2025-10451</v>
      </c>
      <c r="B452" s="4">
        <f>IFERROR(DATEVALUE([1]raw_orders!B452), "Invalid Date")</f>
        <v>45997</v>
      </c>
      <c r="C452" s="4">
        <f>IFERROR(DATEVALUE([1]raw_orders!C452), "Invalid Date")</f>
        <v>45827</v>
      </c>
      <c r="D452" t="str">
        <f>[1]raw_orders!D452</f>
        <v>CUST-8672</v>
      </c>
      <c r="E452" t="str">
        <f>PROPER(TRIM([1]raw_orders!E452))</f>
        <v>Ananya Rao</v>
      </c>
      <c r="F452" t="str">
        <f>PROPER(TRIM([1]raw_orders!F452))</f>
        <v>Corporate</v>
      </c>
      <c r="G452" t="str">
        <f>IF(TRIM([1]raw_orders!G452)="","Unknown",PROPER(TRIM([1]raw_orders!G452)))</f>
        <v>North</v>
      </c>
      <c r="H452" t="str">
        <f>PROPER(TRIM([1]raw_orders!H452))</f>
        <v>Delhi</v>
      </c>
      <c r="I452" t="str">
        <f>PROPER(TRIM([1]raw_orders!I452))</f>
        <v>New Delhi</v>
      </c>
      <c r="J452" t="str">
        <f>PROPER(TRIM([1]raw_orders!J452))</f>
        <v>Furniture</v>
      </c>
      <c r="K452" t="str">
        <f>PROPER(TRIM([1]raw_orders!K452))</f>
        <v>Chairs</v>
      </c>
      <c r="L452" t="str">
        <f>[1]raw_orders!L452</f>
        <v>Pro Chairs 302</v>
      </c>
      <c r="M452" t="str">
        <f>IF(TRIM([1]raw_orders!M452)="","Unknown",PROPER(TRIM([1]raw_orders!M452)))</f>
        <v>Standard Class</v>
      </c>
      <c r="N452" s="5">
        <f>[1]raw_orders!N452</f>
        <v>9</v>
      </c>
      <c r="O452" s="5">
        <f>[1]raw_orders!O452</f>
        <v>2278.5700000000002</v>
      </c>
      <c r="P452" s="5">
        <f>[1]raw_orders!P452</f>
        <v>0.25</v>
      </c>
      <c r="Q452" t="str">
        <f>PROPER(TRIM([1]raw_orders!T452))</f>
        <v>Paid</v>
      </c>
      <c r="R452" t="str">
        <f>PROPER(TRIM([1]raw_orders!U452))</f>
        <v>Completed</v>
      </c>
      <c r="S452" s="5">
        <f>[1]raw_orders!S452</f>
        <v>5472.98</v>
      </c>
      <c r="T452" s="5">
        <f t="shared" si="56"/>
        <v>54.729799999999997</v>
      </c>
      <c r="U452" s="5">
        <f t="shared" si="57"/>
        <v>-1101843.9934739999</v>
      </c>
      <c r="V452" s="5">
        <f t="shared" si="58"/>
        <v>-1101844.2434739999</v>
      </c>
      <c r="W452" s="5">
        <f t="shared" si="59"/>
        <v>1.0000002268923744</v>
      </c>
      <c r="X452" s="5">
        <f t="shared" si="60"/>
        <v>-170</v>
      </c>
      <c r="Y452" s="5">
        <f t="shared" si="61"/>
        <v>12</v>
      </c>
      <c r="Z452" s="5">
        <f t="shared" si="62"/>
        <v>2025</v>
      </c>
      <c r="AA452" t="str">
        <f t="shared" si="63"/>
        <v>Invalid</v>
      </c>
    </row>
    <row r="453" spans="1:27" x14ac:dyDescent="0.3">
      <c r="A453" t="str">
        <f>[1]raw_orders!A453</f>
        <v>ORD-2024-10452</v>
      </c>
      <c r="B453" s="4">
        <f>IFERROR(DATEVALUE([1]raw_orders!B453), "Invalid Date")</f>
        <v>45375</v>
      </c>
      <c r="C453" s="4">
        <f>IFERROR(DATEVALUE([1]raw_orders!C453), "Invalid Date")</f>
        <v>45377</v>
      </c>
      <c r="D453" t="str">
        <f>[1]raw_orders!D453</f>
        <v>CUST-3907</v>
      </c>
      <c r="E453" t="str">
        <f>PROPER(TRIM([1]raw_orders!E453))</f>
        <v>Rohan Mehta</v>
      </c>
      <c r="F453" t="str">
        <f>PROPER(TRIM([1]raw_orders!F453))</f>
        <v>Small Business</v>
      </c>
      <c r="G453" t="str">
        <f>IF(TRIM([1]raw_orders!G453)="","Unknown",PROPER(TRIM([1]raw_orders!G453)))</f>
        <v>North</v>
      </c>
      <c r="H453" t="str">
        <f>PROPER(TRIM([1]raw_orders!H453))</f>
        <v>Haryana</v>
      </c>
      <c r="I453" t="str">
        <f>PROPER(TRIM([1]raw_orders!I453))</f>
        <v>Gurugram</v>
      </c>
      <c r="J453" t="str">
        <f>PROPER(TRIM([1]raw_orders!J453))</f>
        <v>Office Supplies</v>
      </c>
      <c r="K453" t="str">
        <f>PROPER(TRIM([1]raw_orders!K453))</f>
        <v>Paper</v>
      </c>
      <c r="L453" t="str">
        <f>[1]raw_orders!L453</f>
        <v>Classic Paper 272</v>
      </c>
      <c r="M453" t="str">
        <f>IF(TRIM([1]raw_orders!M453)="","Unknown",PROPER(TRIM([1]raw_orders!M453)))</f>
        <v>Second Class</v>
      </c>
      <c r="N453" s="5">
        <f>[1]raw_orders!N453</f>
        <v>8</v>
      </c>
      <c r="O453" s="5">
        <f>[1]raw_orders!O453</f>
        <v>1917.64</v>
      </c>
      <c r="P453" s="5">
        <f>[1]raw_orders!P453</f>
        <v>0.15</v>
      </c>
      <c r="Q453" t="str">
        <f>PROPER(TRIM([1]raw_orders!T453))</f>
        <v>Paid</v>
      </c>
      <c r="R453" t="str">
        <f>PROPER(TRIM([1]raw_orders!U453))</f>
        <v>Cancelled</v>
      </c>
      <c r="S453" s="5">
        <f>[1]raw_orders!S453</f>
        <v>1912.13</v>
      </c>
      <c r="T453" s="5">
        <f t="shared" si="56"/>
        <v>19.121300000000002</v>
      </c>
      <c r="U453" s="5">
        <f t="shared" si="57"/>
        <v>-278001.03785600001</v>
      </c>
      <c r="V453" s="5">
        <f t="shared" si="58"/>
        <v>-278001.18785600003</v>
      </c>
      <c r="W453" s="5">
        <f t="shared" si="59"/>
        <v>1.0000005395663309</v>
      </c>
      <c r="X453" s="5">
        <f t="shared" si="60"/>
        <v>2</v>
      </c>
      <c r="Y453" s="5">
        <f t="shared" si="61"/>
        <v>3</v>
      </c>
      <c r="Z453" s="5">
        <f t="shared" si="62"/>
        <v>2024</v>
      </c>
      <c r="AA453" t="str">
        <f t="shared" si="63"/>
        <v>Clean</v>
      </c>
    </row>
    <row r="454" spans="1:27" x14ac:dyDescent="0.3">
      <c r="A454" t="str">
        <f>[1]raw_orders!A454</f>
        <v>ORD-2024-10453</v>
      </c>
      <c r="B454" s="4">
        <f>IFERROR(DATEVALUE([1]raw_orders!B454), "Invalid Date")</f>
        <v>45422</v>
      </c>
      <c r="C454" s="4">
        <f>IFERROR(DATEVALUE([1]raw_orders!C454), "Invalid Date")</f>
        <v>45428</v>
      </c>
      <c r="D454" t="str">
        <f>[1]raw_orders!D454</f>
        <v>CUST-8796</v>
      </c>
      <c r="E454" t="str">
        <f>PROPER(TRIM([1]raw_orders!E454))</f>
        <v>Diya Patel</v>
      </c>
      <c r="F454" t="str">
        <f>PROPER(TRIM([1]raw_orders!F454))</f>
        <v>Home Office</v>
      </c>
      <c r="G454" t="str">
        <f>IF(TRIM([1]raw_orders!G454)="","Unknown",PROPER(TRIM([1]raw_orders!G454)))</f>
        <v>East</v>
      </c>
      <c r="H454" t="str">
        <f>PROPER(TRIM([1]raw_orders!H454))</f>
        <v>Jharkhand</v>
      </c>
      <c r="I454" t="str">
        <f>PROPER(TRIM([1]raw_orders!I454))</f>
        <v>Ranchi</v>
      </c>
      <c r="J454" t="str">
        <f>PROPER(TRIM([1]raw_orders!J454))</f>
        <v>Technology</v>
      </c>
      <c r="K454" t="str">
        <f>PROPER(TRIM([1]raw_orders!K454))</f>
        <v>Accessories</v>
      </c>
      <c r="L454" t="str">
        <f>[1]raw_orders!L454</f>
        <v>Smart Accessories 149</v>
      </c>
      <c r="M454" t="str">
        <f>IF(TRIM([1]raw_orders!M454)="","Unknown",PROPER(TRIM([1]raw_orders!M454)))</f>
        <v>Second Class</v>
      </c>
      <c r="N454" s="5">
        <f>[1]raw_orders!N454</f>
        <v>6</v>
      </c>
      <c r="O454" s="5">
        <f>[1]raw_orders!O454</f>
        <v>2013.33</v>
      </c>
      <c r="P454" s="5">
        <f>[1]raw_orders!P454</f>
        <v>0.2</v>
      </c>
      <c r="Q454" t="str">
        <f>PROPER(TRIM([1]raw_orders!T454))</f>
        <v>Paid</v>
      </c>
      <c r="R454" t="str">
        <f>PROPER(TRIM([1]raw_orders!U454))</f>
        <v>Completed</v>
      </c>
      <c r="S454" s="5">
        <f>[1]raw_orders!S454</f>
        <v>4035.05</v>
      </c>
      <c r="T454" s="5">
        <f t="shared" si="56"/>
        <v>40.350500000000004</v>
      </c>
      <c r="U454" s="5">
        <f t="shared" si="57"/>
        <v>-475353.25299000001</v>
      </c>
      <c r="V454" s="5">
        <f t="shared" si="58"/>
        <v>-475353.45299000002</v>
      </c>
      <c r="W454" s="5">
        <f t="shared" si="59"/>
        <v>1.0000004207397315</v>
      </c>
      <c r="X454" s="5">
        <f t="shared" si="60"/>
        <v>6</v>
      </c>
      <c r="Y454" s="5">
        <f t="shared" si="61"/>
        <v>5</v>
      </c>
      <c r="Z454" s="5">
        <f t="shared" si="62"/>
        <v>2024</v>
      </c>
      <c r="AA454" t="str">
        <f t="shared" si="63"/>
        <v>Clean</v>
      </c>
    </row>
    <row r="455" spans="1:27" x14ac:dyDescent="0.3">
      <c r="A455" t="str">
        <f>[1]raw_orders!A455</f>
        <v>ORD-2025-10454</v>
      </c>
      <c r="B455" s="4">
        <f>IFERROR(DATEVALUE([1]raw_orders!B455), "Invalid Date")</f>
        <v>45721</v>
      </c>
      <c r="C455" s="4">
        <f>IFERROR(DATEVALUE([1]raw_orders!C455), "Invalid Date")</f>
        <v>45788</v>
      </c>
      <c r="D455" t="str">
        <f>[1]raw_orders!D455</f>
        <v>CUST-2317</v>
      </c>
      <c r="E455" t="str">
        <f>PROPER(TRIM([1]raw_orders!E455))</f>
        <v>Rohan Mehta</v>
      </c>
      <c r="F455" t="str">
        <f>PROPER(TRIM([1]raw_orders!F455))</f>
        <v>Small Business</v>
      </c>
      <c r="G455" t="str">
        <f>IF(TRIM([1]raw_orders!G455)="","Unknown",PROPER(TRIM([1]raw_orders!G455)))</f>
        <v>West</v>
      </c>
      <c r="H455" t="str">
        <f>PROPER(TRIM([1]raw_orders!H455))</f>
        <v>Madhya Pradesh</v>
      </c>
      <c r="I455" t="str">
        <f>PROPER(TRIM([1]raw_orders!I455))</f>
        <v>Indore</v>
      </c>
      <c r="J455" t="str">
        <f>PROPER(TRIM([1]raw_orders!J455))</f>
        <v>Office Supplies</v>
      </c>
      <c r="K455" t="str">
        <f>PROPER(TRIM([1]raw_orders!K455))</f>
        <v>Labels</v>
      </c>
      <c r="L455" t="str">
        <f>[1]raw_orders!L455</f>
        <v>Elite Labels 322</v>
      </c>
      <c r="M455" t="str">
        <f>IF(TRIM([1]raw_orders!M455)="","Unknown",PROPER(TRIM([1]raw_orders!M455)))</f>
        <v>Same Day</v>
      </c>
      <c r="N455" s="5">
        <f>[1]raw_orders!N455</f>
        <v>5</v>
      </c>
      <c r="O455" s="5">
        <f>[1]raw_orders!O455</f>
        <v>1483.52</v>
      </c>
      <c r="P455" s="5">
        <f>[1]raw_orders!P455</f>
        <v>0</v>
      </c>
      <c r="Q455" t="str">
        <f>PROPER(TRIM([1]raw_orders!T455))</f>
        <v>Paid</v>
      </c>
      <c r="R455" t="str">
        <f>PROPER(TRIM([1]raw_orders!U455))</f>
        <v>Completed</v>
      </c>
      <c r="S455" s="5">
        <f>[1]raw_orders!S455</f>
        <v>2461.7399999999998</v>
      </c>
      <c r="T455" s="5">
        <f t="shared" si="56"/>
        <v>24.617399999999996</v>
      </c>
      <c r="U455" s="5">
        <f t="shared" si="57"/>
        <v>-175184.42623999997</v>
      </c>
      <c r="V455" s="5">
        <f t="shared" si="58"/>
        <v>-175184.42623999997</v>
      </c>
      <c r="W455" s="5">
        <f t="shared" si="59"/>
        <v>1</v>
      </c>
      <c r="X455" s="5">
        <f t="shared" si="60"/>
        <v>67</v>
      </c>
      <c r="Y455" s="5">
        <f t="shared" si="61"/>
        <v>3</v>
      </c>
      <c r="Z455" s="5">
        <f t="shared" si="62"/>
        <v>2025</v>
      </c>
      <c r="AA455" t="str">
        <f t="shared" si="63"/>
        <v>Clean</v>
      </c>
    </row>
    <row r="456" spans="1:27" x14ac:dyDescent="0.3">
      <c r="A456" t="str">
        <f>[1]raw_orders!A456</f>
        <v>ORD-2025-10455</v>
      </c>
      <c r="B456" s="4">
        <f>IFERROR(DATEVALUE([1]raw_orders!B456), "Invalid Date")</f>
        <v>45739</v>
      </c>
      <c r="C456" s="4">
        <f>IFERROR(DATEVALUE([1]raw_orders!C456), "Invalid Date")</f>
        <v>45744</v>
      </c>
      <c r="D456" t="str">
        <f>[1]raw_orders!D456</f>
        <v>CUST-8643</v>
      </c>
      <c r="E456" t="str">
        <f>PROPER(TRIM([1]raw_orders!E456))</f>
        <v>Vikram Iyer</v>
      </c>
      <c r="F456" t="str">
        <f>PROPER(TRIM([1]raw_orders!F456))</f>
        <v>Small Business</v>
      </c>
      <c r="G456" t="str">
        <f>IF(TRIM([1]raw_orders!G456)="","Unknown",PROPER(TRIM([1]raw_orders!G456)))</f>
        <v>North</v>
      </c>
      <c r="H456" t="str">
        <f>PROPER(TRIM([1]raw_orders!H456))</f>
        <v>Rajasthan</v>
      </c>
      <c r="I456" t="str">
        <f>PROPER(TRIM([1]raw_orders!I456))</f>
        <v>Jaipur</v>
      </c>
      <c r="J456" t="str">
        <f>PROPER(TRIM([1]raw_orders!J456))</f>
        <v>Furniture</v>
      </c>
      <c r="K456" t="str">
        <f>PROPER(TRIM([1]raw_orders!K456))</f>
        <v>Furnishings</v>
      </c>
      <c r="L456" t="str">
        <f>[1]raw_orders!L456</f>
        <v>Max Furnishings 821</v>
      </c>
      <c r="M456" t="str">
        <f>IF(TRIM([1]raw_orders!M456)="","Unknown",PROPER(TRIM([1]raw_orders!M456)))</f>
        <v>Standard Class</v>
      </c>
      <c r="N456" s="5">
        <f>[1]raw_orders!N456</f>
        <v>9</v>
      </c>
      <c r="O456" s="5">
        <f>[1]raw_orders!O456</f>
        <v>3298</v>
      </c>
      <c r="P456" s="5">
        <f>[1]raw_orders!P456</f>
        <v>0.15</v>
      </c>
      <c r="Q456" t="str">
        <f>PROPER(TRIM([1]raw_orders!T456))</f>
        <v>Paid</v>
      </c>
      <c r="R456" t="str">
        <f>PROPER(TRIM([1]raw_orders!U456))</f>
        <v>Completed</v>
      </c>
      <c r="S456" s="5">
        <f>[1]raw_orders!S456</f>
        <v>5059.2700000000004</v>
      </c>
      <c r="T456" s="5">
        <f t="shared" si="56"/>
        <v>50.592700000000008</v>
      </c>
      <c r="U456" s="5">
        <f t="shared" si="57"/>
        <v>-1472010.5214000002</v>
      </c>
      <c r="V456" s="5">
        <f t="shared" si="58"/>
        <v>-1472010.6714000001</v>
      </c>
      <c r="W456" s="5">
        <f t="shared" si="59"/>
        <v>1.0000001019014455</v>
      </c>
      <c r="X456" s="5">
        <f t="shared" si="60"/>
        <v>5</v>
      </c>
      <c r="Y456" s="5">
        <f t="shared" si="61"/>
        <v>3</v>
      </c>
      <c r="Z456" s="5">
        <f t="shared" si="62"/>
        <v>2025</v>
      </c>
      <c r="AA456" t="str">
        <f t="shared" si="63"/>
        <v>Clean</v>
      </c>
    </row>
    <row r="457" spans="1:27" x14ac:dyDescent="0.3">
      <c r="A457" t="str">
        <f>[1]raw_orders!A457</f>
        <v>ORD-2024-10456</v>
      </c>
      <c r="B457" s="4">
        <f>IFERROR(DATEVALUE([1]raw_orders!B457), "Invalid Date")</f>
        <v>45491</v>
      </c>
      <c r="C457" s="4">
        <f>IFERROR(DATEVALUE([1]raw_orders!C457), "Invalid Date")</f>
        <v>45495</v>
      </c>
      <c r="D457" t="str">
        <f>[1]raw_orders!D457</f>
        <v>CUST-1800</v>
      </c>
      <c r="E457" t="str">
        <f>PROPER(TRIM([1]raw_orders!E457))</f>
        <v>Neha Gupta</v>
      </c>
      <c r="F457" t="str">
        <f>PROPER(TRIM([1]raw_orders!F457))</f>
        <v>Small Business</v>
      </c>
      <c r="G457" t="str">
        <f>IF(TRIM([1]raw_orders!G457)="","Unknown",PROPER(TRIM([1]raw_orders!G457)))</f>
        <v>South</v>
      </c>
      <c r="H457" t="str">
        <f>PROPER(TRIM([1]raw_orders!H457))</f>
        <v>Telangana</v>
      </c>
      <c r="I457" t="str">
        <f>PROPER(TRIM([1]raw_orders!I457))</f>
        <v>Hyderabad</v>
      </c>
      <c r="J457" t="str">
        <f>PROPER(TRIM([1]raw_orders!J457))</f>
        <v>Office Supplies</v>
      </c>
      <c r="K457" t="str">
        <f>PROPER(TRIM([1]raw_orders!K457))</f>
        <v>Art</v>
      </c>
      <c r="L457" t="str">
        <f>[1]raw_orders!L457</f>
        <v>Basic Art 556</v>
      </c>
      <c r="M457" t="str">
        <f>IF(TRIM([1]raw_orders!M457)="","Unknown",PROPER(TRIM([1]raw_orders!M457)))</f>
        <v>Standard Class</v>
      </c>
      <c r="N457" s="5">
        <f>[1]raw_orders!N457</f>
        <v>4</v>
      </c>
      <c r="O457" s="5">
        <f>[1]raw_orders!O457</f>
        <v>808.77</v>
      </c>
      <c r="P457" s="5">
        <f>[1]raw_orders!P457</f>
        <v>0</v>
      </c>
      <c r="Q457" t="str">
        <f>PROPER(TRIM([1]raw_orders!T457))</f>
        <v>Paid</v>
      </c>
      <c r="R457" t="str">
        <f>PROPER(TRIM([1]raw_orders!U457))</f>
        <v>Completed</v>
      </c>
      <c r="S457" s="5">
        <f>[1]raw_orders!S457</f>
        <v>1386.48</v>
      </c>
      <c r="T457" s="5">
        <f t="shared" si="56"/>
        <v>13.864800000000001</v>
      </c>
      <c r="U457" s="5">
        <f t="shared" si="57"/>
        <v>-41618.657184000003</v>
      </c>
      <c r="V457" s="5">
        <f t="shared" si="58"/>
        <v>-41618.657184000003</v>
      </c>
      <c r="W457" s="5">
        <f t="shared" si="59"/>
        <v>1</v>
      </c>
      <c r="X457" s="5">
        <f t="shared" si="60"/>
        <v>4</v>
      </c>
      <c r="Y457" s="5">
        <f t="shared" si="61"/>
        <v>7</v>
      </c>
      <c r="Z457" s="5">
        <f t="shared" si="62"/>
        <v>2024</v>
      </c>
      <c r="AA457" t="str">
        <f t="shared" si="63"/>
        <v>Clean</v>
      </c>
    </row>
    <row r="458" spans="1:27" x14ac:dyDescent="0.3">
      <c r="A458" t="str">
        <f>[1]raw_orders!A458</f>
        <v>ORD-2024-10457</v>
      </c>
      <c r="B458" s="4">
        <f>IFERROR(DATEVALUE([1]raw_orders!B458), "Invalid Date")</f>
        <v>45342</v>
      </c>
      <c r="C458" s="4">
        <f>IFERROR(DATEVALUE([1]raw_orders!C458), "Invalid Date")</f>
        <v>45342</v>
      </c>
      <c r="D458" t="str">
        <f>[1]raw_orders!D458</f>
        <v>CUST-7688</v>
      </c>
      <c r="E458" t="str">
        <f>PROPER(TRIM([1]raw_orders!E458))</f>
        <v>Neha Gupta</v>
      </c>
      <c r="F458" t="str">
        <f>PROPER(TRIM([1]raw_orders!F458))</f>
        <v>Corporate</v>
      </c>
      <c r="G458" t="str">
        <f>IF(TRIM([1]raw_orders!G458)="","Unknown",PROPER(TRIM([1]raw_orders!G458)))</f>
        <v>North</v>
      </c>
      <c r="H458" t="str">
        <f>PROPER(TRIM([1]raw_orders!H458))</f>
        <v>Uttar Pradesh</v>
      </c>
      <c r="I458" t="str">
        <f>PROPER(TRIM([1]raw_orders!I458))</f>
        <v>Noida</v>
      </c>
      <c r="J458" t="str">
        <f>PROPER(TRIM([1]raw_orders!J458))</f>
        <v>Technology</v>
      </c>
      <c r="K458" t="str">
        <f>PROPER(TRIM([1]raw_orders!K458))</f>
        <v>Accessories</v>
      </c>
      <c r="L458" t="str">
        <f>[1]raw_orders!L458</f>
        <v>Smart Accessories 265</v>
      </c>
      <c r="M458" t="str">
        <f>IF(TRIM([1]raw_orders!M458)="","Unknown",PROPER(TRIM([1]raw_orders!M458)))</f>
        <v>Same Day</v>
      </c>
      <c r="N458" s="5">
        <f>[1]raw_orders!N458</f>
        <v>5</v>
      </c>
      <c r="O458" s="5">
        <f>[1]raw_orders!O458</f>
        <v>2604.91</v>
      </c>
      <c r="P458" s="5">
        <f>[1]raw_orders!P458</f>
        <v>0.15</v>
      </c>
      <c r="Q458" t="str">
        <f>PROPER(TRIM([1]raw_orders!T458))</f>
        <v>Paid</v>
      </c>
      <c r="R458" t="str">
        <f>PROPER(TRIM([1]raw_orders!U458))</f>
        <v>Returned</v>
      </c>
      <c r="S458" s="5">
        <f>[1]raw_orders!S458</f>
        <v>4447.26</v>
      </c>
      <c r="T458" s="5">
        <f t="shared" si="56"/>
        <v>44.4726</v>
      </c>
      <c r="U458" s="5">
        <f t="shared" si="57"/>
        <v>-566211.05232999998</v>
      </c>
      <c r="V458" s="5">
        <f t="shared" si="58"/>
        <v>-566211.20233</v>
      </c>
      <c r="W458" s="5">
        <f t="shared" si="59"/>
        <v>1.0000002649188839</v>
      </c>
      <c r="X458" s="5">
        <f t="shared" si="60"/>
        <v>0</v>
      </c>
      <c r="Y458" s="5">
        <f t="shared" si="61"/>
        <v>2</v>
      </c>
      <c r="Z458" s="5">
        <f t="shared" si="62"/>
        <v>2024</v>
      </c>
      <c r="AA458" t="str">
        <f t="shared" si="63"/>
        <v>Clean</v>
      </c>
    </row>
    <row r="459" spans="1:27" x14ac:dyDescent="0.3">
      <c r="A459" t="str">
        <f>[1]raw_orders!A459</f>
        <v>ORD-2024-10458</v>
      </c>
      <c r="B459" s="4">
        <f>IFERROR(DATEVALUE([1]raw_orders!B459), "Invalid Date")</f>
        <v>45387</v>
      </c>
      <c r="C459" s="4">
        <f>IFERROR(DATEVALUE([1]raw_orders!C459), "Invalid Date")</f>
        <v>45416</v>
      </c>
      <c r="D459" t="str">
        <f>[1]raw_orders!D459</f>
        <v>CUST-4957</v>
      </c>
      <c r="E459" t="str">
        <f>PROPER(TRIM([1]raw_orders!E459))</f>
        <v>Mira Das</v>
      </c>
      <c r="F459" t="str">
        <f>PROPER(TRIM([1]raw_orders!F459))</f>
        <v>Small Business</v>
      </c>
      <c r="G459" t="str">
        <f>IF(TRIM([1]raw_orders!G459)="","Unknown",PROPER(TRIM([1]raw_orders!G459)))</f>
        <v>West</v>
      </c>
      <c r="H459" t="str">
        <f>PROPER(TRIM([1]raw_orders!H459))</f>
        <v>Goa</v>
      </c>
      <c r="I459" t="str">
        <f>PROPER(TRIM([1]raw_orders!I459))</f>
        <v>Panaji</v>
      </c>
      <c r="J459" t="str">
        <f>PROPER(TRIM([1]raw_orders!J459))</f>
        <v>Furniture</v>
      </c>
      <c r="K459" t="str">
        <f>PROPER(TRIM([1]raw_orders!K459))</f>
        <v>Tables</v>
      </c>
      <c r="L459" t="str">
        <f>[1]raw_orders!L459</f>
        <v>Elite Tables 418</v>
      </c>
      <c r="M459" t="str">
        <f>IF(TRIM([1]raw_orders!M459)="","Unknown",PROPER(TRIM([1]raw_orders!M459)))</f>
        <v>Standard Class</v>
      </c>
      <c r="N459" s="5">
        <f>[1]raw_orders!N459</f>
        <v>7</v>
      </c>
      <c r="O459" s="5">
        <f>[1]raw_orders!O459</f>
        <v>2851.51</v>
      </c>
      <c r="P459" s="5">
        <f>[1]raw_orders!P459</f>
        <v>0</v>
      </c>
      <c r="Q459" t="str">
        <f>PROPER(TRIM([1]raw_orders!T459))</f>
        <v>Paid</v>
      </c>
      <c r="R459" t="str">
        <f>PROPER(TRIM([1]raw_orders!U459))</f>
        <v>Completed</v>
      </c>
      <c r="S459" s="5">
        <f>[1]raw_orders!S459</f>
        <v>3356.97</v>
      </c>
      <c r="T459" s="5">
        <f t="shared" si="56"/>
        <v>33.569699999999997</v>
      </c>
      <c r="U459" s="5">
        <f t="shared" si="57"/>
        <v>-650109.77672899992</v>
      </c>
      <c r="V459" s="5">
        <f t="shared" si="58"/>
        <v>-650109.77672899992</v>
      </c>
      <c r="W459" s="5">
        <f t="shared" si="59"/>
        <v>1</v>
      </c>
      <c r="X459" s="5">
        <f t="shared" si="60"/>
        <v>29</v>
      </c>
      <c r="Y459" s="5">
        <f t="shared" si="61"/>
        <v>4</v>
      </c>
      <c r="Z459" s="5">
        <f t="shared" si="62"/>
        <v>2024</v>
      </c>
      <c r="AA459" t="str">
        <f t="shared" si="63"/>
        <v>Clean</v>
      </c>
    </row>
    <row r="460" spans="1:27" x14ac:dyDescent="0.3">
      <c r="A460" t="str">
        <f>[1]raw_orders!A460</f>
        <v>ORD-2024-10459</v>
      </c>
      <c r="B460" s="4">
        <f>IFERROR(DATEVALUE([1]raw_orders!B460), "Invalid Date")</f>
        <v>45332</v>
      </c>
      <c r="C460" s="4">
        <f>IFERROR(DATEVALUE([1]raw_orders!C460), "Invalid Date")</f>
        <v>45598</v>
      </c>
      <c r="D460" t="str">
        <f>[1]raw_orders!D460</f>
        <v>CUST-1263</v>
      </c>
      <c r="E460" t="str">
        <f>PROPER(TRIM([1]raw_orders!E460))</f>
        <v>Karan Malhotra</v>
      </c>
      <c r="F460" t="str">
        <f>PROPER(TRIM([1]raw_orders!F460))</f>
        <v>Corporate</v>
      </c>
      <c r="G460" t="str">
        <f>IF(TRIM([1]raw_orders!G460)="","Unknown",PROPER(TRIM([1]raw_orders!G460)))</f>
        <v>North</v>
      </c>
      <c r="H460" t="str">
        <f>PROPER(TRIM([1]raw_orders!H460))</f>
        <v>Rajasthan</v>
      </c>
      <c r="I460" t="str">
        <f>PROPER(TRIM([1]raw_orders!I460))</f>
        <v>Jaipur</v>
      </c>
      <c r="J460" t="str">
        <f>PROPER(TRIM([1]raw_orders!J460))</f>
        <v>Technology</v>
      </c>
      <c r="K460" t="str">
        <f>PROPER(TRIM([1]raw_orders!K460))</f>
        <v>Phones</v>
      </c>
      <c r="L460" t="str">
        <f>[1]raw_orders!L460</f>
        <v>Pro Phones 907</v>
      </c>
      <c r="M460" t="str">
        <f>IF(TRIM([1]raw_orders!M460)="","Unknown",PROPER(TRIM([1]raw_orders!M460)))</f>
        <v>Second Class</v>
      </c>
      <c r="N460" s="5">
        <f>[1]raw_orders!N460</f>
        <v>3</v>
      </c>
      <c r="O460" s="5">
        <f>[1]raw_orders!O460</f>
        <v>3183.72</v>
      </c>
      <c r="P460" s="5">
        <f>[1]raw_orders!P460</f>
        <v>0.1</v>
      </c>
      <c r="Q460" t="str">
        <f>PROPER(TRIM([1]raw_orders!T460))</f>
        <v>Paid</v>
      </c>
      <c r="R460" t="str">
        <f>PROPER(TRIM([1]raw_orders!U460))</f>
        <v>Completed</v>
      </c>
      <c r="S460" s="5">
        <f>[1]raw_orders!S460</f>
        <v>3217.88</v>
      </c>
      <c r="T460" s="5">
        <f t="shared" si="56"/>
        <v>32.178800000000003</v>
      </c>
      <c r="U460" s="5">
        <f t="shared" si="57"/>
        <v>-297793.70740800002</v>
      </c>
      <c r="V460" s="5">
        <f t="shared" si="58"/>
        <v>-297793.80740799999</v>
      </c>
      <c r="W460" s="5">
        <f t="shared" si="59"/>
        <v>1.0000003358029317</v>
      </c>
      <c r="X460" s="5">
        <f t="shared" si="60"/>
        <v>266</v>
      </c>
      <c r="Y460" s="5">
        <f t="shared" si="61"/>
        <v>2</v>
      </c>
      <c r="Z460" s="5">
        <f t="shared" si="62"/>
        <v>2024</v>
      </c>
      <c r="AA460" t="str">
        <f t="shared" si="63"/>
        <v>Clean</v>
      </c>
    </row>
    <row r="461" spans="1:27" x14ac:dyDescent="0.3">
      <c r="A461" t="str">
        <f>[1]raw_orders!A461</f>
        <v>ORD-2024-10460</v>
      </c>
      <c r="B461" s="4" t="str">
        <f>IFERROR(DATEVALUE([1]raw_orders!B461), "Invalid Date")</f>
        <v>Invalid Date</v>
      </c>
      <c r="C461" s="4">
        <f>IFERROR(DATEVALUE([1]raw_orders!C461), "Invalid Date")</f>
        <v>45386</v>
      </c>
      <c r="D461" t="str">
        <f>[1]raw_orders!D461</f>
        <v>CUST-4745</v>
      </c>
      <c r="E461" t="str">
        <f>PROPER(TRIM([1]raw_orders!E461))</f>
        <v>Ananya Rao</v>
      </c>
      <c r="F461" t="str">
        <f>PROPER(TRIM([1]raw_orders!F461))</f>
        <v>Home Office</v>
      </c>
      <c r="G461" t="str">
        <f>IF(TRIM([1]raw_orders!G461)="","Unknown",PROPER(TRIM([1]raw_orders!G461)))</f>
        <v>West</v>
      </c>
      <c r="H461" t="str">
        <f>PROPER(TRIM([1]raw_orders!H461))</f>
        <v>Goa</v>
      </c>
      <c r="I461" t="str">
        <f>PROPER(TRIM([1]raw_orders!I461))</f>
        <v>Panaji</v>
      </c>
      <c r="J461" t="str">
        <f>PROPER(TRIM([1]raw_orders!J461))</f>
        <v>Office Supplies</v>
      </c>
      <c r="K461" t="str">
        <f>PROPER(TRIM([1]raw_orders!K461))</f>
        <v>Paper</v>
      </c>
      <c r="L461" t="str">
        <f>[1]raw_orders!L461</f>
        <v>Basic Paper 233</v>
      </c>
      <c r="M461" t="str">
        <f>IF(TRIM([1]raw_orders!M461)="","Unknown",PROPER(TRIM([1]raw_orders!M461)))</f>
        <v>First Class</v>
      </c>
      <c r="N461" s="5">
        <f>[1]raw_orders!N461</f>
        <v>3</v>
      </c>
      <c r="O461" s="5">
        <f>[1]raw_orders!O461</f>
        <v>1150.92</v>
      </c>
      <c r="P461" s="5">
        <f>[1]raw_orders!P461</f>
        <v>0</v>
      </c>
      <c r="Q461" t="str">
        <f>PROPER(TRIM([1]raw_orders!T461))</f>
        <v>Paid</v>
      </c>
      <c r="R461" t="str">
        <f>PROPER(TRIM([1]raw_orders!U461))</f>
        <v>Completed</v>
      </c>
      <c r="S461" s="5">
        <f>[1]raw_orders!S461</f>
        <v>1374.8</v>
      </c>
      <c r="T461" s="5">
        <f t="shared" si="56"/>
        <v>13.747999999999999</v>
      </c>
      <c r="U461" s="5">
        <f t="shared" si="57"/>
        <v>-44015.784480000002</v>
      </c>
      <c r="V461" s="5">
        <f t="shared" si="58"/>
        <v>-44015.784480000002</v>
      </c>
      <c r="W461" s="5">
        <f t="shared" si="59"/>
        <v>1</v>
      </c>
      <c r="X461" s="5" t="str">
        <f t="shared" si="60"/>
        <v>Invalid Date</v>
      </c>
      <c r="Y461" s="5" t="e">
        <f t="shared" si="61"/>
        <v>#VALUE!</v>
      </c>
      <c r="Z461" s="5" t="e">
        <f t="shared" si="62"/>
        <v>#VALUE!</v>
      </c>
      <c r="AA461" t="str">
        <f t="shared" si="63"/>
        <v>Clean</v>
      </c>
    </row>
    <row r="462" spans="1:27" x14ac:dyDescent="0.3">
      <c r="A462" t="str">
        <f>[1]raw_orders!A462</f>
        <v>ORD-2025-10461</v>
      </c>
      <c r="B462" s="4">
        <f>IFERROR(DATEVALUE([1]raw_orders!B462), "Invalid Date")</f>
        <v>45930</v>
      </c>
      <c r="C462" s="4">
        <f>IFERROR(DATEVALUE([1]raw_orders!C462), "Invalid Date")</f>
        <v>45936</v>
      </c>
      <c r="D462" t="str">
        <f>[1]raw_orders!D462</f>
        <v>CUST-5551</v>
      </c>
      <c r="E462" t="str">
        <f>PROPER(TRIM([1]raw_orders!E462))</f>
        <v>Aarav Sharma</v>
      </c>
      <c r="F462" t="str">
        <f>PROPER(TRIM([1]raw_orders!F462))</f>
        <v>Corporate</v>
      </c>
      <c r="G462" t="str">
        <f>IF(TRIM([1]raw_orders!G462)="","Unknown",PROPER(TRIM([1]raw_orders!G462)))</f>
        <v>Unknown</v>
      </c>
      <c r="H462" t="str">
        <f>PROPER(TRIM([1]raw_orders!H462))</f>
        <v>Rajasthan</v>
      </c>
      <c r="I462" t="str">
        <f>PROPER(TRIM([1]raw_orders!I462))</f>
        <v>Jaipur</v>
      </c>
      <c r="J462" t="str">
        <f>PROPER(TRIM([1]raw_orders!J462))</f>
        <v>Technology</v>
      </c>
      <c r="K462" t="str">
        <f>PROPER(TRIM([1]raw_orders!K462))</f>
        <v>Copiers</v>
      </c>
      <c r="L462" t="str">
        <f>[1]raw_orders!L462</f>
        <v>Eco Copiers 603</v>
      </c>
      <c r="M462" t="str">
        <f>IF(TRIM([1]raw_orders!M462)="","Unknown",PROPER(TRIM([1]raw_orders!M462)))</f>
        <v>Second Class</v>
      </c>
      <c r="N462" s="5">
        <f>[1]raw_orders!N462</f>
        <v>9</v>
      </c>
      <c r="O462" s="5">
        <f>[1]raw_orders!O462</f>
        <v>1359.88</v>
      </c>
      <c r="P462" s="5">
        <f>[1]raw_orders!P462</f>
        <v>0.05</v>
      </c>
      <c r="Q462" t="str">
        <f>PROPER(TRIM([1]raw_orders!T462))</f>
        <v>Paid</v>
      </c>
      <c r="R462" t="str">
        <f>PROPER(TRIM([1]raw_orders!U462))</f>
        <v>Completed</v>
      </c>
      <c r="S462" s="5">
        <f>[1]raw_orders!S462</f>
        <v>4232.8999999999996</v>
      </c>
      <c r="T462" s="5">
        <f t="shared" si="56"/>
        <v>42.328999999999994</v>
      </c>
      <c r="U462" s="5">
        <f t="shared" si="57"/>
        <v>-505822.32468000002</v>
      </c>
      <c r="V462" s="5">
        <f t="shared" si="58"/>
        <v>-505822.37468000001</v>
      </c>
      <c r="W462" s="5">
        <f t="shared" si="59"/>
        <v>1.0000000988489388</v>
      </c>
      <c r="X462" s="5">
        <f t="shared" si="60"/>
        <v>6</v>
      </c>
      <c r="Y462" s="5">
        <f t="shared" si="61"/>
        <v>9</v>
      </c>
      <c r="Z462" s="5">
        <f t="shared" si="62"/>
        <v>2025</v>
      </c>
      <c r="AA462" t="str">
        <f t="shared" si="63"/>
        <v>Warning</v>
      </c>
    </row>
    <row r="463" spans="1:27" x14ac:dyDescent="0.3">
      <c r="A463" t="str">
        <f>[1]raw_orders!A463</f>
        <v>ORD-2025-10462</v>
      </c>
      <c r="B463" s="4" t="str">
        <f>IFERROR(DATEVALUE([1]raw_orders!B463), "Invalid Date")</f>
        <v>Invalid Date</v>
      </c>
      <c r="C463" s="4" t="str">
        <f>IFERROR(DATEVALUE([1]raw_orders!C463), "Invalid Date")</f>
        <v>Invalid Date</v>
      </c>
      <c r="D463" t="str">
        <f>[1]raw_orders!D463</f>
        <v>CUST-3659</v>
      </c>
      <c r="E463" t="str">
        <f>PROPER(TRIM([1]raw_orders!E463))</f>
        <v>Neha Gupta</v>
      </c>
      <c r="F463" t="str">
        <f>PROPER(TRIM([1]raw_orders!F463))</f>
        <v>Corporate</v>
      </c>
      <c r="G463" t="str">
        <f>IF(TRIM([1]raw_orders!G463)="","Unknown",PROPER(TRIM([1]raw_orders!G463)))</f>
        <v>South</v>
      </c>
      <c r="H463" t="str">
        <f>PROPER(TRIM([1]raw_orders!H463))</f>
        <v>Andhra Pradesh</v>
      </c>
      <c r="I463" t="str">
        <f>PROPER(TRIM([1]raw_orders!I463))</f>
        <v>Vijayawada</v>
      </c>
      <c r="J463" t="str">
        <f>PROPER(TRIM([1]raw_orders!J463))</f>
        <v>Office Supplies</v>
      </c>
      <c r="K463" t="str">
        <f>PROPER(TRIM([1]raw_orders!K463))</f>
        <v>Paper</v>
      </c>
      <c r="L463" t="str">
        <f>[1]raw_orders!L463</f>
        <v>Max Paper 700</v>
      </c>
      <c r="M463" t="str">
        <f>IF(TRIM([1]raw_orders!M463)="","Unknown",PROPER(TRIM([1]raw_orders!M463)))</f>
        <v>Standard Class</v>
      </c>
      <c r="N463" s="5">
        <f>[1]raw_orders!N463</f>
        <v>3</v>
      </c>
      <c r="O463" s="5">
        <f>[1]raw_orders!O463</f>
        <v>3378.15</v>
      </c>
      <c r="P463" s="5">
        <f>[1]raw_orders!P463</f>
        <v>0.15</v>
      </c>
      <c r="Q463" t="str">
        <f>PROPER(TRIM([1]raw_orders!T463))</f>
        <v>Paid</v>
      </c>
      <c r="R463" t="str">
        <f>PROPER(TRIM([1]raw_orders!U463))</f>
        <v>Completed</v>
      </c>
      <c r="S463" s="5">
        <f>[1]raw_orders!S463</f>
        <v>1562.2</v>
      </c>
      <c r="T463" s="5">
        <f t="shared" si="56"/>
        <v>15.622</v>
      </c>
      <c r="U463" s="5">
        <f t="shared" si="57"/>
        <v>-148185.92790000001</v>
      </c>
      <c r="V463" s="5">
        <f t="shared" si="58"/>
        <v>-148186.0779</v>
      </c>
      <c r="W463" s="5">
        <f t="shared" si="59"/>
        <v>1.0000010122418648</v>
      </c>
      <c r="X463" s="5" t="str">
        <f t="shared" si="60"/>
        <v>Invalid Date</v>
      </c>
      <c r="Y463" s="5" t="e">
        <f t="shared" si="61"/>
        <v>#VALUE!</v>
      </c>
      <c r="Z463" s="5" t="e">
        <f t="shared" si="62"/>
        <v>#VALUE!</v>
      </c>
      <c r="AA463" t="str">
        <f t="shared" si="63"/>
        <v>Clean</v>
      </c>
    </row>
    <row r="464" spans="1:27" x14ac:dyDescent="0.3">
      <c r="A464" t="str">
        <f>[1]raw_orders!A464</f>
        <v>ORD-2024-10463</v>
      </c>
      <c r="B464" s="4" t="str">
        <f>IFERROR(DATEVALUE([1]raw_orders!B464), "Invalid Date")</f>
        <v>Invalid Date</v>
      </c>
      <c r="C464" s="4">
        <f>IFERROR(DATEVALUE([1]raw_orders!C464), "Invalid Date")</f>
        <v>45560</v>
      </c>
      <c r="D464" t="str">
        <f>[1]raw_orders!D464</f>
        <v>CUST-6594</v>
      </c>
      <c r="E464" t="str">
        <f>PROPER(TRIM([1]raw_orders!E464))</f>
        <v>Aarav Sharma</v>
      </c>
      <c r="F464" t="str">
        <f>PROPER(TRIM([1]raw_orders!F464))</f>
        <v>Home Office</v>
      </c>
      <c r="G464" t="str">
        <f>IF(TRIM([1]raw_orders!G464)="","Unknown",PROPER(TRIM([1]raw_orders!G464)))</f>
        <v>North</v>
      </c>
      <c r="H464" t="str">
        <f>PROPER(TRIM([1]raw_orders!H464))</f>
        <v>Delhi</v>
      </c>
      <c r="I464" t="str">
        <f>PROPER(TRIM([1]raw_orders!I464))</f>
        <v>New Delhi</v>
      </c>
      <c r="J464" t="str">
        <f>PROPER(TRIM([1]raw_orders!J464))</f>
        <v>Office Supplies</v>
      </c>
      <c r="K464" t="str">
        <f>PROPER(TRIM([1]raw_orders!K464))</f>
        <v>Binders</v>
      </c>
      <c r="L464" t="str">
        <f>[1]raw_orders!L464</f>
        <v>Pro Binders 404</v>
      </c>
      <c r="M464" t="str">
        <f>IF(TRIM([1]raw_orders!M464)="","Unknown",PROPER(TRIM([1]raw_orders!M464)))</f>
        <v>First Class</v>
      </c>
      <c r="N464" s="5">
        <f>[1]raw_orders!N464</f>
        <v>2</v>
      </c>
      <c r="O464" s="5">
        <f>[1]raw_orders!O464</f>
        <v>1275.1400000000001</v>
      </c>
      <c r="P464" s="5">
        <f>[1]raw_orders!P464</f>
        <v>0.2</v>
      </c>
      <c r="Q464" t="str">
        <f>PROPER(TRIM([1]raw_orders!T464))</f>
        <v>Paid</v>
      </c>
      <c r="R464" t="str">
        <f>PROPER(TRIM([1]raw_orders!U464))</f>
        <v>Completed</v>
      </c>
      <c r="S464" s="5">
        <f>[1]raw_orders!S464</f>
        <v>644.51</v>
      </c>
      <c r="T464" s="5">
        <f t="shared" si="56"/>
        <v>6.4451000000000001</v>
      </c>
      <c r="U464" s="5">
        <f t="shared" si="57"/>
        <v>-13886.529628000002</v>
      </c>
      <c r="V464" s="5">
        <f t="shared" si="58"/>
        <v>-13886.729628000003</v>
      </c>
      <c r="W464" s="5">
        <f t="shared" si="59"/>
        <v>1.0000144024464974</v>
      </c>
      <c r="X464" s="5" t="str">
        <f t="shared" si="60"/>
        <v>Invalid Date</v>
      </c>
      <c r="Y464" s="5" t="e">
        <f t="shared" si="61"/>
        <v>#VALUE!</v>
      </c>
      <c r="Z464" s="5" t="e">
        <f t="shared" si="62"/>
        <v>#VALUE!</v>
      </c>
      <c r="AA464" t="str">
        <f t="shared" si="63"/>
        <v>Clean</v>
      </c>
    </row>
    <row r="465" spans="1:27" x14ac:dyDescent="0.3">
      <c r="A465" t="str">
        <f>[1]raw_orders!A465</f>
        <v>ORD-2025-10464</v>
      </c>
      <c r="B465" s="4">
        <f>IFERROR(DATEVALUE([1]raw_orders!B465), "Invalid Date")</f>
        <v>45695</v>
      </c>
      <c r="C465" s="4">
        <f>IFERROR(DATEVALUE([1]raw_orders!C465), "Invalid Date")</f>
        <v>45696</v>
      </c>
      <c r="D465" t="str">
        <f>[1]raw_orders!D465</f>
        <v>CUST-2626</v>
      </c>
      <c r="E465" t="str">
        <f>PROPER(TRIM([1]raw_orders!E465))</f>
        <v>Arjun Bose</v>
      </c>
      <c r="F465" t="str">
        <f>PROPER(TRIM([1]raw_orders!F465))</f>
        <v>Corporate</v>
      </c>
      <c r="G465" t="str">
        <f>IF(TRIM([1]raw_orders!G465)="","Unknown",PROPER(TRIM([1]raw_orders!G465)))</f>
        <v>West</v>
      </c>
      <c r="H465" t="str">
        <f>PROPER(TRIM([1]raw_orders!H465))</f>
        <v>Madhya Pradesh</v>
      </c>
      <c r="I465" t="str">
        <f>PROPER(TRIM([1]raw_orders!I465))</f>
        <v>Indore</v>
      </c>
      <c r="J465" t="str">
        <f>PROPER(TRIM([1]raw_orders!J465))</f>
        <v>Technology</v>
      </c>
      <c r="K465" t="str">
        <f>PROPER(TRIM([1]raw_orders!K465))</f>
        <v>Phones</v>
      </c>
      <c r="L465" t="str">
        <f>[1]raw_orders!L465</f>
        <v>Eco Phones 208</v>
      </c>
      <c r="M465" t="str">
        <f>IF(TRIM([1]raw_orders!M465)="","Unknown",PROPER(TRIM([1]raw_orders!M465)))</f>
        <v>Standard Class</v>
      </c>
      <c r="N465" s="5">
        <f>[1]raw_orders!N465</f>
        <v>4</v>
      </c>
      <c r="O465" s="5">
        <f>[1]raw_orders!O465</f>
        <v>889.5</v>
      </c>
      <c r="P465" s="5">
        <f>[1]raw_orders!P465</f>
        <v>0.2</v>
      </c>
      <c r="Q465" t="str">
        <f>PROPER(TRIM([1]raw_orders!T465))</f>
        <v>Paid</v>
      </c>
      <c r="R465" t="str">
        <f>PROPER(TRIM([1]raw_orders!U465))</f>
        <v>Completed</v>
      </c>
      <c r="S465" s="5">
        <f>[1]raw_orders!S465</f>
        <v>714.03</v>
      </c>
      <c r="T465" s="5">
        <f t="shared" si="56"/>
        <v>7.1402999999999999</v>
      </c>
      <c r="U465" s="5">
        <f t="shared" si="57"/>
        <v>-21847.187399999999</v>
      </c>
      <c r="V465" s="5">
        <f t="shared" si="58"/>
        <v>-21847.3874</v>
      </c>
      <c r="W465" s="5">
        <f t="shared" si="59"/>
        <v>1.0000091544964731</v>
      </c>
      <c r="X465" s="5">
        <f t="shared" si="60"/>
        <v>1</v>
      </c>
      <c r="Y465" s="5">
        <f t="shared" si="61"/>
        <v>2</v>
      </c>
      <c r="Z465" s="5">
        <f t="shared" si="62"/>
        <v>2025</v>
      </c>
      <c r="AA465" t="str">
        <f t="shared" si="63"/>
        <v>Clean</v>
      </c>
    </row>
    <row r="466" spans="1:27" x14ac:dyDescent="0.3">
      <c r="A466" t="str">
        <f>[1]raw_orders!A466</f>
        <v>ORD-2025-10465</v>
      </c>
      <c r="B466" s="4">
        <f>IFERROR(DATEVALUE([1]raw_orders!B466), "Invalid Date")</f>
        <v>45727</v>
      </c>
      <c r="C466" s="4" t="str">
        <f>IFERROR(DATEVALUE([1]raw_orders!C466), "Invalid Date")</f>
        <v>Invalid Date</v>
      </c>
      <c r="D466" t="str">
        <f>[1]raw_orders!D466</f>
        <v>CUST-7362</v>
      </c>
      <c r="E466" t="str">
        <f>PROPER(TRIM([1]raw_orders!E466))</f>
        <v>Arjun Bose</v>
      </c>
      <c r="F466" t="str">
        <f>PROPER(TRIM([1]raw_orders!F466))</f>
        <v>Corporate</v>
      </c>
      <c r="G466" t="str">
        <f>IF(TRIM([1]raw_orders!G466)="","Unknown",PROPER(TRIM([1]raw_orders!G466)))</f>
        <v>East</v>
      </c>
      <c r="H466" t="str">
        <f>PROPER(TRIM([1]raw_orders!H466))</f>
        <v>Bihar</v>
      </c>
      <c r="I466" t="str">
        <f>PROPER(TRIM([1]raw_orders!I466))</f>
        <v>Patna</v>
      </c>
      <c r="J466" t="str">
        <f>PROPER(TRIM([1]raw_orders!J466))</f>
        <v>Office Supplies</v>
      </c>
      <c r="K466" t="str">
        <f>PROPER(TRIM([1]raw_orders!K466))</f>
        <v>Paper</v>
      </c>
      <c r="L466" t="str">
        <f>[1]raw_orders!L466</f>
        <v>Elite Paper 106</v>
      </c>
      <c r="M466" t="str">
        <f>IF(TRIM([1]raw_orders!M466)="","Unknown",PROPER(TRIM([1]raw_orders!M466)))</f>
        <v>Same Day</v>
      </c>
      <c r="N466" s="5">
        <f>[1]raw_orders!N466</f>
        <v>3</v>
      </c>
      <c r="O466" s="5">
        <f>[1]raw_orders!O466</f>
        <v>3625.08</v>
      </c>
      <c r="P466" s="5">
        <f>[1]raw_orders!P466</f>
        <v>0.05</v>
      </c>
      <c r="Q466" t="str">
        <f>PROPER(TRIM([1]raw_orders!T466))</f>
        <v>Pending</v>
      </c>
      <c r="R466" t="str">
        <f>PROPER(TRIM([1]raw_orders!U466))</f>
        <v>Cancelled</v>
      </c>
      <c r="S466" s="5">
        <f>[1]raw_orders!S466</f>
        <v>3199.57</v>
      </c>
      <c r="T466" s="5">
        <f t="shared" si="56"/>
        <v>31.995700000000003</v>
      </c>
      <c r="U466" s="5">
        <f t="shared" si="57"/>
        <v>-337085.67646800005</v>
      </c>
      <c r="V466" s="5">
        <f t="shared" si="58"/>
        <v>-337085.72646800004</v>
      </c>
      <c r="W466" s="5">
        <f t="shared" si="59"/>
        <v>1.0000001483302421</v>
      </c>
      <c r="X466" s="5" t="str">
        <f t="shared" si="60"/>
        <v>Invalid Date</v>
      </c>
      <c r="Y466" s="5">
        <f t="shared" si="61"/>
        <v>3</v>
      </c>
      <c r="Z466" s="5">
        <f t="shared" si="62"/>
        <v>2025</v>
      </c>
      <c r="AA466" t="str">
        <f t="shared" si="63"/>
        <v>Clean</v>
      </c>
    </row>
    <row r="467" spans="1:27" x14ac:dyDescent="0.3">
      <c r="A467" t="str">
        <f>[1]raw_orders!A467</f>
        <v>ORD-2024-10466</v>
      </c>
      <c r="B467" s="4">
        <f>IFERROR(DATEVALUE([1]raw_orders!B467), "Invalid Date")</f>
        <v>45320</v>
      </c>
      <c r="C467" s="4">
        <f>IFERROR(DATEVALUE([1]raw_orders!C467), "Invalid Date")</f>
        <v>45328</v>
      </c>
      <c r="D467" t="str">
        <f>[1]raw_orders!D467</f>
        <v>CUST-1748</v>
      </c>
      <c r="E467" t="str">
        <f>PROPER(TRIM([1]raw_orders!E467))</f>
        <v>Aarav Sharma</v>
      </c>
      <c r="F467" t="str">
        <f>PROPER(TRIM([1]raw_orders!F467))</f>
        <v>Small Business</v>
      </c>
      <c r="G467" t="str">
        <f>IF(TRIM([1]raw_orders!G467)="","Unknown",PROPER(TRIM([1]raw_orders!G467)))</f>
        <v>West</v>
      </c>
      <c r="H467" t="str">
        <f>PROPER(TRIM([1]raw_orders!H467))</f>
        <v>Madhya Pradesh</v>
      </c>
      <c r="I467" t="str">
        <f>PROPER(TRIM([1]raw_orders!I467))</f>
        <v>Indore</v>
      </c>
      <c r="J467" t="str">
        <f>PROPER(TRIM([1]raw_orders!J467))</f>
        <v>Office Supplies</v>
      </c>
      <c r="K467" t="str">
        <f>PROPER(TRIM([1]raw_orders!K467))</f>
        <v>Labels</v>
      </c>
      <c r="L467" t="str">
        <f>[1]raw_orders!L467</f>
        <v>Eco Labels 914</v>
      </c>
      <c r="M467" t="str">
        <f>IF(TRIM([1]raw_orders!M467)="","Unknown",PROPER(TRIM([1]raw_orders!M467)))</f>
        <v>Standard Class</v>
      </c>
      <c r="N467" s="5">
        <f>[1]raw_orders!N467</f>
        <v>2</v>
      </c>
      <c r="O467" s="5">
        <f>[1]raw_orders!O467</f>
        <v>1258.9000000000001</v>
      </c>
      <c r="P467" s="5">
        <f>[1]raw_orders!P467</f>
        <v>0</v>
      </c>
      <c r="Q467" t="str">
        <f>PROPER(TRIM([1]raw_orders!T467))</f>
        <v>Paid</v>
      </c>
      <c r="R467" t="str">
        <f>PROPER(TRIM([1]raw_orders!U467))</f>
        <v>Completed</v>
      </c>
      <c r="S467" s="5">
        <f>[1]raw_orders!S467</f>
        <v>1039.26</v>
      </c>
      <c r="T467" s="5">
        <f t="shared" si="56"/>
        <v>10.3926</v>
      </c>
      <c r="U467" s="5">
        <f t="shared" si="57"/>
        <v>-23648.688280000002</v>
      </c>
      <c r="V467" s="5">
        <f t="shared" si="58"/>
        <v>-23648.688280000002</v>
      </c>
      <c r="W467" s="5">
        <f t="shared" si="59"/>
        <v>1</v>
      </c>
      <c r="X467" s="5">
        <f t="shared" si="60"/>
        <v>8</v>
      </c>
      <c r="Y467" s="5">
        <f t="shared" si="61"/>
        <v>1</v>
      </c>
      <c r="Z467" s="5">
        <f t="shared" si="62"/>
        <v>2024</v>
      </c>
      <c r="AA467" t="str">
        <f t="shared" si="63"/>
        <v>Clean</v>
      </c>
    </row>
    <row r="468" spans="1:27" x14ac:dyDescent="0.3">
      <c r="A468" t="str">
        <f>[1]raw_orders!A468</f>
        <v>ORD-2024-10467</v>
      </c>
      <c r="B468" s="4">
        <f>IFERROR(DATEVALUE([1]raw_orders!B468), "Invalid Date")</f>
        <v>45295</v>
      </c>
      <c r="C468" s="4">
        <f>IFERROR(DATEVALUE([1]raw_orders!C468), "Invalid Date")</f>
        <v>45505</v>
      </c>
      <c r="D468" t="str">
        <f>[1]raw_orders!D468</f>
        <v>CUST-2725</v>
      </c>
      <c r="E468" t="str">
        <f>PROPER(TRIM([1]raw_orders!E468))</f>
        <v>Mira Das</v>
      </c>
      <c r="F468" t="str">
        <f>PROPER(TRIM([1]raw_orders!F468))</f>
        <v>Small Business</v>
      </c>
      <c r="G468" t="str">
        <f>IF(TRIM([1]raw_orders!G468)="","Unknown",PROPER(TRIM([1]raw_orders!G468)))</f>
        <v>East</v>
      </c>
      <c r="H468" t="str">
        <f>PROPER(TRIM([1]raw_orders!H468))</f>
        <v>Bihar</v>
      </c>
      <c r="I468" t="str">
        <f>PROPER(TRIM([1]raw_orders!I468))</f>
        <v>Patna</v>
      </c>
      <c r="J468" t="str">
        <f>PROPER(TRIM([1]raw_orders!J468))</f>
        <v>Technology</v>
      </c>
      <c r="K468" t="str">
        <f>PROPER(TRIM([1]raw_orders!K468))</f>
        <v>Accessories</v>
      </c>
      <c r="L468" t="str">
        <f>[1]raw_orders!L468</f>
        <v>Max Accessories 486</v>
      </c>
      <c r="M468" t="str">
        <f>IF(TRIM([1]raw_orders!M468)="","Unknown",PROPER(TRIM([1]raw_orders!M468)))</f>
        <v>Same Day</v>
      </c>
      <c r="N468" s="5">
        <f>[1]raw_orders!N468</f>
        <v>9</v>
      </c>
      <c r="O468" s="5">
        <f>[1]raw_orders!O468</f>
        <v>1591.96</v>
      </c>
      <c r="P468" s="5">
        <f>[1]raw_orders!P468</f>
        <v>0.2</v>
      </c>
      <c r="Q468" t="str">
        <f>PROPER(TRIM([1]raw_orders!T468))</f>
        <v>Paid</v>
      </c>
      <c r="R468" t="str">
        <f>PROPER(TRIM([1]raw_orders!U468))</f>
        <v>Completed</v>
      </c>
      <c r="S468" s="5">
        <f>[1]raw_orders!S468</f>
        <v>4356.63</v>
      </c>
      <c r="T468" s="5">
        <f t="shared" si="56"/>
        <v>43.566299999999998</v>
      </c>
      <c r="U468" s="5">
        <f t="shared" si="57"/>
        <v>-609874.62253199995</v>
      </c>
      <c r="V468" s="5">
        <f t="shared" si="58"/>
        <v>-609874.8225319999</v>
      </c>
      <c r="W468" s="5">
        <f t="shared" si="59"/>
        <v>1.0000003279362553</v>
      </c>
      <c r="X468" s="5">
        <f t="shared" si="60"/>
        <v>210</v>
      </c>
      <c r="Y468" s="5">
        <f t="shared" si="61"/>
        <v>1</v>
      </c>
      <c r="Z468" s="5">
        <f t="shared" si="62"/>
        <v>2024</v>
      </c>
      <c r="AA468" t="str">
        <f t="shared" si="63"/>
        <v>Clean</v>
      </c>
    </row>
    <row r="469" spans="1:27" x14ac:dyDescent="0.3">
      <c r="A469" t="str">
        <f>[1]raw_orders!A469</f>
        <v>ORD-2024-10468</v>
      </c>
      <c r="B469" s="4">
        <f>IFERROR(DATEVALUE([1]raw_orders!B469), "Invalid Date")</f>
        <v>45524</v>
      </c>
      <c r="C469" s="4">
        <f>IFERROR(DATEVALUE([1]raw_orders!C469), "Invalid Date")</f>
        <v>45525</v>
      </c>
      <c r="D469" t="str">
        <f>[1]raw_orders!D469</f>
        <v>CUST-9470</v>
      </c>
      <c r="E469" t="str">
        <f>PROPER(TRIM([1]raw_orders!E469))</f>
        <v>Aditi Sen</v>
      </c>
      <c r="F469" t="str">
        <f>PROPER(TRIM([1]raw_orders!F469))</f>
        <v>Corporate</v>
      </c>
      <c r="G469" t="str">
        <f>IF(TRIM([1]raw_orders!G469)="","Unknown",PROPER(TRIM([1]raw_orders!G469)))</f>
        <v>East</v>
      </c>
      <c r="H469" t="str">
        <f>PROPER(TRIM([1]raw_orders!H469))</f>
        <v>Odisha</v>
      </c>
      <c r="I469" t="str">
        <f>PROPER(TRIM([1]raw_orders!I469))</f>
        <v>Bhubaneswar</v>
      </c>
      <c r="J469" t="str">
        <f>PROPER(TRIM([1]raw_orders!J469))</f>
        <v>Technology</v>
      </c>
      <c r="K469" t="str">
        <f>PROPER(TRIM([1]raw_orders!K469))</f>
        <v>Copiers</v>
      </c>
      <c r="L469" t="str">
        <f>[1]raw_orders!L469</f>
        <v>Max Copiers 867</v>
      </c>
      <c r="M469" t="str">
        <f>IF(TRIM([1]raw_orders!M469)="","Unknown",PROPER(TRIM([1]raw_orders!M469)))</f>
        <v>First Class</v>
      </c>
      <c r="N469" s="5">
        <f>[1]raw_orders!N469</f>
        <v>5</v>
      </c>
      <c r="O469" s="5">
        <f>[1]raw_orders!O469</f>
        <v>4288.33</v>
      </c>
      <c r="P469" s="5">
        <f>[1]raw_orders!P469</f>
        <v>0.1</v>
      </c>
      <c r="Q469" t="str">
        <f>PROPER(TRIM([1]raw_orders!T469))</f>
        <v>Refunded</v>
      </c>
      <c r="R469" t="str">
        <f>PROPER(TRIM([1]raw_orders!U469))</f>
        <v>Cancelled</v>
      </c>
      <c r="S469" s="5">
        <f>[1]raw_orders!S469</f>
        <v>3845.83</v>
      </c>
      <c r="T469" s="5">
        <f t="shared" si="56"/>
        <v>38.458300000000001</v>
      </c>
      <c r="U469" s="5">
        <f t="shared" si="57"/>
        <v>-803167.75819500012</v>
      </c>
      <c r="V469" s="5">
        <f t="shared" si="58"/>
        <v>-803167.8581950001</v>
      </c>
      <c r="W469" s="5">
        <f t="shared" si="59"/>
        <v>1.0000001245069898</v>
      </c>
      <c r="X469" s="5">
        <f t="shared" si="60"/>
        <v>1</v>
      </c>
      <c r="Y469" s="5">
        <f t="shared" si="61"/>
        <v>8</v>
      </c>
      <c r="Z469" s="5">
        <f t="shared" si="62"/>
        <v>2024</v>
      </c>
      <c r="AA469" t="str">
        <f t="shared" si="63"/>
        <v>Clean</v>
      </c>
    </row>
    <row r="470" spans="1:27" x14ac:dyDescent="0.3">
      <c r="A470" t="str">
        <f>[1]raw_orders!A470</f>
        <v>ORD-2025-10469</v>
      </c>
      <c r="B470" s="4">
        <f>IFERROR(DATEVALUE([1]raw_orders!B470), "Invalid Date")</f>
        <v>45666</v>
      </c>
      <c r="C470" s="4">
        <f>IFERROR(DATEVALUE([1]raw_orders!C470), "Invalid Date")</f>
        <v>45664</v>
      </c>
      <c r="D470" t="str">
        <f>[1]raw_orders!D470</f>
        <v>CUST-4176</v>
      </c>
      <c r="E470" t="str">
        <f>PROPER(TRIM([1]raw_orders!E470))</f>
        <v>Aarav Sharma</v>
      </c>
      <c r="F470" t="str">
        <f>PROPER(TRIM([1]raw_orders!F470))</f>
        <v>Home Office</v>
      </c>
      <c r="G470" t="str">
        <f>IF(TRIM([1]raw_orders!G470)="","Unknown",PROPER(TRIM([1]raw_orders!G470)))</f>
        <v>East</v>
      </c>
      <c r="H470" t="str">
        <f>PROPER(TRIM([1]raw_orders!H470))</f>
        <v>West Bengal</v>
      </c>
      <c r="I470" t="str">
        <f>PROPER(TRIM([1]raw_orders!I470))</f>
        <v>Kolkata</v>
      </c>
      <c r="J470" t="str">
        <f>PROPER(TRIM([1]raw_orders!J470))</f>
        <v>Office Supplies</v>
      </c>
      <c r="K470" t="str">
        <f>PROPER(TRIM([1]raw_orders!K470))</f>
        <v>Binders</v>
      </c>
      <c r="L470" t="str">
        <f>[1]raw_orders!L470</f>
        <v>Pro Binders 555</v>
      </c>
      <c r="M470" t="str">
        <f>IF(TRIM([1]raw_orders!M470)="","Unknown",PROPER(TRIM([1]raw_orders!M470)))</f>
        <v>Second Class</v>
      </c>
      <c r="N470" s="5">
        <f>[1]raw_orders!N470</f>
        <v>3</v>
      </c>
      <c r="O470" s="5">
        <f>[1]raw_orders!O470</f>
        <v>2188.33</v>
      </c>
      <c r="P470" s="5">
        <f>[1]raw_orders!P470</f>
        <v>0</v>
      </c>
      <c r="Q470" t="str">
        <f>PROPER(TRIM([1]raw_orders!T470))</f>
        <v>Paid</v>
      </c>
      <c r="R470" t="str">
        <f>PROPER(TRIM([1]raw_orders!U470))</f>
        <v>Completed</v>
      </c>
      <c r="S470" s="5">
        <f>[1]raw_orders!S470</f>
        <v>1157.75</v>
      </c>
      <c r="T470" s="5">
        <f t="shared" si="56"/>
        <v>11.577500000000001</v>
      </c>
      <c r="U470" s="5">
        <f t="shared" si="57"/>
        <v>-69441.181725000002</v>
      </c>
      <c r="V470" s="5">
        <f t="shared" si="58"/>
        <v>-69441.181725000002</v>
      </c>
      <c r="W470" s="5">
        <f t="shared" si="59"/>
        <v>1</v>
      </c>
      <c r="X470" s="5">
        <f t="shared" si="60"/>
        <v>-2</v>
      </c>
      <c r="Y470" s="5">
        <f t="shared" si="61"/>
        <v>1</v>
      </c>
      <c r="Z470" s="5">
        <f t="shared" si="62"/>
        <v>2025</v>
      </c>
      <c r="AA470" t="str">
        <f t="shared" si="63"/>
        <v>Invalid</v>
      </c>
    </row>
    <row r="471" spans="1:27" x14ac:dyDescent="0.3">
      <c r="A471" t="str">
        <f>[1]raw_orders!A471</f>
        <v>ORD-2024-10470</v>
      </c>
      <c r="B471" s="4">
        <f>IFERROR(DATEVALUE([1]raw_orders!B471), "Invalid Date")</f>
        <v>45310</v>
      </c>
      <c r="C471" s="4" t="str">
        <f>IFERROR(DATEVALUE([1]raw_orders!C471), "Invalid Date")</f>
        <v>Invalid Date</v>
      </c>
      <c r="D471" t="str">
        <f>[1]raw_orders!D471</f>
        <v>CUST-3448</v>
      </c>
      <c r="E471" t="str">
        <f>PROPER(TRIM([1]raw_orders!E471))</f>
        <v>Aditi Sen</v>
      </c>
      <c r="F471" t="str">
        <f>PROPER(TRIM([1]raw_orders!F471))</f>
        <v>Corporate</v>
      </c>
      <c r="G471" t="str">
        <f>IF(TRIM([1]raw_orders!G471)="","Unknown",PROPER(TRIM([1]raw_orders!G471)))</f>
        <v>West</v>
      </c>
      <c r="H471" t="str">
        <f>PROPER(TRIM([1]raw_orders!H471))</f>
        <v>Goa</v>
      </c>
      <c r="I471" t="str">
        <f>PROPER(TRIM([1]raw_orders!I471))</f>
        <v>Panaji</v>
      </c>
      <c r="J471" t="str">
        <f>PROPER(TRIM([1]raw_orders!J471))</f>
        <v>Technology</v>
      </c>
      <c r="K471" t="str">
        <f>PROPER(TRIM([1]raw_orders!K471))</f>
        <v>Copiers</v>
      </c>
      <c r="L471" t="str">
        <f>[1]raw_orders!L471</f>
        <v>Pro Copiers 971</v>
      </c>
      <c r="M471" t="str">
        <f>IF(TRIM([1]raw_orders!M471)="","Unknown",PROPER(TRIM([1]raw_orders!M471)))</f>
        <v>First Class</v>
      </c>
      <c r="N471" s="5">
        <f>[1]raw_orders!N471</f>
        <v>3</v>
      </c>
      <c r="O471" s="5">
        <f>[1]raw_orders!O471</f>
        <v>1041.6600000000001</v>
      </c>
      <c r="P471" s="5">
        <f>[1]raw_orders!P471</f>
        <v>0.1</v>
      </c>
      <c r="Q471" t="str">
        <f>PROPER(TRIM([1]raw_orders!T471))</f>
        <v>Paid</v>
      </c>
      <c r="R471" t="str">
        <f>PROPER(TRIM([1]raw_orders!U471))</f>
        <v>Completed</v>
      </c>
      <c r="S471" s="5">
        <f>[1]raw_orders!S471</f>
        <v>530.36</v>
      </c>
      <c r="T471" s="5">
        <f t="shared" si="56"/>
        <v>5.3036000000000003</v>
      </c>
      <c r="U471" s="5">
        <f t="shared" si="57"/>
        <v>-13448.663928000004</v>
      </c>
      <c r="V471" s="5">
        <f t="shared" si="58"/>
        <v>-13448.763928000004</v>
      </c>
      <c r="W471" s="5">
        <f t="shared" si="59"/>
        <v>1.0000074356828705</v>
      </c>
      <c r="X471" s="5" t="str">
        <f t="shared" si="60"/>
        <v>Invalid Date</v>
      </c>
      <c r="Y471" s="5">
        <f t="shared" si="61"/>
        <v>1</v>
      </c>
      <c r="Z471" s="5">
        <f t="shared" si="62"/>
        <v>2024</v>
      </c>
      <c r="AA471" t="str">
        <f t="shared" si="63"/>
        <v>Clean</v>
      </c>
    </row>
    <row r="472" spans="1:27" x14ac:dyDescent="0.3">
      <c r="A472" t="str">
        <f>[1]raw_orders!A472</f>
        <v>ORD-2024-10471</v>
      </c>
      <c r="B472" s="4">
        <f>IFERROR(DATEVALUE([1]raw_orders!B472), "Invalid Date")</f>
        <v>45501</v>
      </c>
      <c r="C472" s="4" t="str">
        <f>IFERROR(DATEVALUE([1]raw_orders!C472), "Invalid Date")</f>
        <v>Invalid Date</v>
      </c>
      <c r="D472" t="str">
        <f>[1]raw_orders!D472</f>
        <v>CUST-4970</v>
      </c>
      <c r="E472" t="str">
        <f>PROPER(TRIM([1]raw_orders!E472))</f>
        <v>Aditi Sen</v>
      </c>
      <c r="F472" t="str">
        <f>PROPER(TRIM([1]raw_orders!F472))</f>
        <v>Consumer</v>
      </c>
      <c r="G472" t="str">
        <f>IF(TRIM([1]raw_orders!G472)="","Unknown",PROPER(TRIM([1]raw_orders!G472)))</f>
        <v>North</v>
      </c>
      <c r="H472" t="str">
        <f>PROPER(TRIM([1]raw_orders!H472))</f>
        <v>Rajasthan</v>
      </c>
      <c r="I472" t="str">
        <f>PROPER(TRIM([1]raw_orders!I472))</f>
        <v>Jaipur</v>
      </c>
      <c r="J472" t="str">
        <f>PROPER(TRIM([1]raw_orders!J472))</f>
        <v>Furniture</v>
      </c>
      <c r="K472" t="str">
        <f>PROPER(TRIM([1]raw_orders!K472))</f>
        <v>Tables</v>
      </c>
      <c r="L472" t="str">
        <f>[1]raw_orders!L472</f>
        <v>Pro Tables 833</v>
      </c>
      <c r="M472" t="str">
        <f>IF(TRIM([1]raw_orders!M472)="","Unknown",PROPER(TRIM([1]raw_orders!M472)))</f>
        <v>Same Day</v>
      </c>
      <c r="N472" s="5">
        <f>[1]raw_orders!N472</f>
        <v>2</v>
      </c>
      <c r="O472" s="5">
        <f>[1]raw_orders!O472</f>
        <v>4424.78</v>
      </c>
      <c r="P472" s="5">
        <f>[1]raw_orders!P472</f>
        <v>0.2</v>
      </c>
      <c r="Q472" t="str">
        <f>PROPER(TRIM([1]raw_orders!T472))</f>
        <v>Paid</v>
      </c>
      <c r="R472" t="str">
        <f>PROPER(TRIM([1]raw_orders!U472))</f>
        <v>Completed</v>
      </c>
      <c r="S472" s="5">
        <f>[1]raw_orders!S472</f>
        <v>2613.7399999999998</v>
      </c>
      <c r="T472" s="5">
        <f t="shared" si="56"/>
        <v>26.1374</v>
      </c>
      <c r="U472" s="5">
        <f t="shared" si="57"/>
        <v>-222454.92954399998</v>
      </c>
      <c r="V472" s="5">
        <f t="shared" si="58"/>
        <v>-222455.129544</v>
      </c>
      <c r="W472" s="5">
        <f t="shared" si="59"/>
        <v>1.0000008990585214</v>
      </c>
      <c r="X472" s="5" t="str">
        <f t="shared" si="60"/>
        <v>Invalid Date</v>
      </c>
      <c r="Y472" s="5">
        <f t="shared" si="61"/>
        <v>7</v>
      </c>
      <c r="Z472" s="5">
        <f t="shared" si="62"/>
        <v>2024</v>
      </c>
      <c r="AA472" t="str">
        <f t="shared" si="63"/>
        <v>Clean</v>
      </c>
    </row>
    <row r="473" spans="1:27" x14ac:dyDescent="0.3">
      <c r="A473" t="str">
        <f>[1]raw_orders!A473</f>
        <v>ORD-2024-10472</v>
      </c>
      <c r="B473" s="4">
        <f>IFERROR(DATEVALUE([1]raw_orders!B473), "Invalid Date")</f>
        <v>45333</v>
      </c>
      <c r="C473" s="4" t="str">
        <f>IFERROR(DATEVALUE([1]raw_orders!C473), "Invalid Date")</f>
        <v>Invalid Date</v>
      </c>
      <c r="D473" t="str">
        <f>[1]raw_orders!D473</f>
        <v>CUST-6147</v>
      </c>
      <c r="E473" t="str">
        <f>PROPER(TRIM([1]raw_orders!E473))</f>
        <v>Kabir Singh</v>
      </c>
      <c r="F473" t="str">
        <f>PROPER(TRIM([1]raw_orders!F473))</f>
        <v>Consumer</v>
      </c>
      <c r="G473" t="str">
        <f>IF(TRIM([1]raw_orders!G473)="","Unknown",PROPER(TRIM([1]raw_orders!G473)))</f>
        <v>South</v>
      </c>
      <c r="H473" t="str">
        <f>PROPER(TRIM([1]raw_orders!H473))</f>
        <v>Telangana</v>
      </c>
      <c r="I473" t="str">
        <f>PROPER(TRIM([1]raw_orders!I473))</f>
        <v>Hyderabad</v>
      </c>
      <c r="J473" t="str">
        <f>PROPER(TRIM([1]raw_orders!J473))</f>
        <v>Office Supplies</v>
      </c>
      <c r="K473" t="str">
        <f>PROPER(TRIM([1]raw_orders!K473))</f>
        <v>Binders</v>
      </c>
      <c r="L473" t="str">
        <f>[1]raw_orders!L473</f>
        <v>Prime Binders 497</v>
      </c>
      <c r="M473" t="str">
        <f>IF(TRIM([1]raw_orders!M473)="","Unknown",PROPER(TRIM([1]raw_orders!M473)))</f>
        <v>Standard Class</v>
      </c>
      <c r="N473" s="5">
        <f>[1]raw_orders!N473</f>
        <v>3</v>
      </c>
      <c r="O473" s="5">
        <f>[1]raw_orders!O473</f>
        <v>3019.14</v>
      </c>
      <c r="P473" s="5">
        <f>[1]raw_orders!P473</f>
        <v>0.25</v>
      </c>
      <c r="Q473" t="str">
        <f>PROPER(TRIM([1]raw_orders!T473))</f>
        <v>Paid</v>
      </c>
      <c r="R473" t="str">
        <f>PROPER(TRIM([1]raw_orders!U473))</f>
        <v>Completed</v>
      </c>
      <c r="S473" s="5">
        <f>[1]raw_orders!S473</f>
        <v>1807.85</v>
      </c>
      <c r="T473" s="5">
        <f t="shared" si="56"/>
        <v>18.078499999999998</v>
      </c>
      <c r="U473" s="5">
        <f t="shared" si="57"/>
        <v>-154687.14747</v>
      </c>
      <c r="V473" s="5">
        <f t="shared" si="58"/>
        <v>-154687.39747</v>
      </c>
      <c r="W473" s="5">
        <f t="shared" si="59"/>
        <v>1.0000016161652994</v>
      </c>
      <c r="X473" s="5" t="str">
        <f t="shared" si="60"/>
        <v>Invalid Date</v>
      </c>
      <c r="Y473" s="5">
        <f t="shared" si="61"/>
        <v>2</v>
      </c>
      <c r="Z473" s="5">
        <f t="shared" si="62"/>
        <v>2024</v>
      </c>
      <c r="AA473" t="str">
        <f t="shared" si="63"/>
        <v>Clean</v>
      </c>
    </row>
    <row r="474" spans="1:27" x14ac:dyDescent="0.3">
      <c r="A474" t="str">
        <f>[1]raw_orders!A474</f>
        <v>ORD-2024-10473</v>
      </c>
      <c r="B474" s="4">
        <f>IFERROR(DATEVALUE([1]raw_orders!B474), "Invalid Date")</f>
        <v>45353</v>
      </c>
      <c r="C474" s="4">
        <f>IFERROR(DATEVALUE([1]raw_orders!C474), "Invalid Date")</f>
        <v>45476</v>
      </c>
      <c r="D474" t="str">
        <f>[1]raw_orders!D474</f>
        <v>CUST-7208</v>
      </c>
      <c r="E474" t="str">
        <f>PROPER(TRIM([1]raw_orders!E474))</f>
        <v>Rohan Mehta</v>
      </c>
      <c r="F474" t="str">
        <f>PROPER(TRIM([1]raw_orders!F474))</f>
        <v>Corporate</v>
      </c>
      <c r="G474" t="str">
        <f>IF(TRIM([1]raw_orders!G474)="","Unknown",PROPER(TRIM([1]raw_orders!G474)))</f>
        <v>East</v>
      </c>
      <c r="H474" t="str">
        <f>PROPER(TRIM([1]raw_orders!H474))</f>
        <v>Odisha</v>
      </c>
      <c r="I474" t="str">
        <f>PROPER(TRIM([1]raw_orders!I474))</f>
        <v>Bhubaneswar</v>
      </c>
      <c r="J474" t="str">
        <f>PROPER(TRIM([1]raw_orders!J474))</f>
        <v>Office Supplies</v>
      </c>
      <c r="K474" t="str">
        <f>PROPER(TRIM([1]raw_orders!K474))</f>
        <v>Storage</v>
      </c>
      <c r="L474" t="str">
        <f>[1]raw_orders!L474</f>
        <v>Pro Storage 756</v>
      </c>
      <c r="M474" t="str">
        <f>IF(TRIM([1]raw_orders!M474)="","Unknown",PROPER(TRIM([1]raw_orders!M474)))</f>
        <v>Standard Class</v>
      </c>
      <c r="N474" s="5">
        <f>[1]raw_orders!N474</f>
        <v>7</v>
      </c>
      <c r="O474" s="5">
        <f>[1]raw_orders!O474</f>
        <v>263.45999999999998</v>
      </c>
      <c r="P474" s="5">
        <f>[1]raw_orders!P474</f>
        <v>0</v>
      </c>
      <c r="Q474" t="str">
        <f>PROPER(TRIM([1]raw_orders!T474))</f>
        <v>Paid</v>
      </c>
      <c r="R474" t="str">
        <f>PROPER(TRIM([1]raw_orders!U474))</f>
        <v>Completed</v>
      </c>
      <c r="S474" s="5">
        <f>[1]raw_orders!S474</f>
        <v>750.01</v>
      </c>
      <c r="T474" s="5">
        <f t="shared" si="56"/>
        <v>7.5000999999999998</v>
      </c>
      <c r="U474" s="5">
        <f t="shared" si="57"/>
        <v>-11987.614421999999</v>
      </c>
      <c r="V474" s="5">
        <f t="shared" si="58"/>
        <v>-11987.614421999999</v>
      </c>
      <c r="W474" s="5">
        <f t="shared" si="59"/>
        <v>1</v>
      </c>
      <c r="X474" s="5">
        <f t="shared" si="60"/>
        <v>123</v>
      </c>
      <c r="Y474" s="5">
        <f t="shared" si="61"/>
        <v>3</v>
      </c>
      <c r="Z474" s="5">
        <f t="shared" si="62"/>
        <v>2024</v>
      </c>
      <c r="AA474" t="str">
        <f t="shared" si="63"/>
        <v>Clean</v>
      </c>
    </row>
    <row r="475" spans="1:27" x14ac:dyDescent="0.3">
      <c r="A475" t="str">
        <f>[1]raw_orders!A475</f>
        <v>ORD-2024-10474</v>
      </c>
      <c r="B475" s="4">
        <f>IFERROR(DATEVALUE([1]raw_orders!B475), "Invalid Date")</f>
        <v>45609</v>
      </c>
      <c r="C475" s="4">
        <f>IFERROR(DATEVALUE([1]raw_orders!C475), "Invalid Date")</f>
        <v>45609</v>
      </c>
      <c r="D475" t="str">
        <f>[1]raw_orders!D475</f>
        <v>CUST-2794</v>
      </c>
      <c r="E475" t="str">
        <f>PROPER(TRIM([1]raw_orders!E475))</f>
        <v>Priya Menon</v>
      </c>
      <c r="F475" t="str">
        <f>PROPER(TRIM([1]raw_orders!F475))</f>
        <v>Consumer</v>
      </c>
      <c r="G475" t="str">
        <f>IF(TRIM([1]raw_orders!G475)="","Unknown",PROPER(TRIM([1]raw_orders!G475)))</f>
        <v>West</v>
      </c>
      <c r="H475" t="str">
        <f>PROPER(TRIM([1]raw_orders!H475))</f>
        <v>Goa</v>
      </c>
      <c r="I475" t="str">
        <f>PROPER(TRIM([1]raw_orders!I475))</f>
        <v>Panaji</v>
      </c>
      <c r="J475" t="str">
        <f>PROPER(TRIM([1]raw_orders!J475))</f>
        <v>Technology</v>
      </c>
      <c r="K475" t="str">
        <f>PROPER(TRIM([1]raw_orders!K475))</f>
        <v>Copiers</v>
      </c>
      <c r="L475" t="str">
        <f>[1]raw_orders!L475</f>
        <v>Max Copiers 829</v>
      </c>
      <c r="M475" t="str">
        <f>IF(TRIM([1]raw_orders!M475)="","Unknown",PROPER(TRIM([1]raw_orders!M475)))</f>
        <v>Standard Class</v>
      </c>
      <c r="N475" s="5">
        <f>[1]raw_orders!N475</f>
        <v>6</v>
      </c>
      <c r="O475" s="5">
        <f>[1]raw_orders!O475</f>
        <v>191.45</v>
      </c>
      <c r="P475" s="5">
        <f>[1]raw_orders!P475</f>
        <v>0.2</v>
      </c>
      <c r="Q475" t="str">
        <f>PROPER(TRIM([1]raw_orders!T475))</f>
        <v>Paid</v>
      </c>
      <c r="R475" t="str">
        <f>PROPER(TRIM([1]raw_orders!U475))</f>
        <v>Completed</v>
      </c>
      <c r="S475" s="5">
        <f>[1]raw_orders!S475</f>
        <v>364.78</v>
      </c>
      <c r="T475" s="5">
        <f t="shared" si="56"/>
        <v>3.6477999999999997</v>
      </c>
      <c r="U475" s="5">
        <f t="shared" si="57"/>
        <v>-3041.5278599999992</v>
      </c>
      <c r="V475" s="5">
        <f t="shared" si="58"/>
        <v>-3041.7278599999991</v>
      </c>
      <c r="W475" s="5">
        <f t="shared" si="59"/>
        <v>1.0000657564254565</v>
      </c>
      <c r="X475" s="5">
        <f t="shared" si="60"/>
        <v>0</v>
      </c>
      <c r="Y475" s="5">
        <f t="shared" si="61"/>
        <v>11</v>
      </c>
      <c r="Z475" s="5">
        <f t="shared" si="62"/>
        <v>2024</v>
      </c>
      <c r="AA475" t="str">
        <f t="shared" si="63"/>
        <v>Clean</v>
      </c>
    </row>
    <row r="476" spans="1:27" x14ac:dyDescent="0.3">
      <c r="A476" t="str">
        <f>[1]raw_orders!A476</f>
        <v>ORD-2024-10475</v>
      </c>
      <c r="B476" s="4">
        <f>IFERROR(DATEVALUE([1]raw_orders!B476), "Invalid Date")</f>
        <v>45446</v>
      </c>
      <c r="C476" s="4">
        <f>IFERROR(DATEVALUE([1]raw_orders!C476), "Invalid Date")</f>
        <v>45453</v>
      </c>
      <c r="D476" t="str">
        <f>[1]raw_orders!D476</f>
        <v>CUST-6249</v>
      </c>
      <c r="E476" t="str">
        <f>PROPER(TRIM([1]raw_orders!E476))</f>
        <v>Diya Patel</v>
      </c>
      <c r="F476" t="str">
        <f>PROPER(TRIM([1]raw_orders!F476))</f>
        <v>Corporate</v>
      </c>
      <c r="G476" t="str">
        <f>IF(TRIM([1]raw_orders!G476)="","Unknown",PROPER(TRIM([1]raw_orders!G476)))</f>
        <v>North</v>
      </c>
      <c r="H476" t="str">
        <f>PROPER(TRIM([1]raw_orders!H476))</f>
        <v>Punjab</v>
      </c>
      <c r="I476" t="str">
        <f>PROPER(TRIM([1]raw_orders!I476))</f>
        <v>Ludhiana</v>
      </c>
      <c r="J476" t="str">
        <f>PROPER(TRIM([1]raw_orders!J476))</f>
        <v>Furniture</v>
      </c>
      <c r="K476" t="str">
        <f>PROPER(TRIM([1]raw_orders!K476))</f>
        <v>Furnishings</v>
      </c>
      <c r="L476" t="str">
        <f>[1]raw_orders!L476</f>
        <v>Prime Furnishings 827</v>
      </c>
      <c r="M476" t="str">
        <f>IF(TRIM([1]raw_orders!M476)="","Unknown",PROPER(TRIM([1]raw_orders!M476)))</f>
        <v>Standard Class</v>
      </c>
      <c r="N476" s="5">
        <f>[1]raw_orders!N476</f>
        <v>3</v>
      </c>
      <c r="O476" s="5">
        <f>[1]raw_orders!O476</f>
        <v>1633.57</v>
      </c>
      <c r="P476" s="5">
        <f>[1]raw_orders!P476</f>
        <v>0</v>
      </c>
      <c r="Q476" t="str">
        <f>PROPER(TRIM([1]raw_orders!T476))</f>
        <v>Paid</v>
      </c>
      <c r="R476" t="str">
        <f>PROPER(TRIM([1]raw_orders!U476))</f>
        <v>Completed</v>
      </c>
      <c r="S476" s="5">
        <f>[1]raw_orders!S476</f>
        <v>2186.81</v>
      </c>
      <c r="T476" s="5">
        <f t="shared" si="56"/>
        <v>21.868099999999998</v>
      </c>
      <c r="U476" s="5">
        <f t="shared" si="57"/>
        <v>-102268.50635099999</v>
      </c>
      <c r="V476" s="5">
        <f t="shared" si="58"/>
        <v>-102268.50635099999</v>
      </c>
      <c r="W476" s="5">
        <f t="shared" si="59"/>
        <v>1</v>
      </c>
      <c r="X476" s="5">
        <f t="shared" si="60"/>
        <v>7</v>
      </c>
      <c r="Y476" s="5">
        <f t="shared" si="61"/>
        <v>6</v>
      </c>
      <c r="Z476" s="5">
        <f t="shared" si="62"/>
        <v>2024</v>
      </c>
      <c r="AA476" t="str">
        <f t="shared" si="63"/>
        <v>Clean</v>
      </c>
    </row>
    <row r="477" spans="1:27" x14ac:dyDescent="0.3">
      <c r="A477" t="str">
        <f>[1]raw_orders!A477</f>
        <v>ORD-2025-10476</v>
      </c>
      <c r="B477" s="4">
        <f>IFERROR(DATEVALUE([1]raw_orders!B477), "Invalid Date")</f>
        <v>45660</v>
      </c>
      <c r="C477" s="4">
        <f>IFERROR(DATEVALUE([1]raw_orders!C477), "Invalid Date")</f>
        <v>45724</v>
      </c>
      <c r="D477" t="str">
        <f>[1]raw_orders!D477</f>
        <v>CUST-5712</v>
      </c>
      <c r="E477" t="str">
        <f>PROPER(TRIM([1]raw_orders!E477))</f>
        <v>Vikram Iyer</v>
      </c>
      <c r="F477" t="str">
        <f>PROPER(TRIM([1]raw_orders!F477))</f>
        <v>Consumer</v>
      </c>
      <c r="G477" t="str">
        <f>IF(TRIM([1]raw_orders!G477)="","Unknown",PROPER(TRIM([1]raw_orders!G477)))</f>
        <v>East</v>
      </c>
      <c r="H477" t="str">
        <f>PROPER(TRIM([1]raw_orders!H477))</f>
        <v>West Bengal</v>
      </c>
      <c r="I477" t="str">
        <f>PROPER(TRIM([1]raw_orders!I477))</f>
        <v>Kolkata</v>
      </c>
      <c r="J477" t="str">
        <f>PROPER(TRIM([1]raw_orders!J477))</f>
        <v>Furniture</v>
      </c>
      <c r="K477" t="str">
        <f>PROPER(TRIM([1]raw_orders!K477))</f>
        <v>Chairs</v>
      </c>
      <c r="L477" t="str">
        <f>[1]raw_orders!L477</f>
        <v>Eco Chairs 365</v>
      </c>
      <c r="M477" t="str">
        <f>IF(TRIM([1]raw_orders!M477)="","Unknown",PROPER(TRIM([1]raw_orders!M477)))</f>
        <v>Same Day</v>
      </c>
      <c r="N477" s="5">
        <f>[1]raw_orders!N477</f>
        <v>8</v>
      </c>
      <c r="O477" s="5">
        <f>[1]raw_orders!O477</f>
        <v>3378.82</v>
      </c>
      <c r="P477" s="5">
        <f>[1]raw_orders!P477</f>
        <v>0.25</v>
      </c>
      <c r="Q477" t="str">
        <f>PROPER(TRIM([1]raw_orders!T477))</f>
        <v>Pending</v>
      </c>
      <c r="R477" t="str">
        <f>PROPER(TRIM([1]raw_orders!U477))</f>
        <v>Returned</v>
      </c>
      <c r="S477" s="5">
        <f>[1]raw_orders!S477</f>
        <v>4399.54</v>
      </c>
      <c r="T477" s="5">
        <f t="shared" si="56"/>
        <v>43.995399999999997</v>
      </c>
      <c r="U477" s="5">
        <f t="shared" si="57"/>
        <v>-1162189.739424</v>
      </c>
      <c r="V477" s="5">
        <f t="shared" si="58"/>
        <v>-1162189.989424</v>
      </c>
      <c r="W477" s="5">
        <f t="shared" si="59"/>
        <v>1.0000002151111747</v>
      </c>
      <c r="X477" s="5">
        <f t="shared" si="60"/>
        <v>64</v>
      </c>
      <c r="Y477" s="5">
        <f t="shared" si="61"/>
        <v>1</v>
      </c>
      <c r="Z477" s="5">
        <f t="shared" si="62"/>
        <v>2025</v>
      </c>
      <c r="AA477" t="str">
        <f t="shared" si="63"/>
        <v>Clean</v>
      </c>
    </row>
    <row r="478" spans="1:27" x14ac:dyDescent="0.3">
      <c r="A478" t="str">
        <f>[1]raw_orders!A478</f>
        <v>ORD-2024-10477</v>
      </c>
      <c r="B478" s="4">
        <f>IFERROR(DATEVALUE([1]raw_orders!B478), "Invalid Date")</f>
        <v>45478</v>
      </c>
      <c r="C478" s="4" t="str">
        <f>IFERROR(DATEVALUE([1]raw_orders!C478), "Invalid Date")</f>
        <v>Invalid Date</v>
      </c>
      <c r="D478" t="str">
        <f>[1]raw_orders!D478</f>
        <v>CUST-3004</v>
      </c>
      <c r="E478" t="str">
        <f>PROPER(TRIM([1]raw_orders!E478))</f>
        <v>Sneha Kapoor</v>
      </c>
      <c r="F478" t="str">
        <f>PROPER(TRIM([1]raw_orders!F478))</f>
        <v>Small Business</v>
      </c>
      <c r="G478" t="str">
        <f>IF(TRIM([1]raw_orders!G478)="","Unknown",PROPER(TRIM([1]raw_orders!G478)))</f>
        <v>North</v>
      </c>
      <c r="H478" t="str">
        <f>PROPER(TRIM([1]raw_orders!H478))</f>
        <v>Rajasthan</v>
      </c>
      <c r="I478" t="str">
        <f>PROPER(TRIM([1]raw_orders!I478))</f>
        <v>Jaipur</v>
      </c>
      <c r="J478" t="str">
        <f>PROPER(TRIM([1]raw_orders!J478))</f>
        <v>Office Supplies</v>
      </c>
      <c r="K478" t="str">
        <f>PROPER(TRIM([1]raw_orders!K478))</f>
        <v>Storage</v>
      </c>
      <c r="L478" t="str">
        <f>[1]raw_orders!L478</f>
        <v>Classic Storage 545</v>
      </c>
      <c r="M478" t="str">
        <f>IF(TRIM([1]raw_orders!M478)="","Unknown",PROPER(TRIM([1]raw_orders!M478)))</f>
        <v>First Class</v>
      </c>
      <c r="N478" s="5">
        <f>[1]raw_orders!N478</f>
        <v>3</v>
      </c>
      <c r="O478" s="5">
        <f>[1]raw_orders!O478</f>
        <v>383.58</v>
      </c>
      <c r="P478" s="5">
        <f>[1]raw_orders!P478</f>
        <v>0.1</v>
      </c>
      <c r="Q478" t="str">
        <f>PROPER(TRIM([1]raw_orders!T478))</f>
        <v>Paid</v>
      </c>
      <c r="R478" t="str">
        <f>PROPER(TRIM([1]raw_orders!U478))</f>
        <v>Completed</v>
      </c>
      <c r="S478" s="5">
        <f>[1]raw_orders!S478</f>
        <v>440.25</v>
      </c>
      <c r="T478" s="5">
        <f t="shared" si="56"/>
        <v>4.4024999999999999</v>
      </c>
      <c r="U478" s="5">
        <f t="shared" si="57"/>
        <v>-3915.3928499999997</v>
      </c>
      <c r="V478" s="5">
        <f t="shared" si="58"/>
        <v>-3915.4928499999996</v>
      </c>
      <c r="W478" s="5">
        <f t="shared" si="59"/>
        <v>1.0000255402213343</v>
      </c>
      <c r="X478" s="5" t="str">
        <f t="shared" si="60"/>
        <v>Invalid Date</v>
      </c>
      <c r="Y478" s="5">
        <f t="shared" si="61"/>
        <v>7</v>
      </c>
      <c r="Z478" s="5">
        <f t="shared" si="62"/>
        <v>2024</v>
      </c>
      <c r="AA478" t="str">
        <f t="shared" si="63"/>
        <v>Clean</v>
      </c>
    </row>
    <row r="479" spans="1:27" x14ac:dyDescent="0.3">
      <c r="A479" t="str">
        <f>[1]raw_orders!A479</f>
        <v>ORD-2025-10478</v>
      </c>
      <c r="B479" s="4" t="str">
        <f>IFERROR(DATEVALUE([1]raw_orders!B479), "Invalid Date")</f>
        <v>Invalid Date</v>
      </c>
      <c r="C479" s="4">
        <f>IFERROR(DATEVALUE([1]raw_orders!C479), "Invalid Date")</f>
        <v>45897</v>
      </c>
      <c r="D479" t="str">
        <f>[1]raw_orders!D479</f>
        <v>CUST-6920</v>
      </c>
      <c r="E479" t="str">
        <f>PROPER(TRIM([1]raw_orders!E479))</f>
        <v>Vikram Iyer</v>
      </c>
      <c r="F479" t="str">
        <f>PROPER(TRIM([1]raw_orders!F479))</f>
        <v>Corporate</v>
      </c>
      <c r="G479" t="str">
        <f>IF(TRIM([1]raw_orders!G479)="","Unknown",PROPER(TRIM([1]raw_orders!G479)))</f>
        <v>West</v>
      </c>
      <c r="H479" t="str">
        <f>PROPER(TRIM([1]raw_orders!H479))</f>
        <v>Gujarat</v>
      </c>
      <c r="I479" t="str">
        <f>PROPER(TRIM([1]raw_orders!I479))</f>
        <v>Ahmedabad</v>
      </c>
      <c r="J479" t="str">
        <f>PROPER(TRIM([1]raw_orders!J479))</f>
        <v>Furniture</v>
      </c>
      <c r="K479" t="str">
        <f>PROPER(TRIM([1]raw_orders!K479))</f>
        <v>Chairs</v>
      </c>
      <c r="L479" t="str">
        <f>[1]raw_orders!L479</f>
        <v>Pro Chairs 186</v>
      </c>
      <c r="M479" t="str">
        <f>IF(TRIM([1]raw_orders!M479)="","Unknown",PROPER(TRIM([1]raw_orders!M479)))</f>
        <v>Standard Class</v>
      </c>
      <c r="N479" s="5">
        <f>[1]raw_orders!N479</f>
        <v>6</v>
      </c>
      <c r="O479" s="5">
        <f>[1]raw_orders!O479</f>
        <v>2193.23</v>
      </c>
      <c r="P479" s="5">
        <f>[1]raw_orders!P479</f>
        <v>0.1</v>
      </c>
      <c r="Q479" t="str">
        <f>PROPER(TRIM([1]raw_orders!T479))</f>
        <v>Paid</v>
      </c>
      <c r="R479" t="str">
        <f>PROPER(TRIM([1]raw_orders!U479))</f>
        <v>Cancelled</v>
      </c>
      <c r="S479" s="5">
        <f>[1]raw_orders!S479</f>
        <v>2486.56</v>
      </c>
      <c r="T479" s="5">
        <f t="shared" si="56"/>
        <v>24.865600000000001</v>
      </c>
      <c r="U479" s="5">
        <f t="shared" si="57"/>
        <v>-314056.49932800001</v>
      </c>
      <c r="V479" s="5">
        <f t="shared" si="58"/>
        <v>-314056.59932799998</v>
      </c>
      <c r="W479" s="5">
        <f t="shared" si="59"/>
        <v>1.000000318414044</v>
      </c>
      <c r="X479" s="5" t="str">
        <f t="shared" si="60"/>
        <v>Invalid Date</v>
      </c>
      <c r="Y479" s="5" t="e">
        <f t="shared" si="61"/>
        <v>#VALUE!</v>
      </c>
      <c r="Z479" s="5" t="e">
        <f t="shared" si="62"/>
        <v>#VALUE!</v>
      </c>
      <c r="AA479" t="str">
        <f t="shared" si="63"/>
        <v>Clean</v>
      </c>
    </row>
    <row r="480" spans="1:27" x14ac:dyDescent="0.3">
      <c r="A480" t="str">
        <f>[1]raw_orders!A480</f>
        <v>ORD-2024-10479</v>
      </c>
      <c r="B480" s="4">
        <f>IFERROR(DATEVALUE([1]raw_orders!B480), "Invalid Date")</f>
        <v>45541</v>
      </c>
      <c r="C480" s="4">
        <f>IFERROR(DATEVALUE([1]raw_orders!C480), "Invalid Date")</f>
        <v>45456</v>
      </c>
      <c r="D480" t="str">
        <f>[1]raw_orders!D480</f>
        <v>CUST-4838</v>
      </c>
      <c r="E480" t="str">
        <f>PROPER(TRIM([1]raw_orders!E480))</f>
        <v>Mira Das</v>
      </c>
      <c r="F480" t="str">
        <f>PROPER(TRIM([1]raw_orders!F480))</f>
        <v>Home Office</v>
      </c>
      <c r="G480" t="str">
        <f>IF(TRIM([1]raw_orders!G480)="","Unknown",PROPER(TRIM([1]raw_orders!G480)))</f>
        <v>Unknown</v>
      </c>
      <c r="H480" t="str">
        <f>PROPER(TRIM([1]raw_orders!H480))</f>
        <v>Uttar Pradesh</v>
      </c>
      <c r="I480" t="str">
        <f>PROPER(TRIM([1]raw_orders!I480))</f>
        <v>Noida</v>
      </c>
      <c r="J480" t="str">
        <f>PROPER(TRIM([1]raw_orders!J480))</f>
        <v>Technology</v>
      </c>
      <c r="K480" t="str">
        <f>PROPER(TRIM([1]raw_orders!K480))</f>
        <v>Machines</v>
      </c>
      <c r="L480" t="str">
        <f>[1]raw_orders!L480</f>
        <v>Classic Machines 561</v>
      </c>
      <c r="M480" t="str">
        <f>IF(TRIM([1]raw_orders!M480)="","Unknown",PROPER(TRIM([1]raw_orders!M480)))</f>
        <v>Same Day</v>
      </c>
      <c r="N480" s="5">
        <f>[1]raw_orders!N480</f>
        <v>7</v>
      </c>
      <c r="O480" s="5">
        <f>[1]raw_orders!O480</f>
        <v>4079.71</v>
      </c>
      <c r="P480" s="5">
        <f>[1]raw_orders!P480</f>
        <v>0.1</v>
      </c>
      <c r="Q480" t="str">
        <f>PROPER(TRIM([1]raw_orders!T480))</f>
        <v>Refunded</v>
      </c>
      <c r="R480" t="str">
        <f>PROPER(TRIM([1]raw_orders!U480))</f>
        <v>Returned</v>
      </c>
      <c r="S480" s="5">
        <f>[1]raw_orders!S480</f>
        <v>11130.69</v>
      </c>
      <c r="T480" s="5">
        <f t="shared" si="56"/>
        <v>111.3069</v>
      </c>
      <c r="U480" s="5">
        <f t="shared" si="57"/>
        <v>-3150141.140993</v>
      </c>
      <c r="V480" s="5">
        <f t="shared" si="58"/>
        <v>-3150141.2409930001</v>
      </c>
      <c r="W480" s="5">
        <f t="shared" si="59"/>
        <v>1.0000000317446094</v>
      </c>
      <c r="X480" s="5">
        <f t="shared" si="60"/>
        <v>-85</v>
      </c>
      <c r="Y480" s="5">
        <f t="shared" si="61"/>
        <v>9</v>
      </c>
      <c r="Z480" s="5">
        <f t="shared" si="62"/>
        <v>2024</v>
      </c>
      <c r="AA480" t="str">
        <f t="shared" si="63"/>
        <v>Invalid</v>
      </c>
    </row>
    <row r="481" spans="1:27" x14ac:dyDescent="0.3">
      <c r="A481" t="str">
        <f>[1]raw_orders!A481</f>
        <v>ORD-2024-10480</v>
      </c>
      <c r="B481" s="4">
        <f>IFERROR(DATEVALUE([1]raw_orders!B481), "Invalid Date")</f>
        <v>45345</v>
      </c>
      <c r="C481" s="4">
        <f>IFERROR(DATEVALUE([1]raw_orders!C481), "Invalid Date")</f>
        <v>45342</v>
      </c>
      <c r="D481" t="str">
        <f>[1]raw_orders!D481</f>
        <v>CUST-7520</v>
      </c>
      <c r="E481" t="str">
        <f>PROPER(TRIM([1]raw_orders!E481))</f>
        <v>Arjun Bose</v>
      </c>
      <c r="F481" t="str">
        <f>PROPER(TRIM([1]raw_orders!F481))</f>
        <v>Corporate</v>
      </c>
      <c r="G481" t="str">
        <f>IF(TRIM([1]raw_orders!G481)="","Unknown",PROPER(TRIM([1]raw_orders!G481)))</f>
        <v>East</v>
      </c>
      <c r="H481" t="str">
        <f>PROPER(TRIM([1]raw_orders!H481))</f>
        <v>Odisha</v>
      </c>
      <c r="I481" t="str">
        <f>PROPER(TRIM([1]raw_orders!I481))</f>
        <v>Bhubaneswar</v>
      </c>
      <c r="J481" t="str">
        <f>PROPER(TRIM([1]raw_orders!J481))</f>
        <v>Furniture</v>
      </c>
      <c r="K481" t="str">
        <f>PROPER(TRIM([1]raw_orders!K481))</f>
        <v>Chairs</v>
      </c>
      <c r="L481" t="str">
        <f>[1]raw_orders!L481</f>
        <v>Max Chairs 594</v>
      </c>
      <c r="M481" t="str">
        <f>IF(TRIM([1]raw_orders!M481)="","Unknown",PROPER(TRIM([1]raw_orders!M481)))</f>
        <v>Second Class</v>
      </c>
      <c r="N481" s="5">
        <f>[1]raw_orders!N481</f>
        <v>1</v>
      </c>
      <c r="O481" s="5">
        <f>[1]raw_orders!O481</f>
        <v>2202.5500000000002</v>
      </c>
      <c r="P481" s="5">
        <f>[1]raw_orders!P481</f>
        <v>0</v>
      </c>
      <c r="Q481" t="str">
        <f>PROPER(TRIM([1]raw_orders!T481))</f>
        <v>Paid</v>
      </c>
      <c r="R481" t="str">
        <f>PROPER(TRIM([1]raw_orders!U481))</f>
        <v>Completed</v>
      </c>
      <c r="S481" s="5">
        <f>[1]raw_orders!S481</f>
        <v>617.34</v>
      </c>
      <c r="T481" s="5">
        <f t="shared" si="56"/>
        <v>6.1734</v>
      </c>
      <c r="U481" s="5">
        <f t="shared" si="57"/>
        <v>-11394.672170000002</v>
      </c>
      <c r="V481" s="5">
        <f t="shared" si="58"/>
        <v>-11394.672170000002</v>
      </c>
      <c r="W481" s="5">
        <f t="shared" si="59"/>
        <v>1</v>
      </c>
      <c r="X481" s="5">
        <f t="shared" si="60"/>
        <v>-3</v>
      </c>
      <c r="Y481" s="5">
        <f t="shared" si="61"/>
        <v>2</v>
      </c>
      <c r="Z481" s="5">
        <f t="shared" si="62"/>
        <v>2024</v>
      </c>
      <c r="AA481" t="str">
        <f t="shared" si="63"/>
        <v>Invalid</v>
      </c>
    </row>
    <row r="482" spans="1:27" x14ac:dyDescent="0.3">
      <c r="A482" t="str">
        <f>[1]raw_orders!A482</f>
        <v>ORD-2025-10481</v>
      </c>
      <c r="B482" s="4">
        <f>IFERROR(DATEVALUE([1]raw_orders!B482), "Invalid Date")</f>
        <v>45662</v>
      </c>
      <c r="C482" s="4">
        <f>IFERROR(DATEVALUE([1]raw_orders!C482), "Invalid Date")</f>
        <v>45666</v>
      </c>
      <c r="D482" t="str">
        <f>[1]raw_orders!D482</f>
        <v>CUST-9947</v>
      </c>
      <c r="E482" t="str">
        <f>PROPER(TRIM([1]raw_orders!E482))</f>
        <v>Neha Gupta</v>
      </c>
      <c r="F482" t="str">
        <f>PROPER(TRIM([1]raw_orders!F482))</f>
        <v>Small Business</v>
      </c>
      <c r="G482" t="str">
        <f>IF(TRIM([1]raw_orders!G482)="","Unknown",PROPER(TRIM([1]raw_orders!G482)))</f>
        <v>South</v>
      </c>
      <c r="H482" t="str">
        <f>PROPER(TRIM([1]raw_orders!H482))</f>
        <v>Tamil Nadu</v>
      </c>
      <c r="I482" t="str">
        <f>PROPER(TRIM([1]raw_orders!I482))</f>
        <v>Chennai</v>
      </c>
      <c r="J482" t="str">
        <f>PROPER(TRIM([1]raw_orders!J482))</f>
        <v>Office Supplies</v>
      </c>
      <c r="K482" t="str">
        <f>PROPER(TRIM([1]raw_orders!K482))</f>
        <v>Storage</v>
      </c>
      <c r="L482" t="str">
        <f>[1]raw_orders!L482</f>
        <v>Eco Storage 923</v>
      </c>
      <c r="M482" t="str">
        <f>IF(TRIM([1]raw_orders!M482)="","Unknown",PROPER(TRIM([1]raw_orders!M482)))</f>
        <v>Unknown</v>
      </c>
      <c r="N482" s="5">
        <f>[1]raw_orders!N482</f>
        <v>5</v>
      </c>
      <c r="O482" s="5">
        <f>[1]raw_orders!O482</f>
        <v>905.16</v>
      </c>
      <c r="P482" s="5">
        <f>[1]raw_orders!P482</f>
        <v>0</v>
      </c>
      <c r="Q482" t="str">
        <f>PROPER(TRIM([1]raw_orders!T482))</f>
        <v>Paid</v>
      </c>
      <c r="R482" t="str">
        <f>PROPER(TRIM([1]raw_orders!U482))</f>
        <v>Completed</v>
      </c>
      <c r="S482" s="5">
        <f>[1]raw_orders!S482</f>
        <v>1811.29</v>
      </c>
      <c r="T482" s="5">
        <f t="shared" si="56"/>
        <v>18.1129</v>
      </c>
      <c r="U482" s="5">
        <f t="shared" si="57"/>
        <v>-77449.562820000006</v>
      </c>
      <c r="V482" s="5">
        <f t="shared" si="58"/>
        <v>-77449.562820000006</v>
      </c>
      <c r="W482" s="5">
        <f t="shared" si="59"/>
        <v>1</v>
      </c>
      <c r="X482" s="5">
        <f t="shared" si="60"/>
        <v>4</v>
      </c>
      <c r="Y482" s="5">
        <f t="shared" si="61"/>
        <v>1</v>
      </c>
      <c r="Z482" s="5">
        <f t="shared" si="62"/>
        <v>2025</v>
      </c>
      <c r="AA482" t="str">
        <f t="shared" si="63"/>
        <v>Warning</v>
      </c>
    </row>
    <row r="483" spans="1:27" x14ac:dyDescent="0.3">
      <c r="A483" t="str">
        <f>[1]raw_orders!A483</f>
        <v>ORD-2025-10482</v>
      </c>
      <c r="B483" s="4">
        <f>IFERROR(DATEVALUE([1]raw_orders!B483), "Invalid Date")</f>
        <v>45813</v>
      </c>
      <c r="C483" s="4" t="str">
        <f>IFERROR(DATEVALUE([1]raw_orders!C483), "Invalid Date")</f>
        <v>Invalid Date</v>
      </c>
      <c r="D483" t="str">
        <f>[1]raw_orders!D483</f>
        <v>CUST-4403</v>
      </c>
      <c r="E483" t="str">
        <f>PROPER(TRIM([1]raw_orders!E483))</f>
        <v>Isha Nair</v>
      </c>
      <c r="F483" t="str">
        <f>PROPER(TRIM([1]raw_orders!F483))</f>
        <v>Consumer</v>
      </c>
      <c r="G483" t="str">
        <f>IF(TRIM([1]raw_orders!G483)="","Unknown",PROPER(TRIM([1]raw_orders!G483)))</f>
        <v>North</v>
      </c>
      <c r="H483" t="str">
        <f>PROPER(TRIM([1]raw_orders!H483))</f>
        <v>Uttar Pradesh</v>
      </c>
      <c r="I483" t="str">
        <f>PROPER(TRIM([1]raw_orders!I483))</f>
        <v>Noida</v>
      </c>
      <c r="J483" t="str">
        <f>PROPER(TRIM([1]raw_orders!J483))</f>
        <v>Technology</v>
      </c>
      <c r="K483" t="str">
        <f>PROPER(TRIM([1]raw_orders!K483))</f>
        <v>Machines</v>
      </c>
      <c r="L483" t="str">
        <f>[1]raw_orders!L483</f>
        <v>Classic Machines 287</v>
      </c>
      <c r="M483" t="str">
        <f>IF(TRIM([1]raw_orders!M483)="","Unknown",PROPER(TRIM([1]raw_orders!M483)))</f>
        <v>Same Day</v>
      </c>
      <c r="N483" s="5">
        <f>[1]raw_orders!N483</f>
        <v>4</v>
      </c>
      <c r="O483" s="5">
        <f>[1]raw_orders!O483</f>
        <v>2793.88</v>
      </c>
      <c r="P483" s="5" t="str">
        <f>[1]raw_orders!P483</f>
        <v>85%</v>
      </c>
      <c r="Q483" t="str">
        <f>PROPER(TRIM([1]raw_orders!T483))</f>
        <v>Paid</v>
      </c>
      <c r="R483" t="str">
        <f>PROPER(TRIM([1]raw_orders!U483))</f>
        <v>Completed</v>
      </c>
      <c r="S483" s="5">
        <f>[1]raw_orders!S483</f>
        <v>4263.1499999999996</v>
      </c>
      <c r="T483" s="5">
        <f t="shared" si="56"/>
        <v>42.631499999999996</v>
      </c>
      <c r="U483" s="5">
        <f t="shared" si="57"/>
        <v>-465253.66087999998</v>
      </c>
      <c r="V483" s="5" t="str">
        <f t="shared" si="58"/>
        <v>Calculation Error</v>
      </c>
      <c r="W483" s="5" t="str">
        <f t="shared" si="59"/>
        <v>Calculation Error</v>
      </c>
      <c r="X483" s="5" t="str">
        <f t="shared" si="60"/>
        <v>Invalid Date</v>
      </c>
      <c r="Y483" s="5">
        <f t="shared" si="61"/>
        <v>6</v>
      </c>
      <c r="Z483" s="5">
        <f t="shared" si="62"/>
        <v>2025</v>
      </c>
      <c r="AA483" t="str">
        <f t="shared" si="63"/>
        <v>Clean</v>
      </c>
    </row>
    <row r="484" spans="1:27" x14ac:dyDescent="0.3">
      <c r="A484" t="str">
        <f>[1]raw_orders!A484</f>
        <v>ORD-2024-10483</v>
      </c>
      <c r="B484" s="4" t="str">
        <f>IFERROR(DATEVALUE([1]raw_orders!B484), "Invalid Date")</f>
        <v>Invalid Date</v>
      </c>
      <c r="C484" s="4" t="str">
        <f>IFERROR(DATEVALUE([1]raw_orders!C484), "Invalid Date")</f>
        <v>Invalid Date</v>
      </c>
      <c r="D484" t="str">
        <f>[1]raw_orders!D484</f>
        <v>CUST-3583</v>
      </c>
      <c r="E484" t="str">
        <f>PROPER(TRIM([1]raw_orders!E484))</f>
        <v>Priya Menon</v>
      </c>
      <c r="F484" t="str">
        <f>PROPER(TRIM([1]raw_orders!F484))</f>
        <v>Consumer</v>
      </c>
      <c r="G484" t="str">
        <f>IF(TRIM([1]raw_orders!G484)="","Unknown",PROPER(TRIM([1]raw_orders!G484)))</f>
        <v>South</v>
      </c>
      <c r="H484" t="str">
        <f>PROPER(TRIM([1]raw_orders!H484))</f>
        <v>Karnataka</v>
      </c>
      <c r="I484" t="str">
        <f>PROPER(TRIM([1]raw_orders!I484))</f>
        <v>Bengaluru</v>
      </c>
      <c r="J484" t="str">
        <f>PROPER(TRIM([1]raw_orders!J484))</f>
        <v>Technology</v>
      </c>
      <c r="K484" t="str">
        <f>PROPER(TRIM([1]raw_orders!K484))</f>
        <v>Accessories</v>
      </c>
      <c r="L484" t="str">
        <f>[1]raw_orders!L484</f>
        <v>Basic Accessories 518</v>
      </c>
      <c r="M484" t="str">
        <f>IF(TRIM([1]raw_orders!M484)="","Unknown",PROPER(TRIM([1]raw_orders!M484)))</f>
        <v>Second Class</v>
      </c>
      <c r="N484" s="5">
        <f>[1]raw_orders!N484</f>
        <v>3</v>
      </c>
      <c r="O484" s="5">
        <f>[1]raw_orders!O484</f>
        <v>1286.22</v>
      </c>
      <c r="P484" s="5">
        <f>[1]raw_orders!P484</f>
        <v>0.25</v>
      </c>
      <c r="Q484" t="str">
        <f>PROPER(TRIM([1]raw_orders!T484))</f>
        <v>Paid</v>
      </c>
      <c r="R484" t="str">
        <f>PROPER(TRIM([1]raw_orders!U484))</f>
        <v>Completed</v>
      </c>
      <c r="S484" s="5">
        <f>[1]raw_orders!S484</f>
        <v>1037.96</v>
      </c>
      <c r="T484" s="5">
        <f t="shared" si="56"/>
        <v>10.3796</v>
      </c>
      <c r="U484" s="5">
        <f t="shared" si="57"/>
        <v>-36192.687335999995</v>
      </c>
      <c r="V484" s="5">
        <f t="shared" si="58"/>
        <v>-36192.937335999995</v>
      </c>
      <c r="W484" s="5">
        <f t="shared" si="59"/>
        <v>1.0000069074727078</v>
      </c>
      <c r="X484" s="5" t="str">
        <f t="shared" si="60"/>
        <v>Invalid Date</v>
      </c>
      <c r="Y484" s="5" t="e">
        <f t="shared" si="61"/>
        <v>#VALUE!</v>
      </c>
      <c r="Z484" s="5" t="e">
        <f t="shared" si="62"/>
        <v>#VALUE!</v>
      </c>
      <c r="AA484" t="str">
        <f t="shared" si="63"/>
        <v>Clean</v>
      </c>
    </row>
    <row r="485" spans="1:27" x14ac:dyDescent="0.3">
      <c r="A485" t="str">
        <f>[1]raw_orders!A485</f>
        <v>ORD-2024-10484</v>
      </c>
      <c r="B485" s="4">
        <f>IFERROR(DATEVALUE([1]raw_orders!B485), "Invalid Date")</f>
        <v>45651</v>
      </c>
      <c r="C485" s="4">
        <f>IFERROR(DATEVALUE([1]raw_orders!C485), "Invalid Date")</f>
        <v>45651</v>
      </c>
      <c r="D485" t="str">
        <f>[1]raw_orders!D485</f>
        <v>CUST-9432</v>
      </c>
      <c r="E485" t="str">
        <f>PROPER(TRIM([1]raw_orders!E485))</f>
        <v>Mira Das</v>
      </c>
      <c r="F485" t="str">
        <f>PROPER(TRIM([1]raw_orders!F485))</f>
        <v>Corporate</v>
      </c>
      <c r="G485" t="str">
        <f>IF(TRIM([1]raw_orders!G485)="","Unknown",PROPER(TRIM([1]raw_orders!G485)))</f>
        <v>East</v>
      </c>
      <c r="H485" t="str">
        <f>PROPER(TRIM([1]raw_orders!H485))</f>
        <v>Bihar</v>
      </c>
      <c r="I485" t="str">
        <f>PROPER(TRIM([1]raw_orders!I485))</f>
        <v>Patna</v>
      </c>
      <c r="J485" t="str">
        <f>PROPER(TRIM([1]raw_orders!J485))</f>
        <v>Technology</v>
      </c>
      <c r="K485" t="str">
        <f>PROPER(TRIM([1]raw_orders!K485))</f>
        <v>Copiers</v>
      </c>
      <c r="L485" t="str">
        <f>[1]raw_orders!L485</f>
        <v>Pro Copiers 984</v>
      </c>
      <c r="M485" t="str">
        <f>IF(TRIM([1]raw_orders!M485)="","Unknown",PROPER(TRIM([1]raw_orders!M485)))</f>
        <v>Standard Class</v>
      </c>
      <c r="N485" s="5">
        <f>[1]raw_orders!N485</f>
        <v>1</v>
      </c>
      <c r="O485" s="5">
        <f>[1]raw_orders!O485</f>
        <v>829.66</v>
      </c>
      <c r="P485" s="5">
        <f>[1]raw_orders!P485</f>
        <v>0.15</v>
      </c>
      <c r="Q485" t="str">
        <f>PROPER(TRIM([1]raw_orders!T485))</f>
        <v>Paid</v>
      </c>
      <c r="R485" t="str">
        <f>PROPER(TRIM([1]raw_orders!U485))</f>
        <v>Completed</v>
      </c>
      <c r="S485" s="5">
        <f>[1]raw_orders!S485</f>
        <v>266.89</v>
      </c>
      <c r="T485" s="5">
        <f t="shared" si="56"/>
        <v>2.6688999999999998</v>
      </c>
      <c r="U485" s="5">
        <f t="shared" si="57"/>
        <v>-1384.6195739999998</v>
      </c>
      <c r="V485" s="5">
        <f t="shared" si="58"/>
        <v>-1384.7695739999999</v>
      </c>
      <c r="W485" s="5">
        <f t="shared" si="59"/>
        <v>1.0001083330055538</v>
      </c>
      <c r="X485" s="5">
        <f t="shared" si="60"/>
        <v>0</v>
      </c>
      <c r="Y485" s="5">
        <f t="shared" si="61"/>
        <v>12</v>
      </c>
      <c r="Z485" s="5">
        <f t="shared" si="62"/>
        <v>2024</v>
      </c>
      <c r="AA485" t="str">
        <f t="shared" si="63"/>
        <v>Clean</v>
      </c>
    </row>
    <row r="486" spans="1:27" x14ac:dyDescent="0.3">
      <c r="A486" t="str">
        <f>[1]raw_orders!A486</f>
        <v>ORD-2024-10485</v>
      </c>
      <c r="B486" s="4">
        <f>IFERROR(DATEVALUE([1]raw_orders!B486), "Invalid Date")</f>
        <v>45654</v>
      </c>
      <c r="C486" s="4" t="str">
        <f>IFERROR(DATEVALUE([1]raw_orders!C486), "Invalid Date")</f>
        <v>Invalid Date</v>
      </c>
      <c r="D486" t="str">
        <f>[1]raw_orders!D486</f>
        <v>CUST-1801</v>
      </c>
      <c r="E486" t="str">
        <f>PROPER(TRIM([1]raw_orders!E486))</f>
        <v>Mira Das</v>
      </c>
      <c r="F486" t="str">
        <f>PROPER(TRIM([1]raw_orders!F486))</f>
        <v>Small Business</v>
      </c>
      <c r="G486" t="str">
        <f>IF(TRIM([1]raw_orders!G486)="","Unknown",PROPER(TRIM([1]raw_orders!G486)))</f>
        <v>South</v>
      </c>
      <c r="H486" t="str">
        <f>PROPER(TRIM([1]raw_orders!H486))</f>
        <v>Andhra Pradesh</v>
      </c>
      <c r="I486" t="str">
        <f>PROPER(TRIM([1]raw_orders!I486))</f>
        <v>Vijayawada</v>
      </c>
      <c r="J486" t="str">
        <f>PROPER(TRIM([1]raw_orders!J486))</f>
        <v>Furniture</v>
      </c>
      <c r="K486" t="str">
        <f>PROPER(TRIM([1]raw_orders!K486))</f>
        <v>Furnishings</v>
      </c>
      <c r="L486" t="str">
        <f>[1]raw_orders!L486</f>
        <v>Max Furnishings 297</v>
      </c>
      <c r="M486" t="str">
        <f>IF(TRIM([1]raw_orders!M486)="","Unknown",PROPER(TRIM([1]raw_orders!M486)))</f>
        <v>First Class</v>
      </c>
      <c r="N486" s="5">
        <f>[1]raw_orders!N486</f>
        <v>6</v>
      </c>
      <c r="O486" s="5">
        <f>[1]raw_orders!O486</f>
        <v>3641.22</v>
      </c>
      <c r="P486" s="5">
        <f>[1]raw_orders!P486</f>
        <v>0.25</v>
      </c>
      <c r="Q486" t="str">
        <f>PROPER(TRIM([1]raw_orders!T486))</f>
        <v>Paid</v>
      </c>
      <c r="R486" t="str">
        <f>PROPER(TRIM([1]raw_orders!U486))</f>
        <v>Completed</v>
      </c>
      <c r="S486" s="5">
        <f>[1]raw_orders!S486</f>
        <v>2706.25</v>
      </c>
      <c r="T486" s="5">
        <f t="shared" si="56"/>
        <v>27.0625</v>
      </c>
      <c r="U486" s="5">
        <f t="shared" si="57"/>
        <v>-569395.77749999997</v>
      </c>
      <c r="V486" s="5">
        <f t="shared" si="58"/>
        <v>-569396.02749999997</v>
      </c>
      <c r="W486" s="5">
        <f t="shared" si="59"/>
        <v>1.0000004390619142</v>
      </c>
      <c r="X486" s="5" t="str">
        <f t="shared" si="60"/>
        <v>Invalid Date</v>
      </c>
      <c r="Y486" s="5">
        <f t="shared" si="61"/>
        <v>12</v>
      </c>
      <c r="Z486" s="5">
        <f t="shared" si="62"/>
        <v>2024</v>
      </c>
      <c r="AA486" t="str">
        <f t="shared" si="63"/>
        <v>Clean</v>
      </c>
    </row>
    <row r="487" spans="1:27" x14ac:dyDescent="0.3">
      <c r="A487" t="str">
        <f>[1]raw_orders!A487</f>
        <v>ORD-2025-10486</v>
      </c>
      <c r="B487" s="4">
        <f>IFERROR(DATEVALUE([1]raw_orders!B487), "Invalid Date")</f>
        <v>45679</v>
      </c>
      <c r="C487" s="4">
        <f>IFERROR(DATEVALUE([1]raw_orders!C487), "Invalid Date")</f>
        <v>45680</v>
      </c>
      <c r="D487" t="str">
        <f>[1]raw_orders!D487</f>
        <v>CUST-1594</v>
      </c>
      <c r="E487" t="str">
        <f>PROPER(TRIM([1]raw_orders!E487))</f>
        <v>Rahul Verma</v>
      </c>
      <c r="F487" t="str">
        <f>PROPER(TRIM([1]raw_orders!F487))</f>
        <v>Corporate</v>
      </c>
      <c r="G487" t="str">
        <f>IF(TRIM([1]raw_orders!G487)="","Unknown",PROPER(TRIM([1]raw_orders!G487)))</f>
        <v>West</v>
      </c>
      <c r="H487" t="str">
        <f>PROPER(TRIM([1]raw_orders!H487))</f>
        <v>Goa</v>
      </c>
      <c r="I487" t="str">
        <f>PROPER(TRIM([1]raw_orders!I487))</f>
        <v>Panaji</v>
      </c>
      <c r="J487" t="str">
        <f>PROPER(TRIM([1]raw_orders!J487))</f>
        <v>Furniture</v>
      </c>
      <c r="K487" t="str">
        <f>PROPER(TRIM([1]raw_orders!K487))</f>
        <v>Bookcases</v>
      </c>
      <c r="L487" t="str">
        <f>[1]raw_orders!L487</f>
        <v>Elite Bookcases 802</v>
      </c>
      <c r="M487" t="str">
        <f>IF(TRIM([1]raw_orders!M487)="","Unknown",PROPER(TRIM([1]raw_orders!M487)))</f>
        <v>Standard Class</v>
      </c>
      <c r="N487" s="5">
        <f>[1]raw_orders!N487</f>
        <v>4</v>
      </c>
      <c r="O487" s="5">
        <f>[1]raw_orders!O487</f>
        <v>2555.19</v>
      </c>
      <c r="P487" s="5">
        <f>[1]raw_orders!P487</f>
        <v>0.25</v>
      </c>
      <c r="Q487" t="str">
        <f>PROPER(TRIM([1]raw_orders!T487))</f>
        <v>Paid</v>
      </c>
      <c r="R487" t="str">
        <f>PROPER(TRIM([1]raw_orders!U487))</f>
        <v>Completed</v>
      </c>
      <c r="S487" s="5">
        <f>[1]raw_orders!S487</f>
        <v>2069.9699999999998</v>
      </c>
      <c r="T487" s="5">
        <f t="shared" si="56"/>
        <v>20.699699999999996</v>
      </c>
      <c r="U487" s="5">
        <f t="shared" si="57"/>
        <v>-201345.90577199997</v>
      </c>
      <c r="V487" s="5">
        <f t="shared" si="58"/>
        <v>-201346.15577199997</v>
      </c>
      <c r="W487" s="5">
        <f t="shared" si="59"/>
        <v>1.0000012416443187</v>
      </c>
      <c r="X487" s="5">
        <f t="shared" si="60"/>
        <v>1</v>
      </c>
      <c r="Y487" s="5">
        <f t="shared" si="61"/>
        <v>1</v>
      </c>
      <c r="Z487" s="5">
        <f t="shared" si="62"/>
        <v>2025</v>
      </c>
      <c r="AA487" t="str">
        <f t="shared" si="63"/>
        <v>Clean</v>
      </c>
    </row>
    <row r="488" spans="1:27" x14ac:dyDescent="0.3">
      <c r="A488" t="str">
        <f>[1]raw_orders!A488</f>
        <v>ORD-2025-10487</v>
      </c>
      <c r="B488" s="4">
        <f>IFERROR(DATEVALUE([1]raw_orders!B488), "Invalid Date")</f>
        <v>45830</v>
      </c>
      <c r="C488" s="4" t="str">
        <f>IFERROR(DATEVALUE([1]raw_orders!C488), "Invalid Date")</f>
        <v>Invalid Date</v>
      </c>
      <c r="D488" t="str">
        <f>[1]raw_orders!D488</f>
        <v>CUST-8132</v>
      </c>
      <c r="E488" t="str">
        <f>PROPER(TRIM([1]raw_orders!E488))</f>
        <v>Rahul Verma</v>
      </c>
      <c r="F488" t="str">
        <f>PROPER(TRIM([1]raw_orders!F488))</f>
        <v>Corporate</v>
      </c>
      <c r="G488" t="str">
        <f>IF(TRIM([1]raw_orders!G488)="","Unknown",PROPER(TRIM([1]raw_orders!G488)))</f>
        <v>West</v>
      </c>
      <c r="H488" t="str">
        <f>PROPER(TRIM([1]raw_orders!H488))</f>
        <v>Goa</v>
      </c>
      <c r="I488" t="str">
        <f>PROPER(TRIM([1]raw_orders!I488))</f>
        <v>Panaji</v>
      </c>
      <c r="J488" t="str">
        <f>PROPER(TRIM([1]raw_orders!J488))</f>
        <v>Furniture</v>
      </c>
      <c r="K488" t="str">
        <f>PROPER(TRIM([1]raw_orders!K488))</f>
        <v>Tables</v>
      </c>
      <c r="L488" t="str">
        <f>[1]raw_orders!L488</f>
        <v>Pro Tables 257</v>
      </c>
      <c r="M488" t="str">
        <f>IF(TRIM([1]raw_orders!M488)="","Unknown",PROPER(TRIM([1]raw_orders!M488)))</f>
        <v>Standard Class</v>
      </c>
      <c r="N488" s="5">
        <f>[1]raw_orders!N488</f>
        <v>3</v>
      </c>
      <c r="O488" s="5">
        <f>[1]raw_orders!O488</f>
        <v>1946.18</v>
      </c>
      <c r="P488" s="5">
        <f>[1]raw_orders!P488</f>
        <v>0.2</v>
      </c>
      <c r="Q488" t="str">
        <f>PROPER(TRIM([1]raw_orders!T488))</f>
        <v>Paid</v>
      </c>
      <c r="R488" t="str">
        <f>PROPER(TRIM([1]raw_orders!U488))</f>
        <v>Completed</v>
      </c>
      <c r="S488" s="5">
        <f>[1]raw_orders!S488</f>
        <v>1504.34</v>
      </c>
      <c r="T488" s="5">
        <f t="shared" si="56"/>
        <v>15.043399999999998</v>
      </c>
      <c r="U488" s="5">
        <f t="shared" si="57"/>
        <v>-81992.952635999987</v>
      </c>
      <c r="V488" s="5">
        <f t="shared" si="58"/>
        <v>-81993.152635999984</v>
      </c>
      <c r="W488" s="5">
        <f t="shared" si="59"/>
        <v>1.0000024392340263</v>
      </c>
      <c r="X488" s="5" t="str">
        <f t="shared" si="60"/>
        <v>Invalid Date</v>
      </c>
      <c r="Y488" s="5">
        <f t="shared" si="61"/>
        <v>6</v>
      </c>
      <c r="Z488" s="5">
        <f t="shared" si="62"/>
        <v>2025</v>
      </c>
      <c r="AA488" t="str">
        <f t="shared" si="63"/>
        <v>Clean</v>
      </c>
    </row>
    <row r="489" spans="1:27" x14ac:dyDescent="0.3">
      <c r="A489" t="str">
        <f>[1]raw_orders!A489</f>
        <v>ORD-2025-10488</v>
      </c>
      <c r="B489" s="4">
        <f>IFERROR(DATEVALUE([1]raw_orders!B489), "Invalid Date")</f>
        <v>45818</v>
      </c>
      <c r="C489" s="4" t="str">
        <f>IFERROR(DATEVALUE([1]raw_orders!C489), "Invalid Date")</f>
        <v>Invalid Date</v>
      </c>
      <c r="D489" t="str">
        <f>[1]raw_orders!D489</f>
        <v>CUST-7685</v>
      </c>
      <c r="E489" t="str">
        <f>PROPER(TRIM([1]raw_orders!E489))</f>
        <v>Rahul Verma</v>
      </c>
      <c r="F489" t="str">
        <f>PROPER(TRIM([1]raw_orders!F489))</f>
        <v>Corporate</v>
      </c>
      <c r="G489" t="str">
        <f>IF(TRIM([1]raw_orders!G489)="","Unknown",PROPER(TRIM([1]raw_orders!G489)))</f>
        <v>South</v>
      </c>
      <c r="H489" t="str">
        <f>PROPER(TRIM([1]raw_orders!H489))</f>
        <v>Telangana</v>
      </c>
      <c r="I489" t="str">
        <f>PROPER(TRIM([1]raw_orders!I489))</f>
        <v>Hyderabad</v>
      </c>
      <c r="J489" t="str">
        <f>PROPER(TRIM([1]raw_orders!J489))</f>
        <v>Furniture</v>
      </c>
      <c r="K489" t="str">
        <f>PROPER(TRIM([1]raw_orders!K489))</f>
        <v>Furnishings</v>
      </c>
      <c r="L489" t="str">
        <f>[1]raw_orders!L489</f>
        <v>Prime Furnishings 299</v>
      </c>
      <c r="M489" t="str">
        <f>IF(TRIM([1]raw_orders!M489)="","Unknown",PROPER(TRIM([1]raw_orders!M489)))</f>
        <v>Standard Class</v>
      </c>
      <c r="N489" s="5">
        <f>[1]raw_orders!N489</f>
        <v>5</v>
      </c>
      <c r="O489" s="5">
        <f>[1]raw_orders!O489</f>
        <v>1231.0999999999999</v>
      </c>
      <c r="P489" s="5">
        <f>[1]raw_orders!P489</f>
        <v>0</v>
      </c>
      <c r="Q489" t="str">
        <f>PROPER(TRIM([1]raw_orders!T489))</f>
        <v>Refunded</v>
      </c>
      <c r="R489" t="str">
        <f>PROPER(TRIM([1]raw_orders!U489))</f>
        <v>Returned</v>
      </c>
      <c r="S489" s="5">
        <f>[1]raw_orders!S489</f>
        <v>1873.41</v>
      </c>
      <c r="T489" s="5">
        <f t="shared" si="56"/>
        <v>18.734100000000002</v>
      </c>
      <c r="U489" s="5">
        <f t="shared" si="57"/>
        <v>-109162.25255</v>
      </c>
      <c r="V489" s="5">
        <f t="shared" si="58"/>
        <v>-109162.25255</v>
      </c>
      <c r="W489" s="5">
        <f t="shared" si="59"/>
        <v>1</v>
      </c>
      <c r="X489" s="5" t="str">
        <f t="shared" si="60"/>
        <v>Invalid Date</v>
      </c>
      <c r="Y489" s="5">
        <f t="shared" si="61"/>
        <v>6</v>
      </c>
      <c r="Z489" s="5">
        <f t="shared" si="62"/>
        <v>2025</v>
      </c>
      <c r="AA489" t="str">
        <f t="shared" si="63"/>
        <v>Clean</v>
      </c>
    </row>
    <row r="490" spans="1:27" x14ac:dyDescent="0.3">
      <c r="A490" t="str">
        <f>[1]raw_orders!A490</f>
        <v>ORD-2024-10489</v>
      </c>
      <c r="B490" s="4">
        <f>IFERROR(DATEVALUE([1]raw_orders!B490), "Invalid Date")</f>
        <v>45579</v>
      </c>
      <c r="C490" s="4">
        <f>IFERROR(DATEVALUE([1]raw_orders!C490), "Invalid Date")</f>
        <v>45585</v>
      </c>
      <c r="D490" t="str">
        <f>[1]raw_orders!D490</f>
        <v>CUST-2183</v>
      </c>
      <c r="E490" t="str">
        <f>PROPER(TRIM([1]raw_orders!E490))</f>
        <v>Aditi Sen</v>
      </c>
      <c r="F490" t="str">
        <f>PROPER(TRIM([1]raw_orders!F490))</f>
        <v>Small Business</v>
      </c>
      <c r="G490" t="str">
        <f>IF(TRIM([1]raw_orders!G490)="","Unknown",PROPER(TRIM([1]raw_orders!G490)))</f>
        <v>North</v>
      </c>
      <c r="H490" t="str">
        <f>PROPER(TRIM([1]raw_orders!H490))</f>
        <v>Rajasthan</v>
      </c>
      <c r="I490" t="str">
        <f>PROPER(TRIM([1]raw_orders!I490))</f>
        <v>Jaipur</v>
      </c>
      <c r="J490" t="str">
        <f>PROPER(TRIM([1]raw_orders!J490))</f>
        <v>Furniture</v>
      </c>
      <c r="K490" t="str">
        <f>PROPER(TRIM([1]raw_orders!K490))</f>
        <v>Tables</v>
      </c>
      <c r="L490" t="str">
        <f>[1]raw_orders!L490</f>
        <v>Eco Tables 487</v>
      </c>
      <c r="M490" t="str">
        <f>IF(TRIM([1]raw_orders!M490)="","Unknown",PROPER(TRIM([1]raw_orders!M490)))</f>
        <v>Same Day</v>
      </c>
      <c r="N490" s="5">
        <f>[1]raw_orders!N490</f>
        <v>7</v>
      </c>
      <c r="O490" s="5">
        <f>[1]raw_orders!O490</f>
        <v>1547.6</v>
      </c>
      <c r="P490" s="5">
        <f>[1]raw_orders!P490</f>
        <v>0.2</v>
      </c>
      <c r="Q490" t="str">
        <f>PROPER(TRIM([1]raw_orders!T490))</f>
        <v>Paid</v>
      </c>
      <c r="R490" t="str">
        <f>PROPER(TRIM([1]raw_orders!U490))</f>
        <v>Completed</v>
      </c>
      <c r="S490" s="5">
        <f>[1]raw_orders!S490</f>
        <v>2699.12</v>
      </c>
      <c r="T490" s="5">
        <f t="shared" si="56"/>
        <v>26.991199999999999</v>
      </c>
      <c r="U490" s="5">
        <f t="shared" si="57"/>
        <v>-281567.86783999996</v>
      </c>
      <c r="V490" s="5">
        <f t="shared" si="58"/>
        <v>-281568.06783999997</v>
      </c>
      <c r="W490" s="5">
        <f t="shared" si="59"/>
        <v>1.000000710308323</v>
      </c>
      <c r="X490" s="5">
        <f t="shared" si="60"/>
        <v>6</v>
      </c>
      <c r="Y490" s="5">
        <f t="shared" si="61"/>
        <v>10</v>
      </c>
      <c r="Z490" s="5">
        <f t="shared" si="62"/>
        <v>2024</v>
      </c>
      <c r="AA490" t="str">
        <f t="shared" si="63"/>
        <v>Clean</v>
      </c>
    </row>
    <row r="491" spans="1:27" x14ac:dyDescent="0.3">
      <c r="A491" t="str">
        <f>[1]raw_orders!A491</f>
        <v>ORD-2024-10490</v>
      </c>
      <c r="B491" s="4">
        <f>IFERROR(DATEVALUE([1]raw_orders!B491), "Invalid Date")</f>
        <v>45329</v>
      </c>
      <c r="C491" s="4">
        <f>IFERROR(DATEVALUE([1]raw_orders!C491), "Invalid Date")</f>
        <v>45334</v>
      </c>
      <c r="D491" t="str">
        <f>[1]raw_orders!D491</f>
        <v>CUST-1636</v>
      </c>
      <c r="E491" t="str">
        <f>PROPER(TRIM([1]raw_orders!E491))</f>
        <v>Arjun Bose</v>
      </c>
      <c r="F491" t="str">
        <f>PROPER(TRIM([1]raw_orders!F491))</f>
        <v>Home Office</v>
      </c>
      <c r="G491" t="str">
        <f>IF(TRIM([1]raw_orders!G491)="","Unknown",PROPER(TRIM([1]raw_orders!G491)))</f>
        <v>East</v>
      </c>
      <c r="H491" t="str">
        <f>PROPER(TRIM([1]raw_orders!H491))</f>
        <v>West Bengal</v>
      </c>
      <c r="I491" t="str">
        <f>PROPER(TRIM([1]raw_orders!I491))</f>
        <v>Kolkata</v>
      </c>
      <c r="J491" t="str">
        <f>PROPER(TRIM([1]raw_orders!J491))</f>
        <v>Technology</v>
      </c>
      <c r="K491" t="str">
        <f>PROPER(TRIM([1]raw_orders!K491))</f>
        <v>Accessories</v>
      </c>
      <c r="L491" t="str">
        <f>[1]raw_orders!L491</f>
        <v>Prime Accessories 960</v>
      </c>
      <c r="M491" t="str">
        <f>IF(TRIM([1]raw_orders!M491)="","Unknown",PROPER(TRIM([1]raw_orders!M491)))</f>
        <v>Second Class</v>
      </c>
      <c r="N491" s="5">
        <f>[1]raw_orders!N491</f>
        <v>1</v>
      </c>
      <c r="O491" s="5">
        <f>[1]raw_orders!O491</f>
        <v>452.19</v>
      </c>
      <c r="P491" s="5">
        <f>[1]raw_orders!P491</f>
        <v>0.2</v>
      </c>
      <c r="Q491" t="str">
        <f>PROPER(TRIM([1]raw_orders!T491))</f>
        <v>Paid</v>
      </c>
      <c r="R491" t="str">
        <f>PROPER(TRIM([1]raw_orders!U491))</f>
        <v>Completed</v>
      </c>
      <c r="S491" s="5">
        <f>[1]raw_orders!S491</f>
        <v>99.22</v>
      </c>
      <c r="T491" s="5">
        <f t="shared" si="56"/>
        <v>0.99219999999999997</v>
      </c>
      <c r="U491" s="5">
        <f t="shared" si="57"/>
        <v>3.5270820000000134</v>
      </c>
      <c r="V491" s="5">
        <f t="shared" si="58"/>
        <v>3.3270820000000132</v>
      </c>
      <c r="W491" s="5">
        <f t="shared" si="59"/>
        <v>0.94329590295887666</v>
      </c>
      <c r="X491" s="5">
        <f t="shared" si="60"/>
        <v>5</v>
      </c>
      <c r="Y491" s="5">
        <f t="shared" si="61"/>
        <v>2</v>
      </c>
      <c r="Z491" s="5">
        <f t="shared" si="62"/>
        <v>2024</v>
      </c>
      <c r="AA491" t="str">
        <f t="shared" si="63"/>
        <v>Clean</v>
      </c>
    </row>
    <row r="492" spans="1:27" x14ac:dyDescent="0.3">
      <c r="A492" t="str">
        <f>[1]raw_orders!A492</f>
        <v>ORD-2024-10491</v>
      </c>
      <c r="B492" s="4">
        <f>IFERROR(DATEVALUE([1]raw_orders!B492), "Invalid Date")</f>
        <v>45551</v>
      </c>
      <c r="C492" s="4" t="str">
        <f>IFERROR(DATEVALUE([1]raw_orders!C492), "Invalid Date")</f>
        <v>Invalid Date</v>
      </c>
      <c r="D492" t="str">
        <f>[1]raw_orders!D492</f>
        <v>CUST-1350</v>
      </c>
      <c r="E492" t="str">
        <f>PROPER(TRIM([1]raw_orders!E492))</f>
        <v>Aditi Sen</v>
      </c>
      <c r="F492" t="str">
        <f>PROPER(TRIM([1]raw_orders!F492))</f>
        <v>Consumer</v>
      </c>
      <c r="G492" t="str">
        <f>IF(TRIM([1]raw_orders!G492)="","Unknown",PROPER(TRIM([1]raw_orders!G492)))</f>
        <v>West</v>
      </c>
      <c r="H492" t="str">
        <f>PROPER(TRIM([1]raw_orders!H492))</f>
        <v>Rajasthan</v>
      </c>
      <c r="I492" t="str">
        <f>PROPER(TRIM([1]raw_orders!I492))</f>
        <v>Udaipur</v>
      </c>
      <c r="J492" t="str">
        <f>PROPER(TRIM([1]raw_orders!J492))</f>
        <v>Office Supplies</v>
      </c>
      <c r="K492" t="str">
        <f>PROPER(TRIM([1]raw_orders!K492))</f>
        <v>Binders</v>
      </c>
      <c r="L492" t="str">
        <f>[1]raw_orders!L492</f>
        <v>Smart Binders 191</v>
      </c>
      <c r="M492" t="str">
        <f>IF(TRIM([1]raw_orders!M492)="","Unknown",PROPER(TRIM([1]raw_orders!M492)))</f>
        <v>First Class</v>
      </c>
      <c r="N492" s="5">
        <f>[1]raw_orders!N492</f>
        <v>7</v>
      </c>
      <c r="O492" s="5">
        <f>[1]raw_orders!O492</f>
        <v>406.42</v>
      </c>
      <c r="P492" s="5">
        <f>[1]raw_orders!P492</f>
        <v>0.15</v>
      </c>
      <c r="Q492" t="str">
        <f>PROPER(TRIM([1]raw_orders!T492))</f>
        <v>Paid</v>
      </c>
      <c r="R492" t="str">
        <f>PROPER(TRIM([1]raw_orders!U492))</f>
        <v>Completed</v>
      </c>
      <c r="S492" s="5">
        <f>[1]raw_orders!S492</f>
        <v>804.38</v>
      </c>
      <c r="T492" s="5">
        <f t="shared" si="56"/>
        <v>8.0437999999999992</v>
      </c>
      <c r="U492" s="5">
        <f t="shared" si="57"/>
        <v>-20039.188371999997</v>
      </c>
      <c r="V492" s="5">
        <f t="shared" si="58"/>
        <v>-20039.338371999998</v>
      </c>
      <c r="W492" s="5">
        <f t="shared" si="59"/>
        <v>1.0000074853330991</v>
      </c>
      <c r="X492" s="5" t="str">
        <f t="shared" si="60"/>
        <v>Invalid Date</v>
      </c>
      <c r="Y492" s="5">
        <f t="shared" si="61"/>
        <v>9</v>
      </c>
      <c r="Z492" s="5">
        <f t="shared" si="62"/>
        <v>2024</v>
      </c>
      <c r="AA492" t="str">
        <f t="shared" si="63"/>
        <v>Clean</v>
      </c>
    </row>
    <row r="493" spans="1:27" x14ac:dyDescent="0.3">
      <c r="A493" t="str">
        <f>[1]raw_orders!A493</f>
        <v>ORD-2025-10492</v>
      </c>
      <c r="B493" s="4">
        <f>IFERROR(DATEVALUE([1]raw_orders!B493), "Invalid Date")</f>
        <v>45776</v>
      </c>
      <c r="C493" s="4">
        <f>IFERROR(DATEVALUE([1]raw_orders!C493), "Invalid Date")</f>
        <v>45777</v>
      </c>
      <c r="D493" t="str">
        <f>[1]raw_orders!D493</f>
        <v>CUST-4101</v>
      </c>
      <c r="E493" t="str">
        <f>PROPER(TRIM([1]raw_orders!E493))</f>
        <v>Mira Das</v>
      </c>
      <c r="F493" t="str">
        <f>PROPER(TRIM([1]raw_orders!F493))</f>
        <v>Corporate</v>
      </c>
      <c r="G493" t="str">
        <f>IF(TRIM([1]raw_orders!G493)="","Unknown",PROPER(TRIM([1]raw_orders!G493)))</f>
        <v>South</v>
      </c>
      <c r="H493" t="str">
        <f>PROPER(TRIM([1]raw_orders!H493))</f>
        <v>Kerala</v>
      </c>
      <c r="I493" t="str">
        <f>PROPER(TRIM([1]raw_orders!I493))</f>
        <v>Kochi</v>
      </c>
      <c r="J493" t="str">
        <f>PROPER(TRIM([1]raw_orders!J493))</f>
        <v>Technology</v>
      </c>
      <c r="K493" t="str">
        <f>PROPER(TRIM([1]raw_orders!K493))</f>
        <v>Accessories</v>
      </c>
      <c r="L493" t="str">
        <f>[1]raw_orders!L493</f>
        <v>Prime Accessories 118</v>
      </c>
      <c r="M493" t="str">
        <f>IF(TRIM([1]raw_orders!M493)="","Unknown",PROPER(TRIM([1]raw_orders!M493)))</f>
        <v>Standard Class</v>
      </c>
      <c r="N493" s="5">
        <f>[1]raw_orders!N493</f>
        <v>4</v>
      </c>
      <c r="O493" s="5">
        <f>[1]raw_orders!O493</f>
        <v>606.58000000000004</v>
      </c>
      <c r="P493" s="5">
        <f>[1]raw_orders!P493</f>
        <v>0.2</v>
      </c>
      <c r="Q493" t="str">
        <f>PROPER(TRIM([1]raw_orders!T493))</f>
        <v>Paid</v>
      </c>
      <c r="R493" t="str">
        <f>PROPER(TRIM([1]raw_orders!U493))</f>
        <v>Completed</v>
      </c>
      <c r="S493" s="5">
        <f>[1]raw_orders!S493</f>
        <v>733.64</v>
      </c>
      <c r="T493" s="5">
        <f t="shared" si="56"/>
        <v>7.3364000000000003</v>
      </c>
      <c r="U493" s="5">
        <f t="shared" si="57"/>
        <v>-15374.134048000002</v>
      </c>
      <c r="V493" s="5">
        <f t="shared" si="58"/>
        <v>-15374.334048000002</v>
      </c>
      <c r="W493" s="5">
        <f t="shared" si="59"/>
        <v>1.0000130088627677</v>
      </c>
      <c r="X493" s="5">
        <f t="shared" si="60"/>
        <v>1</v>
      </c>
      <c r="Y493" s="5">
        <f t="shared" si="61"/>
        <v>4</v>
      </c>
      <c r="Z493" s="5">
        <f t="shared" si="62"/>
        <v>2025</v>
      </c>
      <c r="AA493" t="str">
        <f t="shared" si="63"/>
        <v>Clean</v>
      </c>
    </row>
    <row r="494" spans="1:27" x14ac:dyDescent="0.3">
      <c r="A494" t="str">
        <f>[1]raw_orders!A494</f>
        <v>ORD-2025-10493</v>
      </c>
      <c r="B494" s="4">
        <f>IFERROR(DATEVALUE([1]raw_orders!B494), "Invalid Date")</f>
        <v>45836</v>
      </c>
      <c r="C494" s="4">
        <f>IFERROR(DATEVALUE([1]raw_orders!C494), "Invalid Date")</f>
        <v>45695</v>
      </c>
      <c r="D494" t="str">
        <f>[1]raw_orders!D494</f>
        <v>CUST-4679</v>
      </c>
      <c r="E494" t="str">
        <f>PROPER(TRIM([1]raw_orders!E494))</f>
        <v>Ananya Rao</v>
      </c>
      <c r="F494" t="str">
        <f>PROPER(TRIM([1]raw_orders!F494))</f>
        <v>Corporate</v>
      </c>
      <c r="G494" t="str">
        <f>IF(TRIM([1]raw_orders!G494)="","Unknown",PROPER(TRIM([1]raw_orders!G494)))</f>
        <v>South</v>
      </c>
      <c r="H494" t="str">
        <f>PROPER(TRIM([1]raw_orders!H494))</f>
        <v>Andhra Pradesh</v>
      </c>
      <c r="I494" t="str">
        <f>PROPER(TRIM([1]raw_orders!I494))</f>
        <v>Vijayawada</v>
      </c>
      <c r="J494" t="str">
        <f>PROPER(TRIM([1]raw_orders!J494))</f>
        <v>Office Supplies</v>
      </c>
      <c r="K494" t="str">
        <f>PROPER(TRIM([1]raw_orders!K494))</f>
        <v>Storage</v>
      </c>
      <c r="L494" t="str">
        <f>[1]raw_orders!L494</f>
        <v>Elite Storage 331</v>
      </c>
      <c r="M494" t="str">
        <f>IF(TRIM([1]raw_orders!M494)="","Unknown",PROPER(TRIM([1]raw_orders!M494)))</f>
        <v>Second Class</v>
      </c>
      <c r="N494" s="5">
        <f>[1]raw_orders!N494</f>
        <v>2</v>
      </c>
      <c r="O494" s="5">
        <f>[1]raw_orders!O494</f>
        <v>2725.44</v>
      </c>
      <c r="P494" s="5">
        <f>[1]raw_orders!P494</f>
        <v>0.25</v>
      </c>
      <c r="Q494" t="str">
        <f>PROPER(TRIM([1]raw_orders!T494))</f>
        <v>Paid</v>
      </c>
      <c r="R494" t="str">
        <f>PROPER(TRIM([1]raw_orders!U494))</f>
        <v>Completed</v>
      </c>
      <c r="S494" s="5">
        <f>[1]raw_orders!S494</f>
        <v>882.48</v>
      </c>
      <c r="T494" s="5">
        <f t="shared" si="56"/>
        <v>8.8247999999999998</v>
      </c>
      <c r="U494" s="5">
        <f t="shared" si="57"/>
        <v>-42652.045824000001</v>
      </c>
      <c r="V494" s="5">
        <f t="shared" si="58"/>
        <v>-42652.295824000001</v>
      </c>
      <c r="W494" s="5">
        <f t="shared" si="59"/>
        <v>1.0000058613835554</v>
      </c>
      <c r="X494" s="5">
        <f t="shared" si="60"/>
        <v>-141</v>
      </c>
      <c r="Y494" s="5">
        <f t="shared" si="61"/>
        <v>6</v>
      </c>
      <c r="Z494" s="5">
        <f t="shared" si="62"/>
        <v>2025</v>
      </c>
      <c r="AA494" t="str">
        <f t="shared" si="63"/>
        <v>Invalid</v>
      </c>
    </row>
    <row r="495" spans="1:27" x14ac:dyDescent="0.3">
      <c r="A495" t="str">
        <f>[1]raw_orders!A495</f>
        <v>ORD-2025-10494</v>
      </c>
      <c r="B495" s="4">
        <f>IFERROR(DATEVALUE([1]raw_orders!B495), "Invalid Date")</f>
        <v>45701</v>
      </c>
      <c r="C495" s="4">
        <f>IFERROR(DATEVALUE([1]raw_orders!C495), "Invalid Date")</f>
        <v>45701</v>
      </c>
      <c r="D495" t="str">
        <f>[1]raw_orders!D495</f>
        <v>CUST-3765</v>
      </c>
      <c r="E495" t="str">
        <f>PROPER(TRIM([1]raw_orders!E495))</f>
        <v>Kabir Singh</v>
      </c>
      <c r="F495" t="str">
        <f>PROPER(TRIM([1]raw_orders!F495))</f>
        <v>Corporate</v>
      </c>
      <c r="G495" t="str">
        <f>IF(TRIM([1]raw_orders!G495)="","Unknown",PROPER(TRIM([1]raw_orders!G495)))</f>
        <v>East</v>
      </c>
      <c r="H495" t="str">
        <f>PROPER(TRIM([1]raw_orders!H495))</f>
        <v>Odisha</v>
      </c>
      <c r="I495" t="str">
        <f>PROPER(TRIM([1]raw_orders!I495))</f>
        <v>Bhubaneswar</v>
      </c>
      <c r="J495" t="str">
        <f>PROPER(TRIM([1]raw_orders!J495))</f>
        <v>Office Supplies</v>
      </c>
      <c r="K495" t="str">
        <f>PROPER(TRIM([1]raw_orders!K495))</f>
        <v>Paper</v>
      </c>
      <c r="L495" t="str">
        <f>[1]raw_orders!L495</f>
        <v>Prime Paper 996</v>
      </c>
      <c r="M495" t="str">
        <f>IF(TRIM([1]raw_orders!M495)="","Unknown",PROPER(TRIM([1]raw_orders!M495)))</f>
        <v>Second Class</v>
      </c>
      <c r="N495" s="5">
        <f>[1]raw_orders!N495</f>
        <v>7</v>
      </c>
      <c r="O495" s="5">
        <f>[1]raw_orders!O495</f>
        <v>2296.6999999999998</v>
      </c>
      <c r="P495" s="5">
        <f>[1]raw_orders!P495</f>
        <v>0.05</v>
      </c>
      <c r="Q495" t="str">
        <f>PROPER(TRIM([1]raw_orders!T495))</f>
        <v>Paid</v>
      </c>
      <c r="R495" t="str">
        <f>PROPER(TRIM([1]raw_orders!U495))</f>
        <v>Completed</v>
      </c>
      <c r="S495" s="5">
        <f>[1]raw_orders!S495</f>
        <v>4184.29</v>
      </c>
      <c r="T495" s="5">
        <f t="shared" si="56"/>
        <v>41.8429</v>
      </c>
      <c r="U495" s="5">
        <f t="shared" si="57"/>
        <v>-656627.21900999988</v>
      </c>
      <c r="V495" s="5">
        <f t="shared" si="58"/>
        <v>-656627.26900999993</v>
      </c>
      <c r="W495" s="5">
        <f t="shared" si="59"/>
        <v>1.0000000761467063</v>
      </c>
      <c r="X495" s="5">
        <f t="shared" si="60"/>
        <v>0</v>
      </c>
      <c r="Y495" s="5">
        <f t="shared" si="61"/>
        <v>2</v>
      </c>
      <c r="Z495" s="5">
        <f t="shared" si="62"/>
        <v>2025</v>
      </c>
      <c r="AA495" t="str">
        <f t="shared" si="63"/>
        <v>Clean</v>
      </c>
    </row>
    <row r="496" spans="1:27" x14ac:dyDescent="0.3">
      <c r="A496" t="str">
        <f>[1]raw_orders!A496</f>
        <v>ORD-2024-10495</v>
      </c>
      <c r="B496" s="4">
        <f>IFERROR(DATEVALUE([1]raw_orders!B496), "Invalid Date")</f>
        <v>45610</v>
      </c>
      <c r="C496" s="4">
        <f>IFERROR(DATEVALUE([1]raw_orders!C496), "Invalid Date")</f>
        <v>45618</v>
      </c>
      <c r="D496" t="str">
        <f>[1]raw_orders!D496</f>
        <v>CUST-9056</v>
      </c>
      <c r="E496" t="str">
        <f>PROPER(TRIM([1]raw_orders!E496))</f>
        <v>Isha Nair</v>
      </c>
      <c r="F496" t="str">
        <f>PROPER(TRIM([1]raw_orders!F496))</f>
        <v>Consumer</v>
      </c>
      <c r="G496" t="str">
        <f>IF(TRIM([1]raw_orders!G496)="","Unknown",PROPER(TRIM([1]raw_orders!G496)))</f>
        <v>West</v>
      </c>
      <c r="H496" t="str">
        <f>PROPER(TRIM([1]raw_orders!H496))</f>
        <v>Madhya Pradesh</v>
      </c>
      <c r="I496" t="str">
        <f>PROPER(TRIM([1]raw_orders!I496))</f>
        <v>Indore</v>
      </c>
      <c r="J496" t="str">
        <f>PROPER(TRIM([1]raw_orders!J496))</f>
        <v>Technology</v>
      </c>
      <c r="K496" t="str">
        <f>PROPER(TRIM([1]raw_orders!K496))</f>
        <v>Phones</v>
      </c>
      <c r="L496" t="str">
        <f>[1]raw_orders!L496</f>
        <v>Smart Phones 125</v>
      </c>
      <c r="M496" t="str">
        <f>IF(TRIM([1]raw_orders!M496)="","Unknown",PROPER(TRIM([1]raw_orders!M496)))</f>
        <v>Standard Class</v>
      </c>
      <c r="N496" s="5">
        <f>[1]raw_orders!N496</f>
        <v>3</v>
      </c>
      <c r="O496" s="5">
        <f>[1]raw_orders!O496</f>
        <v>671.68</v>
      </c>
      <c r="P496" s="5">
        <f>[1]raw_orders!P496</f>
        <v>-0.13</v>
      </c>
      <c r="Q496" t="str">
        <f>PROPER(TRIM([1]raw_orders!T496))</f>
        <v>Failed</v>
      </c>
      <c r="R496" t="str">
        <f>PROPER(TRIM([1]raw_orders!U496))</f>
        <v>Cancelled</v>
      </c>
      <c r="S496" s="5">
        <f>[1]raw_orders!S496</f>
        <v>360.66</v>
      </c>
      <c r="T496" s="5">
        <f t="shared" si="56"/>
        <v>3.6066000000000003</v>
      </c>
      <c r="U496" s="5">
        <f t="shared" si="57"/>
        <v>-5252.4032640000005</v>
      </c>
      <c r="V496" s="5">
        <f t="shared" si="58"/>
        <v>-5252.2732640000004</v>
      </c>
      <c r="W496" s="5">
        <f t="shared" si="59"/>
        <v>0.99997524942517435</v>
      </c>
      <c r="X496" s="5">
        <f t="shared" si="60"/>
        <v>8</v>
      </c>
      <c r="Y496" s="5">
        <f t="shared" si="61"/>
        <v>11</v>
      </c>
      <c r="Z496" s="5">
        <f t="shared" si="62"/>
        <v>2024</v>
      </c>
      <c r="AA496" t="str">
        <f t="shared" si="63"/>
        <v>Clean</v>
      </c>
    </row>
    <row r="497" spans="1:27" x14ac:dyDescent="0.3">
      <c r="A497" t="str">
        <f>[1]raw_orders!A497</f>
        <v>ORD-2024-10496</v>
      </c>
      <c r="B497" s="4">
        <f>IFERROR(DATEVALUE([1]raw_orders!B497), "Invalid Date")</f>
        <v>45540</v>
      </c>
      <c r="C497" s="4" t="str">
        <f>IFERROR(DATEVALUE([1]raw_orders!C497), "Invalid Date")</f>
        <v>Invalid Date</v>
      </c>
      <c r="D497" t="str">
        <f>[1]raw_orders!D497</f>
        <v>CUST-9801</v>
      </c>
      <c r="E497" t="str">
        <f>PROPER(TRIM([1]raw_orders!E497))</f>
        <v>Mira Das</v>
      </c>
      <c r="F497" t="str">
        <f>PROPER(TRIM([1]raw_orders!F497))</f>
        <v>Small Business</v>
      </c>
      <c r="G497" t="str">
        <f>IF(TRIM([1]raw_orders!G497)="","Unknown",PROPER(TRIM([1]raw_orders!G497)))</f>
        <v>East</v>
      </c>
      <c r="H497" t="str">
        <f>PROPER(TRIM([1]raw_orders!H497))</f>
        <v>Assam</v>
      </c>
      <c r="I497" t="str">
        <f>PROPER(TRIM([1]raw_orders!I497))</f>
        <v>Guwahati</v>
      </c>
      <c r="J497" t="str">
        <f>PROPER(TRIM([1]raw_orders!J497))</f>
        <v>Technology</v>
      </c>
      <c r="K497" t="str">
        <f>PROPER(TRIM([1]raw_orders!K497))</f>
        <v>Phones</v>
      </c>
      <c r="L497" t="str">
        <f>[1]raw_orders!L497</f>
        <v>Eco Phones 220</v>
      </c>
      <c r="M497" t="str">
        <f>IF(TRIM([1]raw_orders!M497)="","Unknown",PROPER(TRIM([1]raw_orders!M497)))</f>
        <v>Second Class</v>
      </c>
      <c r="N497" s="5">
        <f>[1]raw_orders!N497</f>
        <v>4</v>
      </c>
      <c r="O497" s="5">
        <f>[1]raw_orders!O497</f>
        <v>995.98</v>
      </c>
      <c r="P497" s="5">
        <f>[1]raw_orders!P497</f>
        <v>0.05</v>
      </c>
      <c r="Q497" t="str">
        <f>PROPER(TRIM([1]raw_orders!T497))</f>
        <v>Refunded</v>
      </c>
      <c r="R497" t="str">
        <f>PROPER(TRIM([1]raw_orders!U497))</f>
        <v>Returned</v>
      </c>
      <c r="S497" s="5">
        <f>[1]raw_orders!S497</f>
        <v>1365.48</v>
      </c>
      <c r="T497" s="5">
        <f t="shared" si="56"/>
        <v>13.6548</v>
      </c>
      <c r="U497" s="5">
        <f t="shared" si="57"/>
        <v>-50415.710815999999</v>
      </c>
      <c r="V497" s="5">
        <f t="shared" si="58"/>
        <v>-50415.760816000002</v>
      </c>
      <c r="W497" s="5">
        <f t="shared" si="59"/>
        <v>1.00000099175434</v>
      </c>
      <c r="X497" s="5" t="str">
        <f t="shared" si="60"/>
        <v>Invalid Date</v>
      </c>
      <c r="Y497" s="5">
        <f t="shared" si="61"/>
        <v>9</v>
      </c>
      <c r="Z497" s="5">
        <f t="shared" si="62"/>
        <v>2024</v>
      </c>
      <c r="AA497" t="str">
        <f t="shared" si="63"/>
        <v>Clean</v>
      </c>
    </row>
    <row r="498" spans="1:27" x14ac:dyDescent="0.3">
      <c r="A498" t="str">
        <f>[1]raw_orders!A498</f>
        <v>ORD-2025-10497</v>
      </c>
      <c r="B498" s="4">
        <f>IFERROR(DATEVALUE([1]raw_orders!B498), "Invalid Date")</f>
        <v>45842</v>
      </c>
      <c r="C498" s="4">
        <f>IFERROR(DATEVALUE([1]raw_orders!C498), "Invalid Date")</f>
        <v>45844</v>
      </c>
      <c r="D498" t="str">
        <f>[1]raw_orders!D498</f>
        <v>CUST-2038</v>
      </c>
      <c r="E498" t="str">
        <f>PROPER(TRIM([1]raw_orders!E498))</f>
        <v>Kabir Singh</v>
      </c>
      <c r="F498" t="str">
        <f>PROPER(TRIM([1]raw_orders!F498))</f>
        <v>Small Business</v>
      </c>
      <c r="G498" t="str">
        <f>IF(TRIM([1]raw_orders!G498)="","Unknown",PROPER(TRIM([1]raw_orders!G498)))</f>
        <v>East</v>
      </c>
      <c r="H498" t="str">
        <f>PROPER(TRIM([1]raw_orders!H498))</f>
        <v>Jharkhand</v>
      </c>
      <c r="I498" t="str">
        <f>PROPER(TRIM([1]raw_orders!I498))</f>
        <v>Ranchi</v>
      </c>
      <c r="J498" t="str">
        <f>PROPER(TRIM([1]raw_orders!J498))</f>
        <v>Furniture</v>
      </c>
      <c r="K498" t="str">
        <f>PROPER(TRIM([1]raw_orders!K498))</f>
        <v>Chairs</v>
      </c>
      <c r="L498" t="str">
        <f>[1]raw_orders!L498</f>
        <v>Eco Chairs 795</v>
      </c>
      <c r="M498" t="str">
        <f>IF(TRIM([1]raw_orders!M498)="","Unknown",PROPER(TRIM([1]raw_orders!M498)))</f>
        <v>Second Class</v>
      </c>
      <c r="N498" s="5">
        <f>[1]raw_orders!N498</f>
        <v>2</v>
      </c>
      <c r="O498" s="5">
        <f>[1]raw_orders!O498</f>
        <v>3686.42</v>
      </c>
      <c r="P498" s="5">
        <f>[1]raw_orders!P498</f>
        <v>0.1</v>
      </c>
      <c r="Q498" t="str">
        <f>PROPER(TRIM([1]raw_orders!T498))</f>
        <v>Paid</v>
      </c>
      <c r="R498" t="str">
        <f>PROPER(TRIM([1]raw_orders!U498))</f>
        <v>Completed</v>
      </c>
      <c r="S498" s="5">
        <f>[1]raw_orders!S498</f>
        <v>2982.65</v>
      </c>
      <c r="T498" s="5">
        <f t="shared" si="56"/>
        <v>29.826499999999999</v>
      </c>
      <c r="U498" s="5">
        <f t="shared" si="57"/>
        <v>-212533.17225999999</v>
      </c>
      <c r="V498" s="5">
        <f t="shared" si="58"/>
        <v>-212533.27226</v>
      </c>
      <c r="W498" s="5">
        <f t="shared" si="59"/>
        <v>1.0000004705147858</v>
      </c>
      <c r="X498" s="5">
        <f t="shared" si="60"/>
        <v>2</v>
      </c>
      <c r="Y498" s="5">
        <f t="shared" si="61"/>
        <v>7</v>
      </c>
      <c r="Z498" s="5">
        <f t="shared" si="62"/>
        <v>2025</v>
      </c>
      <c r="AA498" t="str">
        <f t="shared" si="63"/>
        <v>Clean</v>
      </c>
    </row>
    <row r="499" spans="1:27" x14ac:dyDescent="0.3">
      <c r="A499" t="str">
        <f>[1]raw_orders!A499</f>
        <v>ORD-2024-10498</v>
      </c>
      <c r="B499" s="4">
        <f>IFERROR(DATEVALUE([1]raw_orders!B499), "Invalid Date")</f>
        <v>45533</v>
      </c>
      <c r="C499" s="4">
        <f>IFERROR(DATEVALUE([1]raw_orders!C499), "Invalid Date")</f>
        <v>45533</v>
      </c>
      <c r="D499" t="str">
        <f>[1]raw_orders!D499</f>
        <v>CUST-1567</v>
      </c>
      <c r="E499" t="str">
        <f>PROPER(TRIM([1]raw_orders!E499))</f>
        <v>Sneha Kapoor</v>
      </c>
      <c r="F499" t="str">
        <f>PROPER(TRIM([1]raw_orders!F499))</f>
        <v>Small Business</v>
      </c>
      <c r="G499" t="str">
        <f>IF(TRIM([1]raw_orders!G499)="","Unknown",PROPER(TRIM([1]raw_orders!G499)))</f>
        <v>North</v>
      </c>
      <c r="H499" t="str">
        <f>PROPER(TRIM([1]raw_orders!H499))</f>
        <v>Uttar Pradesh</v>
      </c>
      <c r="I499" t="str">
        <f>PROPER(TRIM([1]raw_orders!I499))</f>
        <v>Noida</v>
      </c>
      <c r="J499" t="str">
        <f>PROPER(TRIM([1]raw_orders!J499))</f>
        <v>Technology</v>
      </c>
      <c r="K499" t="str">
        <f>PROPER(TRIM([1]raw_orders!K499))</f>
        <v>Accessories</v>
      </c>
      <c r="L499" t="str">
        <f>[1]raw_orders!L499</f>
        <v>Smart Accessories 896</v>
      </c>
      <c r="M499" t="str">
        <f>IF(TRIM([1]raw_orders!M499)="","Unknown",PROPER(TRIM([1]raw_orders!M499)))</f>
        <v>Second Class</v>
      </c>
      <c r="N499" s="5">
        <f>[1]raw_orders!N499</f>
        <v>1</v>
      </c>
      <c r="O499" s="5">
        <f>[1]raw_orders!O499</f>
        <v>3106.88</v>
      </c>
      <c r="P499" s="5">
        <f>[1]raw_orders!P499</f>
        <v>0.2</v>
      </c>
      <c r="Q499" t="str">
        <f>PROPER(TRIM([1]raw_orders!T499))</f>
        <v>Paid</v>
      </c>
      <c r="R499" t="str">
        <f>PROPER(TRIM([1]raw_orders!U499))</f>
        <v>Cancelled</v>
      </c>
      <c r="S499" s="5">
        <f>[1]raw_orders!S499</f>
        <v>457.07</v>
      </c>
      <c r="T499" s="5">
        <f t="shared" si="56"/>
        <v>4.5706999999999995</v>
      </c>
      <c r="U499" s="5">
        <f t="shared" si="57"/>
        <v>-11093.736416</v>
      </c>
      <c r="V499" s="5">
        <f t="shared" si="58"/>
        <v>-11093.936416</v>
      </c>
      <c r="W499" s="5">
        <f t="shared" si="59"/>
        <v>1.0000180281910891</v>
      </c>
      <c r="X499" s="5">
        <f t="shared" si="60"/>
        <v>0</v>
      </c>
      <c r="Y499" s="5">
        <f t="shared" si="61"/>
        <v>8</v>
      </c>
      <c r="Z499" s="5">
        <f t="shared" si="62"/>
        <v>2024</v>
      </c>
      <c r="AA499" t="str">
        <f t="shared" si="63"/>
        <v>Clean</v>
      </c>
    </row>
    <row r="500" spans="1:27" x14ac:dyDescent="0.3">
      <c r="A500" t="str">
        <f>[1]raw_orders!A500</f>
        <v>ORD-2025-10499</v>
      </c>
      <c r="B500" s="4">
        <f>IFERROR(DATEVALUE([1]raw_orders!B500), "Invalid Date")</f>
        <v>45907</v>
      </c>
      <c r="C500" s="4">
        <f>IFERROR(DATEVALUE([1]raw_orders!C500), "Invalid Date")</f>
        <v>45910</v>
      </c>
      <c r="D500" t="str">
        <f>[1]raw_orders!D500</f>
        <v>CUST-1190</v>
      </c>
      <c r="E500" t="str">
        <f>PROPER(TRIM([1]raw_orders!E500))</f>
        <v>Karan Malhotra</v>
      </c>
      <c r="F500" t="str">
        <f>PROPER(TRIM([1]raw_orders!F500))</f>
        <v>Consumer</v>
      </c>
      <c r="G500" t="str">
        <f>IF(TRIM([1]raw_orders!G500)="","Unknown",PROPER(TRIM([1]raw_orders!G500)))</f>
        <v>North</v>
      </c>
      <c r="H500" t="str">
        <f>PROPER(TRIM([1]raw_orders!H500))</f>
        <v>Punjab</v>
      </c>
      <c r="I500" t="str">
        <f>PROPER(TRIM([1]raw_orders!I500))</f>
        <v>Ludhiana</v>
      </c>
      <c r="J500" t="str">
        <f>PROPER(TRIM([1]raw_orders!J500))</f>
        <v>Furniture</v>
      </c>
      <c r="K500" t="str">
        <f>PROPER(TRIM([1]raw_orders!K500))</f>
        <v>Chairs</v>
      </c>
      <c r="L500" t="str">
        <f>[1]raw_orders!L500</f>
        <v>Basic Chairs 255</v>
      </c>
      <c r="M500" t="str">
        <f>IF(TRIM([1]raw_orders!M500)="","Unknown",PROPER(TRIM([1]raw_orders!M500)))</f>
        <v>Same Day</v>
      </c>
      <c r="N500" s="5">
        <f>[1]raw_orders!N500</f>
        <v>2</v>
      </c>
      <c r="O500" s="5">
        <f>[1]raw_orders!O500</f>
        <v>447.55</v>
      </c>
      <c r="P500" s="5">
        <f>[1]raw_orders!P500</f>
        <v>0.05</v>
      </c>
      <c r="Q500" t="str">
        <f>PROPER(TRIM([1]raw_orders!T500))</f>
        <v>Refunded</v>
      </c>
      <c r="R500" t="str">
        <f>PROPER(TRIM([1]raw_orders!U500))</f>
        <v>Cancelled</v>
      </c>
      <c r="S500" s="5">
        <f>[1]raw_orders!S500</f>
        <v>249.37</v>
      </c>
      <c r="T500" s="5">
        <f t="shared" si="56"/>
        <v>2.4937</v>
      </c>
      <c r="U500" s="5">
        <f t="shared" si="57"/>
        <v>-1337.0108700000001</v>
      </c>
      <c r="V500" s="5">
        <f t="shared" si="58"/>
        <v>-1337.06087</v>
      </c>
      <c r="W500" s="5">
        <f t="shared" si="59"/>
        <v>1.0000373968537741</v>
      </c>
      <c r="X500" s="5">
        <f t="shared" si="60"/>
        <v>3</v>
      </c>
      <c r="Y500" s="5">
        <f t="shared" si="61"/>
        <v>9</v>
      </c>
      <c r="Z500" s="5">
        <f t="shared" si="62"/>
        <v>2025</v>
      </c>
      <c r="AA500" t="str">
        <f t="shared" si="63"/>
        <v>Clean</v>
      </c>
    </row>
    <row r="501" spans="1:27" x14ac:dyDescent="0.3">
      <c r="A501" t="str">
        <f>[1]raw_orders!A501</f>
        <v>ORD-2024-10500</v>
      </c>
      <c r="B501" s="4">
        <f>IFERROR(DATEVALUE([1]raw_orders!B501), "Invalid Date")</f>
        <v>45648</v>
      </c>
      <c r="C501" s="4">
        <f>IFERROR(DATEVALUE([1]raw_orders!C501), "Invalid Date")</f>
        <v>45652</v>
      </c>
      <c r="D501" t="str">
        <f>[1]raw_orders!D501</f>
        <v>CUST-5604</v>
      </c>
      <c r="E501" t="str">
        <f>PROPER(TRIM([1]raw_orders!E501))</f>
        <v>Rahul Verma</v>
      </c>
      <c r="F501" t="str">
        <f>PROPER(TRIM([1]raw_orders!F501))</f>
        <v>Home Office</v>
      </c>
      <c r="G501" t="str">
        <f>IF(TRIM([1]raw_orders!G501)="","Unknown",PROPER(TRIM([1]raw_orders!G501)))</f>
        <v>North</v>
      </c>
      <c r="H501" t="str">
        <f>PROPER(TRIM([1]raw_orders!H501))</f>
        <v>Uttar Pradesh</v>
      </c>
      <c r="I501" t="str">
        <f>PROPER(TRIM([1]raw_orders!I501))</f>
        <v>Noida</v>
      </c>
      <c r="J501" t="str">
        <f>PROPER(TRIM([1]raw_orders!J501))</f>
        <v>Furniture</v>
      </c>
      <c r="K501" t="str">
        <f>PROPER(TRIM([1]raw_orders!K501))</f>
        <v>Chairs</v>
      </c>
      <c r="L501" t="str">
        <f>[1]raw_orders!L501</f>
        <v>Eco Chairs 210</v>
      </c>
      <c r="M501" t="str">
        <f>IF(TRIM([1]raw_orders!M501)="","Unknown",PROPER(TRIM([1]raw_orders!M501)))</f>
        <v>Standard Class</v>
      </c>
      <c r="N501" s="5">
        <f>[1]raw_orders!N501</f>
        <v>9</v>
      </c>
      <c r="O501" s="5">
        <f>[1]raw_orders!O501</f>
        <v>1110.8699999999999</v>
      </c>
      <c r="P501" s="5">
        <f>[1]raw_orders!P501</f>
        <v>0</v>
      </c>
      <c r="Q501" t="str">
        <f>PROPER(TRIM([1]raw_orders!T501))</f>
        <v>Paid</v>
      </c>
      <c r="R501" t="str">
        <f>PROPER(TRIM([1]raw_orders!U501))</f>
        <v>Cancelled</v>
      </c>
      <c r="S501" s="5">
        <f>[1]raw_orders!S501</f>
        <v>1439.3</v>
      </c>
      <c r="T501" s="5">
        <f t="shared" si="56"/>
        <v>14.392999999999999</v>
      </c>
      <c r="U501" s="5">
        <f t="shared" si="57"/>
        <v>-133900.93718999997</v>
      </c>
      <c r="V501" s="5">
        <f t="shared" si="58"/>
        <v>-133900.93718999997</v>
      </c>
      <c r="W501" s="5">
        <f t="shared" si="59"/>
        <v>1</v>
      </c>
      <c r="X501" s="5">
        <f t="shared" si="60"/>
        <v>4</v>
      </c>
      <c r="Y501" s="5">
        <f t="shared" si="61"/>
        <v>12</v>
      </c>
      <c r="Z501" s="5">
        <f t="shared" si="62"/>
        <v>2024</v>
      </c>
      <c r="AA501" t="str">
        <f t="shared" si="63"/>
        <v>Clean</v>
      </c>
    </row>
    <row r="502" spans="1:27" x14ac:dyDescent="0.3">
      <c r="A502" t="str">
        <f>[1]raw_orders!A502</f>
        <v>ORD-2024-10501</v>
      </c>
      <c r="B502" s="4" t="str">
        <f>IFERROR(DATEVALUE([1]raw_orders!B502), "Invalid Date")</f>
        <v>Invalid Date</v>
      </c>
      <c r="C502" s="4" t="str">
        <f>IFERROR(DATEVALUE([1]raw_orders!C502), "Invalid Date")</f>
        <v>Invalid Date</v>
      </c>
      <c r="D502" t="str">
        <f>[1]raw_orders!D502</f>
        <v>CUST-7661</v>
      </c>
      <c r="E502" t="str">
        <f>PROPER(TRIM([1]raw_orders!E502))</f>
        <v>Sneha Kapoor</v>
      </c>
      <c r="F502" t="str">
        <f>PROPER(TRIM([1]raw_orders!F502))</f>
        <v>Consumer</v>
      </c>
      <c r="G502" t="str">
        <f>IF(TRIM([1]raw_orders!G502)="","Unknown",PROPER(TRIM([1]raw_orders!G502)))</f>
        <v>South</v>
      </c>
      <c r="H502" t="str">
        <f>PROPER(TRIM([1]raw_orders!H502))</f>
        <v>Kerala</v>
      </c>
      <c r="I502" t="str">
        <f>PROPER(TRIM([1]raw_orders!I502))</f>
        <v>Kochi</v>
      </c>
      <c r="J502" t="str">
        <f>PROPER(TRIM([1]raw_orders!J502))</f>
        <v>Technology</v>
      </c>
      <c r="K502" t="str">
        <f>PROPER(TRIM([1]raw_orders!K502))</f>
        <v>Phones</v>
      </c>
      <c r="L502" t="str">
        <f>[1]raw_orders!L502</f>
        <v>Prime Phones 533</v>
      </c>
      <c r="M502" t="str">
        <f>IF(TRIM([1]raw_orders!M502)="","Unknown",PROPER(TRIM([1]raw_orders!M502)))</f>
        <v>Same Day</v>
      </c>
      <c r="N502" s="5">
        <f>[1]raw_orders!N502</f>
        <v>9</v>
      </c>
      <c r="O502" s="5">
        <f>[1]raw_orders!O502</f>
        <v>3795.99</v>
      </c>
      <c r="P502" s="5" t="str">
        <f>[1]raw_orders!P502</f>
        <v>85%</v>
      </c>
      <c r="Q502" t="str">
        <f>PROPER(TRIM([1]raw_orders!T502))</f>
        <v>Paid</v>
      </c>
      <c r="R502" t="str">
        <f>PROPER(TRIM([1]raw_orders!U502))</f>
        <v>Completed</v>
      </c>
      <c r="S502" s="5">
        <f>[1]raw_orders!S502</f>
        <v>5586.76</v>
      </c>
      <c r="T502" s="5">
        <f t="shared" si="56"/>
        <v>55.867600000000003</v>
      </c>
      <c r="U502" s="5">
        <f t="shared" si="57"/>
        <v>-1874491.748316</v>
      </c>
      <c r="V502" s="5" t="str">
        <f t="shared" si="58"/>
        <v>Calculation Error</v>
      </c>
      <c r="W502" s="5" t="str">
        <f t="shared" si="59"/>
        <v>Calculation Error</v>
      </c>
      <c r="X502" s="5" t="str">
        <f t="shared" si="60"/>
        <v>Invalid Date</v>
      </c>
      <c r="Y502" s="5" t="e">
        <f t="shared" si="61"/>
        <v>#VALUE!</v>
      </c>
      <c r="Z502" s="5" t="e">
        <f t="shared" si="62"/>
        <v>#VALUE!</v>
      </c>
      <c r="AA502" t="str">
        <f t="shared" si="63"/>
        <v>Clean</v>
      </c>
    </row>
    <row r="503" spans="1:27" x14ac:dyDescent="0.3">
      <c r="A503" t="str">
        <f>[1]raw_orders!A503</f>
        <v>ORD-2024-10502</v>
      </c>
      <c r="B503" s="4">
        <f>IFERROR(DATEVALUE([1]raw_orders!B503), "Invalid Date")</f>
        <v>45515</v>
      </c>
      <c r="C503" s="4" t="str">
        <f>IFERROR(DATEVALUE([1]raw_orders!C503), "Invalid Date")</f>
        <v>Invalid Date</v>
      </c>
      <c r="D503" t="str">
        <f>[1]raw_orders!D503</f>
        <v>CUST-3710</v>
      </c>
      <c r="E503" t="str">
        <f>PROPER(TRIM([1]raw_orders!E503))</f>
        <v>Neha Gupta</v>
      </c>
      <c r="F503" t="str">
        <f>PROPER(TRIM([1]raw_orders!F503))</f>
        <v>Consumer</v>
      </c>
      <c r="G503" t="str">
        <f>IF(TRIM([1]raw_orders!G503)="","Unknown",PROPER(TRIM([1]raw_orders!G503)))</f>
        <v>East</v>
      </c>
      <c r="H503" t="str">
        <f>PROPER(TRIM([1]raw_orders!H503))</f>
        <v>Jharkhand</v>
      </c>
      <c r="I503" t="str">
        <f>PROPER(TRIM([1]raw_orders!I503))</f>
        <v>Ranchi</v>
      </c>
      <c r="J503" t="str">
        <f>PROPER(TRIM([1]raw_orders!J503))</f>
        <v>Office Supplies</v>
      </c>
      <c r="K503" t="str">
        <f>PROPER(TRIM([1]raw_orders!K503))</f>
        <v>Art</v>
      </c>
      <c r="L503" t="str">
        <f>[1]raw_orders!L503</f>
        <v>Elite Art 325</v>
      </c>
      <c r="M503" t="str">
        <f>IF(TRIM([1]raw_orders!M503)="","Unknown",PROPER(TRIM([1]raw_orders!M503)))</f>
        <v>Second Class</v>
      </c>
      <c r="N503" s="5">
        <f>[1]raw_orders!N503</f>
        <v>6</v>
      </c>
      <c r="O503" s="5">
        <f>[1]raw_orders!O503</f>
        <v>3497.54</v>
      </c>
      <c r="P503" s="5">
        <f>[1]raw_orders!P503</f>
        <v>0.15</v>
      </c>
      <c r="Q503" t="str">
        <f>PROPER(TRIM([1]raw_orders!T503))</f>
        <v>Paid</v>
      </c>
      <c r="R503" t="str">
        <f>PROPER(TRIM([1]raw_orders!U503))</f>
        <v>Completed</v>
      </c>
      <c r="S503" s="5">
        <f>[1]raw_orders!S503</f>
        <v>4210.43</v>
      </c>
      <c r="T503" s="5">
        <f t="shared" si="56"/>
        <v>42.104300000000002</v>
      </c>
      <c r="U503" s="5">
        <f t="shared" si="57"/>
        <v>-862583.60053199995</v>
      </c>
      <c r="V503" s="5">
        <f t="shared" si="58"/>
        <v>-862583.75053199998</v>
      </c>
      <c r="W503" s="5">
        <f t="shared" si="59"/>
        <v>1.0000001738961881</v>
      </c>
      <c r="X503" s="5" t="str">
        <f t="shared" si="60"/>
        <v>Invalid Date</v>
      </c>
      <c r="Y503" s="5">
        <f t="shared" si="61"/>
        <v>8</v>
      </c>
      <c r="Z503" s="5">
        <f t="shared" si="62"/>
        <v>2024</v>
      </c>
      <c r="AA503" t="str">
        <f t="shared" si="63"/>
        <v>Clean</v>
      </c>
    </row>
    <row r="504" spans="1:27" x14ac:dyDescent="0.3">
      <c r="A504" t="str">
        <f>[1]raw_orders!A504</f>
        <v>ORD-2024-10503</v>
      </c>
      <c r="B504" s="4">
        <f>IFERROR(DATEVALUE([1]raw_orders!B504), "Invalid Date")</f>
        <v>45295</v>
      </c>
      <c r="C504" s="4">
        <f>IFERROR(DATEVALUE([1]raw_orders!C504), "Invalid Date")</f>
        <v>45391</v>
      </c>
      <c r="D504" t="str">
        <f>[1]raw_orders!D504</f>
        <v>CUST-1534</v>
      </c>
      <c r="E504" t="str">
        <f>PROPER(TRIM([1]raw_orders!E504))</f>
        <v>Priya Menon</v>
      </c>
      <c r="F504" t="str">
        <f>PROPER(TRIM([1]raw_orders!F504))</f>
        <v>Small Business</v>
      </c>
      <c r="G504" t="str">
        <f>IF(TRIM([1]raw_orders!G504)="","Unknown",PROPER(TRIM([1]raw_orders!G504)))</f>
        <v>East</v>
      </c>
      <c r="H504" t="str">
        <f>PROPER(TRIM([1]raw_orders!H504))</f>
        <v>Odisha</v>
      </c>
      <c r="I504" t="str">
        <f>PROPER(TRIM([1]raw_orders!I504))</f>
        <v>Bhubaneswar</v>
      </c>
      <c r="J504" t="str">
        <f>PROPER(TRIM([1]raw_orders!J504))</f>
        <v>Technology</v>
      </c>
      <c r="K504" t="str">
        <f>PROPER(TRIM([1]raw_orders!K504))</f>
        <v>Copiers</v>
      </c>
      <c r="L504" t="str">
        <f>[1]raw_orders!L504</f>
        <v>Prime Copiers 557</v>
      </c>
      <c r="M504" t="str">
        <f>IF(TRIM([1]raw_orders!M504)="","Unknown",PROPER(TRIM([1]raw_orders!M504)))</f>
        <v>Second Class</v>
      </c>
      <c r="N504" s="5">
        <f>[1]raw_orders!N504</f>
        <v>6</v>
      </c>
      <c r="O504" s="5">
        <f>[1]raw_orders!O504</f>
        <v>826.93</v>
      </c>
      <c r="P504" s="5">
        <f>[1]raw_orders!P504</f>
        <v>0.1</v>
      </c>
      <c r="Q504" t="str">
        <f>PROPER(TRIM([1]raw_orders!T504))</f>
        <v>Paid</v>
      </c>
      <c r="R504" t="str">
        <f>PROPER(TRIM([1]raw_orders!U504))</f>
        <v>Completed</v>
      </c>
      <c r="S504" s="5">
        <f>[1]raw_orders!S504</f>
        <v>1088.32</v>
      </c>
      <c r="T504" s="5">
        <f t="shared" si="56"/>
        <v>10.883199999999999</v>
      </c>
      <c r="U504" s="5">
        <f t="shared" si="57"/>
        <v>-49036.287455999991</v>
      </c>
      <c r="V504" s="5">
        <f t="shared" si="58"/>
        <v>-49036.387455999989</v>
      </c>
      <c r="W504" s="5">
        <f t="shared" si="59"/>
        <v>1.0000020393060973</v>
      </c>
      <c r="X504" s="5">
        <f t="shared" si="60"/>
        <v>96</v>
      </c>
      <c r="Y504" s="5">
        <f t="shared" si="61"/>
        <v>1</v>
      </c>
      <c r="Z504" s="5">
        <f t="shared" si="62"/>
        <v>2024</v>
      </c>
      <c r="AA504" t="str">
        <f t="shared" si="63"/>
        <v>Clean</v>
      </c>
    </row>
    <row r="505" spans="1:27" x14ac:dyDescent="0.3">
      <c r="A505" t="str">
        <f>[1]raw_orders!A505</f>
        <v>ORD-2024-10504</v>
      </c>
      <c r="B505" s="4">
        <f>IFERROR(DATEVALUE([1]raw_orders!B505), "Invalid Date")</f>
        <v>45563</v>
      </c>
      <c r="C505" s="4">
        <f>IFERROR(DATEVALUE([1]raw_orders!C505), "Invalid Date")</f>
        <v>45570</v>
      </c>
      <c r="D505" t="str">
        <f>[1]raw_orders!D505</f>
        <v>CUST-7422</v>
      </c>
      <c r="E505" t="str">
        <f>PROPER(TRIM([1]raw_orders!E505))</f>
        <v>Aarav Sharma</v>
      </c>
      <c r="F505" t="str">
        <f>PROPER(TRIM([1]raw_orders!F505))</f>
        <v>Consumer</v>
      </c>
      <c r="G505" t="str">
        <f>IF(TRIM([1]raw_orders!G505)="","Unknown",PROPER(TRIM([1]raw_orders!G505)))</f>
        <v>South</v>
      </c>
      <c r="H505" t="str">
        <f>PROPER(TRIM([1]raw_orders!H505))</f>
        <v>Tamil Nadu</v>
      </c>
      <c r="I505" t="str">
        <f>PROPER(TRIM([1]raw_orders!I505))</f>
        <v>Chennai</v>
      </c>
      <c r="J505" t="str">
        <f>PROPER(TRIM([1]raw_orders!J505))</f>
        <v>Technology</v>
      </c>
      <c r="K505" t="str">
        <f>PROPER(TRIM([1]raw_orders!K505))</f>
        <v>Phones</v>
      </c>
      <c r="L505" t="str">
        <f>[1]raw_orders!L505</f>
        <v>Smart Phones 674</v>
      </c>
      <c r="M505" t="str">
        <f>IF(TRIM([1]raw_orders!M505)="","Unknown",PROPER(TRIM([1]raw_orders!M505)))</f>
        <v>Standard Class</v>
      </c>
      <c r="N505" s="5">
        <f>[1]raw_orders!N505</f>
        <v>7</v>
      </c>
      <c r="O505" s="5">
        <f>[1]raw_orders!O505</f>
        <v>1681.6</v>
      </c>
      <c r="P505" s="5">
        <f>[1]raw_orders!P505</f>
        <v>0.1</v>
      </c>
      <c r="Q505" t="str">
        <f>PROPER(TRIM([1]raw_orders!T505))</f>
        <v>Paid</v>
      </c>
      <c r="R505" t="str">
        <f>PROPER(TRIM([1]raw_orders!U505))</f>
        <v>Completed</v>
      </c>
      <c r="S505" s="5">
        <f>[1]raw_orders!S505</f>
        <v>3433.77</v>
      </c>
      <c r="T505" s="5">
        <f t="shared" si="56"/>
        <v>34.337699999999998</v>
      </c>
      <c r="U505" s="5">
        <f t="shared" si="57"/>
        <v>-392424.73423999996</v>
      </c>
      <c r="V505" s="5">
        <f t="shared" si="58"/>
        <v>-392424.83423999994</v>
      </c>
      <c r="W505" s="5">
        <f t="shared" si="59"/>
        <v>1.0000002548259355</v>
      </c>
      <c r="X505" s="5">
        <f t="shared" si="60"/>
        <v>7</v>
      </c>
      <c r="Y505" s="5">
        <f t="shared" si="61"/>
        <v>9</v>
      </c>
      <c r="Z505" s="5">
        <f t="shared" si="62"/>
        <v>2024</v>
      </c>
      <c r="AA505" t="str">
        <f t="shared" si="63"/>
        <v>Clean</v>
      </c>
    </row>
    <row r="506" spans="1:27" x14ac:dyDescent="0.3">
      <c r="A506" t="str">
        <f>[1]raw_orders!A506</f>
        <v>ORD-2025-10505</v>
      </c>
      <c r="B506" s="4">
        <f>IFERROR(DATEVALUE([1]raw_orders!B506), "Invalid Date")</f>
        <v>45700</v>
      </c>
      <c r="C506" s="4">
        <f>IFERROR(DATEVALUE([1]raw_orders!C506), "Invalid Date")</f>
        <v>45705</v>
      </c>
      <c r="D506" t="str">
        <f>[1]raw_orders!D506</f>
        <v>CUST-9693</v>
      </c>
      <c r="E506" t="str">
        <f>PROPER(TRIM([1]raw_orders!E506))</f>
        <v>Arjun Bose</v>
      </c>
      <c r="F506" t="str">
        <f>PROPER(TRIM([1]raw_orders!F506))</f>
        <v>Corporate</v>
      </c>
      <c r="G506" t="str">
        <f>IF(TRIM([1]raw_orders!G506)="","Unknown",PROPER(TRIM([1]raw_orders!G506)))</f>
        <v>West</v>
      </c>
      <c r="H506" t="str">
        <f>PROPER(TRIM([1]raw_orders!H506))</f>
        <v>Gujarat</v>
      </c>
      <c r="I506" t="str">
        <f>PROPER(TRIM([1]raw_orders!I506))</f>
        <v>Ahmedabad</v>
      </c>
      <c r="J506" t="str">
        <f>PROPER(TRIM([1]raw_orders!J506))</f>
        <v>Office Supplies</v>
      </c>
      <c r="K506" t="str">
        <f>PROPER(TRIM([1]raw_orders!K506))</f>
        <v>Art</v>
      </c>
      <c r="L506" t="str">
        <f>[1]raw_orders!L506</f>
        <v>Elite Art 553</v>
      </c>
      <c r="M506" t="str">
        <f>IF(TRIM([1]raw_orders!M506)="","Unknown",PROPER(TRIM([1]raw_orders!M506)))</f>
        <v>Standard Class</v>
      </c>
      <c r="N506" s="5">
        <f>[1]raw_orders!N506</f>
        <v>4</v>
      </c>
      <c r="O506" s="5">
        <f>[1]raw_orders!O506</f>
        <v>4328.12</v>
      </c>
      <c r="P506" s="5">
        <f>[1]raw_orders!P506</f>
        <v>0</v>
      </c>
      <c r="Q506" t="str">
        <f>PROPER(TRIM([1]raw_orders!T506))</f>
        <v>Paid</v>
      </c>
      <c r="R506" t="str">
        <f>PROPER(TRIM([1]raw_orders!U506))</f>
        <v>Completed</v>
      </c>
      <c r="S506" s="5">
        <f>[1]raw_orders!S506</f>
        <v>2888.26</v>
      </c>
      <c r="T506" s="5">
        <f t="shared" si="56"/>
        <v>28.882600000000004</v>
      </c>
      <c r="U506" s="5">
        <f t="shared" si="57"/>
        <v>-482716.95484800002</v>
      </c>
      <c r="V506" s="5">
        <f t="shared" si="58"/>
        <v>-482716.95484800002</v>
      </c>
      <c r="W506" s="5">
        <f t="shared" si="59"/>
        <v>1</v>
      </c>
      <c r="X506" s="5">
        <f t="shared" si="60"/>
        <v>5</v>
      </c>
      <c r="Y506" s="5">
        <f t="shared" si="61"/>
        <v>2</v>
      </c>
      <c r="Z506" s="5">
        <f t="shared" si="62"/>
        <v>2025</v>
      </c>
      <c r="AA506" t="str">
        <f t="shared" si="63"/>
        <v>Clean</v>
      </c>
    </row>
    <row r="507" spans="1:27" x14ac:dyDescent="0.3">
      <c r="A507" t="str">
        <f>[1]raw_orders!A507</f>
        <v>ORD-2024-10506</v>
      </c>
      <c r="B507" s="4">
        <f>IFERROR(DATEVALUE([1]raw_orders!B507), "Invalid Date")</f>
        <v>45605</v>
      </c>
      <c r="C507" s="4">
        <f>IFERROR(DATEVALUE([1]raw_orders!C507), "Invalid Date")</f>
        <v>45610</v>
      </c>
      <c r="D507" t="str">
        <f>[1]raw_orders!D507</f>
        <v>CUST-5458</v>
      </c>
      <c r="E507" t="str">
        <f>PROPER(TRIM([1]raw_orders!E507))</f>
        <v>Neha Gupta</v>
      </c>
      <c r="F507" t="str">
        <f>PROPER(TRIM([1]raw_orders!F507))</f>
        <v>Corporate</v>
      </c>
      <c r="G507" t="str">
        <f>IF(TRIM([1]raw_orders!G507)="","Unknown",PROPER(TRIM([1]raw_orders!G507)))</f>
        <v>West</v>
      </c>
      <c r="H507" t="str">
        <f>PROPER(TRIM([1]raw_orders!H507))</f>
        <v>Madhya Pradesh</v>
      </c>
      <c r="I507" t="str">
        <f>PROPER(TRIM([1]raw_orders!I507))</f>
        <v>Indore</v>
      </c>
      <c r="J507" t="str">
        <f>PROPER(TRIM([1]raw_orders!J507))</f>
        <v>Office Supplies</v>
      </c>
      <c r="K507" t="str">
        <f>PROPER(TRIM([1]raw_orders!K507))</f>
        <v>Art</v>
      </c>
      <c r="L507" t="str">
        <f>[1]raw_orders!L507</f>
        <v>Classic Art 339</v>
      </c>
      <c r="M507" t="str">
        <f>IF(TRIM([1]raw_orders!M507)="","Unknown",PROPER(TRIM([1]raw_orders!M507)))</f>
        <v>First Class</v>
      </c>
      <c r="N507" s="5">
        <f>[1]raw_orders!N507</f>
        <v>9</v>
      </c>
      <c r="O507" s="5">
        <f>[1]raw_orders!O507</f>
        <v>2438.29</v>
      </c>
      <c r="P507" s="5">
        <f>[1]raw_orders!P507</f>
        <v>0.2</v>
      </c>
      <c r="Q507" t="str">
        <f>PROPER(TRIM([1]raw_orders!T507))</f>
        <v>Paid</v>
      </c>
      <c r="R507" t="str">
        <f>PROPER(TRIM([1]raw_orders!U507))</f>
        <v>Cancelled</v>
      </c>
      <c r="S507" s="5">
        <f>[1]raw_orders!S507</f>
        <v>4262.49</v>
      </c>
      <c r="T507" s="5">
        <f t="shared" si="56"/>
        <v>42.624899999999997</v>
      </c>
      <c r="U507" s="5">
        <f t="shared" si="57"/>
        <v>-913442.19678899995</v>
      </c>
      <c r="V507" s="5">
        <f t="shared" si="58"/>
        <v>-913442.3967889999</v>
      </c>
      <c r="W507" s="5">
        <f t="shared" si="59"/>
        <v>1.0000002189520045</v>
      </c>
      <c r="X507" s="5">
        <f t="shared" si="60"/>
        <v>5</v>
      </c>
      <c r="Y507" s="5">
        <f t="shared" si="61"/>
        <v>11</v>
      </c>
      <c r="Z507" s="5">
        <f t="shared" si="62"/>
        <v>2024</v>
      </c>
      <c r="AA507" t="str">
        <f t="shared" si="63"/>
        <v>Clean</v>
      </c>
    </row>
    <row r="508" spans="1:27" x14ac:dyDescent="0.3">
      <c r="A508" t="str">
        <f>[1]raw_orders!A508</f>
        <v>ORD-2024-10507</v>
      </c>
      <c r="B508" s="4">
        <f>IFERROR(DATEVALUE([1]raw_orders!B508), "Invalid Date")</f>
        <v>45641</v>
      </c>
      <c r="C508" s="4">
        <f>IFERROR(DATEVALUE([1]raw_orders!C508), "Invalid Date")</f>
        <v>45641</v>
      </c>
      <c r="D508" t="str">
        <f>[1]raw_orders!D508</f>
        <v>CUST-3011</v>
      </c>
      <c r="E508" t="str">
        <f>PROPER(TRIM([1]raw_orders!E508))</f>
        <v>Aarav Sharma</v>
      </c>
      <c r="F508" t="str">
        <f>PROPER(TRIM([1]raw_orders!F508))</f>
        <v>Small Business</v>
      </c>
      <c r="G508" t="str">
        <f>IF(TRIM([1]raw_orders!G508)="","Unknown",PROPER(TRIM([1]raw_orders!G508)))</f>
        <v>North</v>
      </c>
      <c r="H508" t="str">
        <f>PROPER(TRIM([1]raw_orders!H508))</f>
        <v>Punjab</v>
      </c>
      <c r="I508" t="str">
        <f>PROPER(TRIM([1]raw_orders!I508))</f>
        <v>Ludhiana</v>
      </c>
      <c r="J508" t="str">
        <f>PROPER(TRIM([1]raw_orders!J508))</f>
        <v>Furniture</v>
      </c>
      <c r="K508" t="str">
        <f>PROPER(TRIM([1]raw_orders!K508))</f>
        <v>Furnishings</v>
      </c>
      <c r="L508" t="str">
        <f>[1]raw_orders!L508</f>
        <v>Smart Furnishings 352</v>
      </c>
      <c r="M508" t="str">
        <f>IF(TRIM([1]raw_orders!M508)="","Unknown",PROPER(TRIM([1]raw_orders!M508)))</f>
        <v>First Class</v>
      </c>
      <c r="N508" s="5">
        <f>[1]raw_orders!N508</f>
        <v>2</v>
      </c>
      <c r="O508" s="5">
        <f>[1]raw_orders!O508</f>
        <v>669.8</v>
      </c>
      <c r="P508" s="5">
        <f>[1]raw_orders!P508</f>
        <v>0.1</v>
      </c>
      <c r="Q508" t="str">
        <f>PROPER(TRIM([1]raw_orders!T508))</f>
        <v>Refunded</v>
      </c>
      <c r="R508" t="str">
        <f>PROPER(TRIM([1]raw_orders!U508))</f>
        <v>Returned</v>
      </c>
      <c r="S508" s="5">
        <f>[1]raw_orders!S508</f>
        <v>363.57</v>
      </c>
      <c r="T508" s="5">
        <f t="shared" si="56"/>
        <v>3.6356999999999999</v>
      </c>
      <c r="U508" s="5">
        <f t="shared" si="57"/>
        <v>-3530.7837199999994</v>
      </c>
      <c r="V508" s="5">
        <f t="shared" si="58"/>
        <v>-3530.8837199999994</v>
      </c>
      <c r="W508" s="5">
        <f t="shared" si="59"/>
        <v>1.0000283223238606</v>
      </c>
      <c r="X508" s="5">
        <f t="shared" si="60"/>
        <v>0</v>
      </c>
      <c r="Y508" s="5">
        <f t="shared" si="61"/>
        <v>12</v>
      </c>
      <c r="Z508" s="5">
        <f t="shared" si="62"/>
        <v>2024</v>
      </c>
      <c r="AA508" t="str">
        <f t="shared" si="63"/>
        <v>Clean</v>
      </c>
    </row>
    <row r="509" spans="1:27" x14ac:dyDescent="0.3">
      <c r="A509" t="str">
        <f>[1]raw_orders!A509</f>
        <v>ORD-2025-10508</v>
      </c>
      <c r="B509" s="4">
        <f>IFERROR(DATEVALUE([1]raw_orders!B509), "Invalid Date")</f>
        <v>45762</v>
      </c>
      <c r="C509" s="4">
        <f>IFERROR(DATEVALUE([1]raw_orders!C509), "Invalid Date")</f>
        <v>45769</v>
      </c>
      <c r="D509" t="str">
        <f>[1]raw_orders!D509</f>
        <v>CUST-1826</v>
      </c>
      <c r="E509" t="str">
        <f>PROPER(TRIM([1]raw_orders!E509))</f>
        <v>Isha Nair</v>
      </c>
      <c r="F509" t="str">
        <f>PROPER(TRIM([1]raw_orders!F509))</f>
        <v>Small Business</v>
      </c>
      <c r="G509" t="str">
        <f>IF(TRIM([1]raw_orders!G509)="","Unknown",PROPER(TRIM([1]raw_orders!G509)))</f>
        <v>North</v>
      </c>
      <c r="H509" t="str">
        <f>PROPER(TRIM([1]raw_orders!H509))</f>
        <v>Haryana</v>
      </c>
      <c r="I509" t="str">
        <f>PROPER(TRIM([1]raw_orders!I509))</f>
        <v>Gurugram</v>
      </c>
      <c r="J509" t="str">
        <f>PROPER(TRIM([1]raw_orders!J509))</f>
        <v>Office Supplies</v>
      </c>
      <c r="K509" t="str">
        <f>PROPER(TRIM([1]raw_orders!K509))</f>
        <v>Binders</v>
      </c>
      <c r="L509" t="str">
        <f>[1]raw_orders!L509</f>
        <v>Classic Binders 602</v>
      </c>
      <c r="M509" t="str">
        <f>IF(TRIM([1]raw_orders!M509)="","Unknown",PROPER(TRIM([1]raw_orders!M509)))</f>
        <v>Same Day</v>
      </c>
      <c r="N509" s="5">
        <f>[1]raw_orders!N509</f>
        <v>4</v>
      </c>
      <c r="O509" s="5">
        <f>[1]raw_orders!O509</f>
        <v>2990.42</v>
      </c>
      <c r="P509" s="5">
        <f>[1]raw_orders!P509</f>
        <v>0.25</v>
      </c>
      <c r="Q509" t="str">
        <f>PROPER(TRIM([1]raw_orders!T509))</f>
        <v>Paid</v>
      </c>
      <c r="R509" t="str">
        <f>PROPER(TRIM([1]raw_orders!U509))</f>
        <v>Completed</v>
      </c>
      <c r="S509" s="5">
        <f>[1]raw_orders!S509</f>
        <v>2156.91</v>
      </c>
      <c r="T509" s="5">
        <f t="shared" si="56"/>
        <v>21.569099999999999</v>
      </c>
      <c r="U509" s="5">
        <f t="shared" si="57"/>
        <v>-246040.992088</v>
      </c>
      <c r="V509" s="5">
        <f t="shared" si="58"/>
        <v>-246041.242088</v>
      </c>
      <c r="W509" s="5">
        <f t="shared" si="59"/>
        <v>1.0000010160908468</v>
      </c>
      <c r="X509" s="5">
        <f t="shared" si="60"/>
        <v>7</v>
      </c>
      <c r="Y509" s="5">
        <f t="shared" si="61"/>
        <v>4</v>
      </c>
      <c r="Z509" s="5">
        <f t="shared" si="62"/>
        <v>2025</v>
      </c>
      <c r="AA509" t="str">
        <f t="shared" si="63"/>
        <v>Clean</v>
      </c>
    </row>
    <row r="510" spans="1:27" x14ac:dyDescent="0.3">
      <c r="A510" t="str">
        <f>[1]raw_orders!A510</f>
        <v>ORD-2024-10509</v>
      </c>
      <c r="B510" s="4">
        <f>IFERROR(DATEVALUE([1]raw_orders!B510), "Invalid Date")</f>
        <v>45382</v>
      </c>
      <c r="C510" s="4">
        <f>IFERROR(DATEVALUE([1]raw_orders!C510), "Invalid Date")</f>
        <v>45389</v>
      </c>
      <c r="D510" t="str">
        <f>[1]raw_orders!D510</f>
        <v>CUST-3333</v>
      </c>
      <c r="E510" t="str">
        <f>PROPER(TRIM([1]raw_orders!E510))</f>
        <v>Isha Nair</v>
      </c>
      <c r="F510" t="str">
        <f>PROPER(TRIM([1]raw_orders!F510))</f>
        <v>Small Business</v>
      </c>
      <c r="G510" t="str">
        <f>IF(TRIM([1]raw_orders!G510)="","Unknown",PROPER(TRIM([1]raw_orders!G510)))</f>
        <v>North</v>
      </c>
      <c r="H510" t="str">
        <f>PROPER(TRIM([1]raw_orders!H510))</f>
        <v>Haryana</v>
      </c>
      <c r="I510" t="str">
        <f>PROPER(TRIM([1]raw_orders!I510))</f>
        <v>Gurugram</v>
      </c>
      <c r="J510" t="str">
        <f>PROPER(TRIM([1]raw_orders!J510))</f>
        <v>Technology</v>
      </c>
      <c r="K510" t="str">
        <f>PROPER(TRIM([1]raw_orders!K510))</f>
        <v>Machines</v>
      </c>
      <c r="L510" t="str">
        <f>[1]raw_orders!L510</f>
        <v>Smart Machines 853</v>
      </c>
      <c r="M510" t="str">
        <f>IF(TRIM([1]raw_orders!M510)="","Unknown",PROPER(TRIM([1]raw_orders!M510)))</f>
        <v>Second Class</v>
      </c>
      <c r="N510" s="5">
        <f>[1]raw_orders!N510</f>
        <v>4</v>
      </c>
      <c r="O510" s="5">
        <f>[1]raw_orders!O510</f>
        <v>1831</v>
      </c>
      <c r="P510" s="5">
        <f>[1]raw_orders!P510</f>
        <v>0</v>
      </c>
      <c r="Q510" t="str">
        <f>PROPER(TRIM([1]raw_orders!T510))</f>
        <v>Paid</v>
      </c>
      <c r="R510" t="str">
        <f>PROPER(TRIM([1]raw_orders!U510))</f>
        <v>Completed</v>
      </c>
      <c r="S510" s="5">
        <f>[1]raw_orders!S510</f>
        <v>3144.37</v>
      </c>
      <c r="T510" s="5">
        <f t="shared" si="56"/>
        <v>31.4437</v>
      </c>
      <c r="U510" s="5">
        <f t="shared" si="57"/>
        <v>-222969.6588</v>
      </c>
      <c r="V510" s="5">
        <f t="shared" si="58"/>
        <v>-222969.6588</v>
      </c>
      <c r="W510" s="5">
        <f t="shared" si="59"/>
        <v>1</v>
      </c>
      <c r="X510" s="5">
        <f t="shared" si="60"/>
        <v>7</v>
      </c>
      <c r="Y510" s="5">
        <f t="shared" si="61"/>
        <v>3</v>
      </c>
      <c r="Z510" s="5">
        <f t="shared" si="62"/>
        <v>2024</v>
      </c>
      <c r="AA510" t="str">
        <f t="shared" si="63"/>
        <v>Clean</v>
      </c>
    </row>
    <row r="511" spans="1:27" x14ac:dyDescent="0.3">
      <c r="A511" t="str">
        <f>[1]raw_orders!A511</f>
        <v>ORD-2025-10510</v>
      </c>
      <c r="B511" s="4">
        <f>IFERROR(DATEVALUE([1]raw_orders!B511), "Invalid Date")</f>
        <v>45789</v>
      </c>
      <c r="C511" s="4" t="str">
        <f>IFERROR(DATEVALUE([1]raw_orders!C511), "Invalid Date")</f>
        <v>Invalid Date</v>
      </c>
      <c r="D511" t="str">
        <f>[1]raw_orders!D511</f>
        <v>CUST-7901</v>
      </c>
      <c r="E511" t="str">
        <f>PROPER(TRIM([1]raw_orders!E511))</f>
        <v>Neha Gupta</v>
      </c>
      <c r="F511" t="str">
        <f>PROPER(TRIM([1]raw_orders!F511))</f>
        <v>Consumer</v>
      </c>
      <c r="G511" t="str">
        <f>IF(TRIM([1]raw_orders!G511)="","Unknown",PROPER(TRIM([1]raw_orders!G511)))</f>
        <v>West</v>
      </c>
      <c r="H511" t="str">
        <f>PROPER(TRIM([1]raw_orders!H511))</f>
        <v>Gujarat</v>
      </c>
      <c r="I511" t="str">
        <f>PROPER(TRIM([1]raw_orders!I511))</f>
        <v>Ahmedabad</v>
      </c>
      <c r="J511" t="str">
        <f>PROPER(TRIM([1]raw_orders!J511))</f>
        <v>Technology</v>
      </c>
      <c r="K511" t="str">
        <f>PROPER(TRIM([1]raw_orders!K511))</f>
        <v>Machines</v>
      </c>
      <c r="L511" t="str">
        <f>[1]raw_orders!L511</f>
        <v>Classic Machines 599</v>
      </c>
      <c r="M511" t="str">
        <f>IF(TRIM([1]raw_orders!M511)="","Unknown",PROPER(TRIM([1]raw_orders!M511)))</f>
        <v>Same Day</v>
      </c>
      <c r="N511" s="5">
        <f>[1]raw_orders!N511</f>
        <v>8</v>
      </c>
      <c r="O511" s="5">
        <f>[1]raw_orders!O511</f>
        <v>3631.44</v>
      </c>
      <c r="P511" s="5">
        <f>[1]raw_orders!P511</f>
        <v>0.2</v>
      </c>
      <c r="Q511" t="str">
        <f>PROPER(TRIM([1]raw_orders!T511))</f>
        <v>Paid</v>
      </c>
      <c r="R511" t="str">
        <f>PROPER(TRIM([1]raw_orders!U511))</f>
        <v>Completed</v>
      </c>
      <c r="S511" s="5">
        <f>[1]raw_orders!S511</f>
        <v>6020.32</v>
      </c>
      <c r="T511" s="5">
        <f t="shared" si="56"/>
        <v>60.203199999999995</v>
      </c>
      <c r="U511" s="5">
        <f t="shared" si="57"/>
        <v>-1719942.9488639999</v>
      </c>
      <c r="V511" s="5">
        <f t="shared" si="58"/>
        <v>-1719943.1488639999</v>
      </c>
      <c r="W511" s="5">
        <f t="shared" si="59"/>
        <v>1.0000001162829268</v>
      </c>
      <c r="X511" s="5" t="str">
        <f t="shared" si="60"/>
        <v>Invalid Date</v>
      </c>
      <c r="Y511" s="5">
        <f t="shared" si="61"/>
        <v>5</v>
      </c>
      <c r="Z511" s="5">
        <f t="shared" si="62"/>
        <v>2025</v>
      </c>
      <c r="AA511" t="str">
        <f t="shared" si="63"/>
        <v>Clean</v>
      </c>
    </row>
    <row r="512" spans="1:27" x14ac:dyDescent="0.3">
      <c r="A512" t="str">
        <f>[1]raw_orders!A512</f>
        <v>ORD-2024-10511</v>
      </c>
      <c r="B512" s="4" t="str">
        <f>IFERROR(DATEVALUE([1]raw_orders!B512), "Invalid Date")</f>
        <v>Invalid Date</v>
      </c>
      <c r="C512" s="4">
        <f>IFERROR(DATEVALUE([1]raw_orders!C512), "Invalid Date")</f>
        <v>45586</v>
      </c>
      <c r="D512" t="str">
        <f>[1]raw_orders!D512</f>
        <v>CUST-9759</v>
      </c>
      <c r="E512" t="str">
        <f>PROPER(TRIM([1]raw_orders!E512))</f>
        <v>Aarav Sharma</v>
      </c>
      <c r="F512" t="str">
        <f>PROPER(TRIM([1]raw_orders!F512))</f>
        <v>Consumer</v>
      </c>
      <c r="G512" t="str">
        <f>IF(TRIM([1]raw_orders!G512)="","Unknown",PROPER(TRIM([1]raw_orders!G512)))</f>
        <v>South</v>
      </c>
      <c r="H512" t="str">
        <f>PROPER(TRIM([1]raw_orders!H512))</f>
        <v>Karnataka</v>
      </c>
      <c r="I512" t="str">
        <f>PROPER(TRIM([1]raw_orders!I512))</f>
        <v>Bengaluru</v>
      </c>
      <c r="J512" t="str">
        <f>PROPER(TRIM([1]raw_orders!J512))</f>
        <v>Office Supplies</v>
      </c>
      <c r="K512" t="str">
        <f>PROPER(TRIM([1]raw_orders!K512))</f>
        <v>Storage</v>
      </c>
      <c r="L512" t="str">
        <f>[1]raw_orders!L512</f>
        <v>Pro Storage 373</v>
      </c>
      <c r="M512" t="str">
        <f>IF(TRIM([1]raw_orders!M512)="","Unknown",PROPER(TRIM([1]raw_orders!M512)))</f>
        <v>Second Class</v>
      </c>
      <c r="N512" s="5">
        <f>[1]raw_orders!N512</f>
        <v>2</v>
      </c>
      <c r="O512" s="5">
        <f>[1]raw_orders!O512</f>
        <v>4238.51</v>
      </c>
      <c r="P512" s="5">
        <f>[1]raw_orders!P512</f>
        <v>0</v>
      </c>
      <c r="Q512" t="str">
        <f>PROPER(TRIM([1]raw_orders!T512))</f>
        <v>Paid</v>
      </c>
      <c r="R512" t="str">
        <f>PROPER(TRIM([1]raw_orders!U512))</f>
        <v>Completed</v>
      </c>
      <c r="S512" s="5">
        <f>[1]raw_orders!S512</f>
        <v>1592.06</v>
      </c>
      <c r="T512" s="5">
        <f t="shared" si="56"/>
        <v>15.9206</v>
      </c>
      <c r="U512" s="5">
        <f t="shared" si="57"/>
        <v>-126482.22461200001</v>
      </c>
      <c r="V512" s="5">
        <f t="shared" si="58"/>
        <v>-126482.22461200001</v>
      </c>
      <c r="W512" s="5">
        <f t="shared" si="59"/>
        <v>1</v>
      </c>
      <c r="X512" s="5" t="str">
        <f t="shared" si="60"/>
        <v>Invalid Date</v>
      </c>
      <c r="Y512" s="5" t="e">
        <f t="shared" si="61"/>
        <v>#VALUE!</v>
      </c>
      <c r="Z512" s="5" t="e">
        <f t="shared" si="62"/>
        <v>#VALUE!</v>
      </c>
      <c r="AA512" t="str">
        <f t="shared" si="63"/>
        <v>Clean</v>
      </c>
    </row>
    <row r="513" spans="1:27" x14ac:dyDescent="0.3">
      <c r="A513" t="str">
        <f>[1]raw_orders!A513</f>
        <v>ORD-2024-10512</v>
      </c>
      <c r="B513" s="4" t="str">
        <f>IFERROR(DATEVALUE([1]raw_orders!B513), "Invalid Date")</f>
        <v>Invalid Date</v>
      </c>
      <c r="C513" s="4">
        <f>IFERROR(DATEVALUE([1]raw_orders!C513), "Invalid Date")</f>
        <v>45591</v>
      </c>
      <c r="D513" t="str">
        <f>[1]raw_orders!D513</f>
        <v>CUST-7232</v>
      </c>
      <c r="E513" t="str">
        <f>PROPER(TRIM([1]raw_orders!E513))</f>
        <v>Sneha Kapoor</v>
      </c>
      <c r="F513" t="str">
        <f>PROPER(TRIM([1]raw_orders!F513))</f>
        <v>Consumer</v>
      </c>
      <c r="G513" t="str">
        <f>IF(TRIM([1]raw_orders!G513)="","Unknown",PROPER(TRIM([1]raw_orders!G513)))</f>
        <v>West</v>
      </c>
      <c r="H513" t="str">
        <f>PROPER(TRIM([1]raw_orders!H513))</f>
        <v>Madhya Pradesh</v>
      </c>
      <c r="I513" t="str">
        <f>PROPER(TRIM([1]raw_orders!I513))</f>
        <v>Indore</v>
      </c>
      <c r="J513" t="str">
        <f>PROPER(TRIM([1]raw_orders!J513))</f>
        <v>Furniture</v>
      </c>
      <c r="K513" t="str">
        <f>PROPER(TRIM([1]raw_orders!K513))</f>
        <v>Bookcases</v>
      </c>
      <c r="L513" t="str">
        <f>[1]raw_orders!L513</f>
        <v>Smart Bookcases 920</v>
      </c>
      <c r="M513" t="str">
        <f>IF(TRIM([1]raw_orders!M513)="","Unknown",PROPER(TRIM([1]raw_orders!M513)))</f>
        <v>Standard Class</v>
      </c>
      <c r="N513" s="5">
        <f>[1]raw_orders!N513</f>
        <v>9</v>
      </c>
      <c r="O513" s="5">
        <f>[1]raw_orders!O513</f>
        <v>544.27</v>
      </c>
      <c r="P513" s="5">
        <f>[1]raw_orders!P513</f>
        <v>0.25</v>
      </c>
      <c r="Q513" t="str">
        <f>PROPER(TRIM([1]raw_orders!T513))</f>
        <v>Paid</v>
      </c>
      <c r="R513" t="str">
        <f>PROPER(TRIM([1]raw_orders!U513))</f>
        <v>Completed</v>
      </c>
      <c r="S513" s="5">
        <f>[1]raw_orders!S513</f>
        <v>1585.67</v>
      </c>
      <c r="T513" s="5">
        <f t="shared" si="56"/>
        <v>15.8567</v>
      </c>
      <c r="U513" s="5">
        <f t="shared" si="57"/>
        <v>-72774.504981000006</v>
      </c>
      <c r="V513" s="5">
        <f t="shared" si="58"/>
        <v>-72774.754981000006</v>
      </c>
      <c r="W513" s="5">
        <f t="shared" si="59"/>
        <v>1.0000034352689868</v>
      </c>
      <c r="X513" s="5" t="str">
        <f t="shared" si="60"/>
        <v>Invalid Date</v>
      </c>
      <c r="Y513" s="5" t="e">
        <f t="shared" si="61"/>
        <v>#VALUE!</v>
      </c>
      <c r="Z513" s="5" t="e">
        <f t="shared" si="62"/>
        <v>#VALUE!</v>
      </c>
      <c r="AA513" t="str">
        <f t="shared" si="63"/>
        <v>Clean</v>
      </c>
    </row>
    <row r="514" spans="1:27" x14ac:dyDescent="0.3">
      <c r="A514" t="str">
        <f>[1]raw_orders!A514</f>
        <v>ORD-2025-10513</v>
      </c>
      <c r="B514" s="4">
        <f>IFERROR(DATEVALUE([1]raw_orders!B514), "Invalid Date")</f>
        <v>45691</v>
      </c>
      <c r="C514" s="4">
        <f>IFERROR(DATEVALUE([1]raw_orders!C514), "Invalid Date")</f>
        <v>45719</v>
      </c>
      <c r="D514" t="str">
        <f>[1]raw_orders!D514</f>
        <v>CUST-9943</v>
      </c>
      <c r="E514" t="str">
        <f>PROPER(TRIM([1]raw_orders!E514))</f>
        <v>Isha Nair</v>
      </c>
      <c r="F514" t="str">
        <f>PROPER(TRIM([1]raw_orders!F514))</f>
        <v>Corporate</v>
      </c>
      <c r="G514" t="str">
        <f>IF(TRIM([1]raw_orders!G514)="","Unknown",PROPER(TRIM([1]raw_orders!G514)))</f>
        <v>South</v>
      </c>
      <c r="H514" t="str">
        <f>PROPER(TRIM([1]raw_orders!H514))</f>
        <v>Kerala</v>
      </c>
      <c r="I514" t="str">
        <f>PROPER(TRIM([1]raw_orders!I514))</f>
        <v>Kochi</v>
      </c>
      <c r="J514" t="str">
        <f>PROPER(TRIM([1]raw_orders!J514))</f>
        <v>Office Supplies</v>
      </c>
      <c r="K514" t="str">
        <f>PROPER(TRIM([1]raw_orders!K514))</f>
        <v>Labels</v>
      </c>
      <c r="L514" t="str">
        <f>[1]raw_orders!L514</f>
        <v>Pro Labels 849</v>
      </c>
      <c r="M514" t="str">
        <f>IF(TRIM([1]raw_orders!M514)="","Unknown",PROPER(TRIM([1]raw_orders!M514)))</f>
        <v>Second Class</v>
      </c>
      <c r="N514" s="5">
        <f>[1]raw_orders!N514</f>
        <v>2</v>
      </c>
      <c r="O514" s="5">
        <f>[1]raw_orders!O514</f>
        <v>4031.45</v>
      </c>
      <c r="P514" s="5">
        <f>[1]raw_orders!P514</f>
        <v>0.25</v>
      </c>
      <c r="Q514" t="str">
        <f>PROPER(TRIM([1]raw_orders!T514))</f>
        <v>Paid</v>
      </c>
      <c r="R514" t="str">
        <f>PROPER(TRIM([1]raw_orders!U514))</f>
        <v>Completed</v>
      </c>
      <c r="S514" s="5">
        <f>[1]raw_orders!S514</f>
        <v>2678.38</v>
      </c>
      <c r="T514" s="5">
        <f t="shared" si="56"/>
        <v>26.783799999999999</v>
      </c>
      <c r="U514" s="5">
        <f t="shared" si="57"/>
        <v>-207892.20101999998</v>
      </c>
      <c r="V514" s="5">
        <f t="shared" si="58"/>
        <v>-207892.45101999998</v>
      </c>
      <c r="W514" s="5">
        <f t="shared" si="59"/>
        <v>1.0000012025463139</v>
      </c>
      <c r="X514" s="5">
        <f t="shared" si="60"/>
        <v>28</v>
      </c>
      <c r="Y514" s="5">
        <f t="shared" si="61"/>
        <v>2</v>
      </c>
      <c r="Z514" s="5">
        <f t="shared" si="62"/>
        <v>2025</v>
      </c>
      <c r="AA514" t="str">
        <f t="shared" si="63"/>
        <v>Clean</v>
      </c>
    </row>
    <row r="515" spans="1:27" x14ac:dyDescent="0.3">
      <c r="A515" t="str">
        <f>[1]raw_orders!A515</f>
        <v>ORD-2025-10514</v>
      </c>
      <c r="B515" s="4">
        <f>IFERROR(DATEVALUE([1]raw_orders!B515), "Invalid Date")</f>
        <v>45835</v>
      </c>
      <c r="C515" s="4">
        <f>IFERROR(DATEVALUE([1]raw_orders!C515), "Invalid Date")</f>
        <v>45695</v>
      </c>
      <c r="D515" t="str">
        <f>[1]raw_orders!D515</f>
        <v>CUST-8993</v>
      </c>
      <c r="E515" t="str">
        <f>PROPER(TRIM([1]raw_orders!E515))</f>
        <v>Aarav Sharma</v>
      </c>
      <c r="F515" t="str">
        <f>PROPER(TRIM([1]raw_orders!F515))</f>
        <v>Corporate</v>
      </c>
      <c r="G515" t="str">
        <f>IF(TRIM([1]raw_orders!G515)="","Unknown",PROPER(TRIM([1]raw_orders!G515)))</f>
        <v>South</v>
      </c>
      <c r="H515" t="str">
        <f>PROPER(TRIM([1]raw_orders!H515))</f>
        <v>Kerala</v>
      </c>
      <c r="I515" t="str">
        <f>PROPER(TRIM([1]raw_orders!I515))</f>
        <v>Kochi</v>
      </c>
      <c r="J515" t="str">
        <f>PROPER(TRIM([1]raw_orders!J515))</f>
        <v>Technology</v>
      </c>
      <c r="K515" t="str">
        <f>PROPER(TRIM([1]raw_orders!K515))</f>
        <v>Accessories</v>
      </c>
      <c r="L515" t="str">
        <f>[1]raw_orders!L515</f>
        <v>Prime Accessories 849</v>
      </c>
      <c r="M515" t="str">
        <f>IF(TRIM([1]raw_orders!M515)="","Unknown",PROPER(TRIM([1]raw_orders!M515)))</f>
        <v>First Class</v>
      </c>
      <c r="N515" s="5">
        <f>[1]raw_orders!N515</f>
        <v>6</v>
      </c>
      <c r="O515" s="5">
        <f>[1]raw_orders!O515</f>
        <v>1099.49</v>
      </c>
      <c r="P515" s="5">
        <f>[1]raw_orders!P515</f>
        <v>0.1</v>
      </c>
      <c r="Q515" t="str">
        <f>PROPER(TRIM([1]raw_orders!T515))</f>
        <v>Paid</v>
      </c>
      <c r="R515" t="str">
        <f>PROPER(TRIM([1]raw_orders!U515))</f>
        <v>Completed</v>
      </c>
      <c r="S515" s="5">
        <f>[1]raw_orders!S515</f>
        <v>1848.79</v>
      </c>
      <c r="T515" s="5">
        <f t="shared" ref="T515:T578" si="64">IF(AND(ISNUMBER(S515),S515&gt;=0,S515&lt;=1),S515,IF(S515="",0,IF(S515&lt;0,"INVALID - Negative",IF(S515&gt;1,S515/100,"INVALID"))))</f>
        <v>18.4879</v>
      </c>
      <c r="U515" s="5">
        <f t="shared" ref="U515:U578" si="65">IF(AND(ISNUMBER(N515),ISNUMBER(O515),OR(ISNUMBER(T515),T515=0)),N515*O515*(1-IF(ISNUMBER(T515),T515,0)),"Calculation Error")</f>
        <v>-115366.627026</v>
      </c>
      <c r="V515" s="5">
        <f t="shared" ref="V515:V578" si="66">IF(AND(ISNUMBER(U515),ISNUMBER(P515)),U515-P515,"Calculation Error")</f>
        <v>-115366.72702600001</v>
      </c>
      <c r="W515" s="5">
        <f t="shared" ref="W515:W578" si="67">IF(AND(ISNUMBER(V515),ISNUMBER(U515),U515&lt;&gt;0),V515/U515,IF(U515=0,"N/A","Calculation Error"))</f>
        <v>1.0000008668018003</v>
      </c>
      <c r="X515" s="5">
        <f t="shared" ref="X515:X578" si="68">IF(AND(ISNUMBER(B515),ISNUMBER(C515)),C515-B515,"Invalid Date")</f>
        <v>-140</v>
      </c>
      <c r="Y515" s="5">
        <f t="shared" ref="Y515:Y578" si="69">MONTH(B515)</f>
        <v>6</v>
      </c>
      <c r="Z515" s="5">
        <f t="shared" ref="Z515:Z578" si="70">YEAR(B515)</f>
        <v>2025</v>
      </c>
      <c r="AA515" t="str">
        <f t="shared" ref="AA515:AA578" si="71">IF(OR(G515="Unknown",M515="Unknown",T515="INVALID - Negative",T515="INVALID",X515&lt;0,R515="Duplicate ID - Review Required"),IF(OR(T515="INVALID - Negative",T515="INVALID",X515&lt;0,R515="Duplicate ID - Review Required"),"Invalid","Warning"),"Clean")</f>
        <v>Invalid</v>
      </c>
    </row>
    <row r="516" spans="1:27" x14ac:dyDescent="0.3">
      <c r="A516" t="str">
        <f>[1]raw_orders!A516</f>
        <v>ORD-2024-10515</v>
      </c>
      <c r="B516" s="4">
        <f>IFERROR(DATEVALUE([1]raw_orders!B516), "Invalid Date")</f>
        <v>45614</v>
      </c>
      <c r="C516" s="4">
        <f>IFERROR(DATEVALUE([1]raw_orders!C516), "Invalid Date")</f>
        <v>45618</v>
      </c>
      <c r="D516" t="str">
        <f>[1]raw_orders!D516</f>
        <v>CUST-7729</v>
      </c>
      <c r="E516" t="str">
        <f>PROPER(TRIM([1]raw_orders!E516))</f>
        <v>Karan Malhotra</v>
      </c>
      <c r="F516" t="str">
        <f>PROPER(TRIM([1]raw_orders!F516))</f>
        <v>Home Office</v>
      </c>
      <c r="G516" t="str">
        <f>IF(TRIM([1]raw_orders!G516)="","Unknown",PROPER(TRIM([1]raw_orders!G516)))</f>
        <v>South</v>
      </c>
      <c r="H516" t="str">
        <f>PROPER(TRIM([1]raw_orders!H516))</f>
        <v>Kerala</v>
      </c>
      <c r="I516" t="str">
        <f>PROPER(TRIM([1]raw_orders!I516))</f>
        <v>Kochi</v>
      </c>
      <c r="J516" t="str">
        <f>PROPER(TRIM([1]raw_orders!J516))</f>
        <v>Technology</v>
      </c>
      <c r="K516" t="str">
        <f>PROPER(TRIM([1]raw_orders!K516))</f>
        <v>Accessories</v>
      </c>
      <c r="L516" t="str">
        <f>[1]raw_orders!L516</f>
        <v>Smart Accessories 388</v>
      </c>
      <c r="M516" t="str">
        <f>IF(TRIM([1]raw_orders!M516)="","Unknown",PROPER(TRIM([1]raw_orders!M516)))</f>
        <v>Standard Class</v>
      </c>
      <c r="N516" s="5">
        <f>[1]raw_orders!N516</f>
        <v>6</v>
      </c>
      <c r="O516" s="5">
        <f>[1]raw_orders!O516</f>
        <v>3872.94</v>
      </c>
      <c r="P516" s="5">
        <f>[1]raw_orders!P516</f>
        <v>0.1</v>
      </c>
      <c r="Q516" t="str">
        <f>PROPER(TRIM([1]raw_orders!T516))</f>
        <v>Paid</v>
      </c>
      <c r="R516" t="str">
        <f>PROPER(TRIM([1]raw_orders!U516))</f>
        <v>Completed</v>
      </c>
      <c r="S516" s="5">
        <f>[1]raw_orders!S516</f>
        <v>9229.2000000000007</v>
      </c>
      <c r="T516" s="5">
        <f t="shared" si="64"/>
        <v>92.292000000000002</v>
      </c>
      <c r="U516" s="5">
        <f t="shared" si="65"/>
        <v>-2121410.6308800001</v>
      </c>
      <c r="V516" s="5">
        <f t="shared" si="66"/>
        <v>-2121410.7308800002</v>
      </c>
      <c r="W516" s="5">
        <f t="shared" si="67"/>
        <v>1.0000000471384458</v>
      </c>
      <c r="X516" s="5">
        <f t="shared" si="68"/>
        <v>4</v>
      </c>
      <c r="Y516" s="5">
        <f t="shared" si="69"/>
        <v>11</v>
      </c>
      <c r="Z516" s="5">
        <f t="shared" si="70"/>
        <v>2024</v>
      </c>
      <c r="AA516" t="str">
        <f t="shared" si="71"/>
        <v>Clean</v>
      </c>
    </row>
    <row r="517" spans="1:27" x14ac:dyDescent="0.3">
      <c r="A517" t="str">
        <f>[1]raw_orders!A517</f>
        <v>ORD-2025-10516</v>
      </c>
      <c r="B517" s="4">
        <f>IFERROR(DATEVALUE([1]raw_orders!B517), "Invalid Date")</f>
        <v>45965</v>
      </c>
      <c r="C517" s="4">
        <f>IFERROR(DATEVALUE([1]raw_orders!C517), "Invalid Date")</f>
        <v>45758</v>
      </c>
      <c r="D517" t="str">
        <f>[1]raw_orders!D517</f>
        <v>CUST-9986</v>
      </c>
      <c r="E517" t="str">
        <f>PROPER(TRIM([1]raw_orders!E517))</f>
        <v>Rahul Verma</v>
      </c>
      <c r="F517" t="str">
        <f>PROPER(TRIM([1]raw_orders!F517))</f>
        <v>Corporate</v>
      </c>
      <c r="G517" t="str">
        <f>IF(TRIM([1]raw_orders!G517)="","Unknown",PROPER(TRIM([1]raw_orders!G517)))</f>
        <v>North</v>
      </c>
      <c r="H517" t="str">
        <f>PROPER(TRIM([1]raw_orders!H517))</f>
        <v>Delhi</v>
      </c>
      <c r="I517" t="str">
        <f>PROPER(TRIM([1]raw_orders!I517))</f>
        <v>New Delhi</v>
      </c>
      <c r="J517" t="str">
        <f>PROPER(TRIM([1]raw_orders!J517))</f>
        <v>Office Supplies</v>
      </c>
      <c r="K517" t="str">
        <f>PROPER(TRIM([1]raw_orders!K517))</f>
        <v>Paper</v>
      </c>
      <c r="L517" t="str">
        <f>[1]raw_orders!L517</f>
        <v>Classic Paper 752</v>
      </c>
      <c r="M517" t="str">
        <f>IF(TRIM([1]raw_orders!M517)="","Unknown",PROPER(TRIM([1]raw_orders!M517)))</f>
        <v>Standard Class</v>
      </c>
      <c r="N517" s="5">
        <f>[1]raw_orders!N517</f>
        <v>1</v>
      </c>
      <c r="O517" s="5">
        <f>[1]raw_orders!O517</f>
        <v>4458.49</v>
      </c>
      <c r="P517" s="5">
        <f>[1]raw_orders!P517</f>
        <v>-7.0000000000000007E-2</v>
      </c>
      <c r="Q517" t="str">
        <f>PROPER(TRIM([1]raw_orders!T517))</f>
        <v>Paid</v>
      </c>
      <c r="R517" t="str">
        <f>PROPER(TRIM([1]raw_orders!U517))</f>
        <v>Completed</v>
      </c>
      <c r="S517" s="5">
        <f>[1]raw_orders!S517</f>
        <v>1483.38</v>
      </c>
      <c r="T517" s="5">
        <f t="shared" si="64"/>
        <v>14.833800000000002</v>
      </c>
      <c r="U517" s="5">
        <f t="shared" si="65"/>
        <v>-61677.858962000006</v>
      </c>
      <c r="V517" s="5">
        <f t="shared" si="66"/>
        <v>-61677.788962000006</v>
      </c>
      <c r="W517" s="5">
        <f t="shared" si="67"/>
        <v>0.99999886507085078</v>
      </c>
      <c r="X517" s="5">
        <f t="shared" si="68"/>
        <v>-207</v>
      </c>
      <c r="Y517" s="5">
        <f t="shared" si="69"/>
        <v>11</v>
      </c>
      <c r="Z517" s="5">
        <f t="shared" si="70"/>
        <v>2025</v>
      </c>
      <c r="AA517" t="str">
        <f t="shared" si="71"/>
        <v>Invalid</v>
      </c>
    </row>
    <row r="518" spans="1:27" x14ac:dyDescent="0.3">
      <c r="A518" t="str">
        <f>[1]raw_orders!A518</f>
        <v>ORD-2024-10517</v>
      </c>
      <c r="B518" s="4" t="str">
        <f>IFERROR(DATEVALUE([1]raw_orders!B518), "Invalid Date")</f>
        <v>Invalid Date</v>
      </c>
      <c r="C518" s="4">
        <f>IFERROR(DATEVALUE([1]raw_orders!C518), "Invalid Date")</f>
        <v>45569</v>
      </c>
      <c r="D518" t="str">
        <f>[1]raw_orders!D518</f>
        <v>CUST-2731</v>
      </c>
      <c r="E518" t="str">
        <f>PROPER(TRIM([1]raw_orders!E518))</f>
        <v>Kabir Singh</v>
      </c>
      <c r="F518" t="str">
        <f>PROPER(TRIM([1]raw_orders!F518))</f>
        <v>Home Office</v>
      </c>
      <c r="G518" t="str">
        <f>IF(TRIM([1]raw_orders!G518)="","Unknown",PROPER(TRIM([1]raw_orders!G518)))</f>
        <v>North</v>
      </c>
      <c r="H518" t="str">
        <f>PROPER(TRIM([1]raw_orders!H518))</f>
        <v>Delhi</v>
      </c>
      <c r="I518" t="str">
        <f>PROPER(TRIM([1]raw_orders!I518))</f>
        <v>New Delhi</v>
      </c>
      <c r="J518" t="str">
        <f>PROPER(TRIM([1]raw_orders!J518))</f>
        <v>Technology</v>
      </c>
      <c r="K518" t="str">
        <f>PROPER(TRIM([1]raw_orders!K518))</f>
        <v>Copiers</v>
      </c>
      <c r="L518" t="str">
        <f>[1]raw_orders!L518</f>
        <v>Classic Copiers 143</v>
      </c>
      <c r="M518" t="str">
        <f>IF(TRIM([1]raw_orders!M518)="","Unknown",PROPER(TRIM([1]raw_orders!M518)))</f>
        <v>Standard Class</v>
      </c>
      <c r="N518" s="5">
        <f>[1]raw_orders!N518</f>
        <v>1</v>
      </c>
      <c r="O518" s="5">
        <f>[1]raw_orders!O518</f>
        <v>2233.1799999999998</v>
      </c>
      <c r="P518" s="5">
        <f>[1]raw_orders!P518</f>
        <v>0</v>
      </c>
      <c r="Q518" t="str">
        <f>PROPER(TRIM([1]raw_orders!T518))</f>
        <v>Failed</v>
      </c>
      <c r="R518" t="str">
        <f>PROPER(TRIM([1]raw_orders!U518))</f>
        <v>Returned</v>
      </c>
      <c r="S518" s="5">
        <f>[1]raw_orders!S518</f>
        <v>647.36</v>
      </c>
      <c r="T518" s="5">
        <f t="shared" si="64"/>
        <v>6.4736000000000002</v>
      </c>
      <c r="U518" s="5">
        <f t="shared" si="65"/>
        <v>-12223.534048</v>
      </c>
      <c r="V518" s="5">
        <f t="shared" si="66"/>
        <v>-12223.534048</v>
      </c>
      <c r="W518" s="5">
        <f t="shared" si="67"/>
        <v>1</v>
      </c>
      <c r="X518" s="5" t="str">
        <f t="shared" si="68"/>
        <v>Invalid Date</v>
      </c>
      <c r="Y518" s="5" t="e">
        <f t="shared" si="69"/>
        <v>#VALUE!</v>
      </c>
      <c r="Z518" s="5" t="e">
        <f t="shared" si="70"/>
        <v>#VALUE!</v>
      </c>
      <c r="AA518" t="str">
        <f t="shared" si="71"/>
        <v>Clean</v>
      </c>
    </row>
    <row r="519" spans="1:27" x14ac:dyDescent="0.3">
      <c r="A519" t="str">
        <f>[1]raw_orders!A519</f>
        <v>ORD-2025-10518</v>
      </c>
      <c r="B519" s="4">
        <f>IFERROR(DATEVALUE([1]raw_orders!B519), "Invalid Date")</f>
        <v>45802</v>
      </c>
      <c r="C519" s="4">
        <f>IFERROR(DATEVALUE([1]raw_orders!C519), "Invalid Date")</f>
        <v>45804</v>
      </c>
      <c r="D519" t="str">
        <f>[1]raw_orders!D519</f>
        <v>CUST-4235</v>
      </c>
      <c r="E519" t="str">
        <f>PROPER(TRIM([1]raw_orders!E519))</f>
        <v>Rahul Verma</v>
      </c>
      <c r="F519" t="str">
        <f>PROPER(TRIM([1]raw_orders!F519))</f>
        <v>Consumer</v>
      </c>
      <c r="G519" t="str">
        <f>IF(TRIM([1]raw_orders!G519)="","Unknown",PROPER(TRIM([1]raw_orders!G519)))</f>
        <v>East</v>
      </c>
      <c r="H519" t="str">
        <f>PROPER(TRIM([1]raw_orders!H519))</f>
        <v>Odisha</v>
      </c>
      <c r="I519" t="str">
        <f>PROPER(TRIM([1]raw_orders!I519))</f>
        <v>Bhubaneswar</v>
      </c>
      <c r="J519" t="str">
        <f>PROPER(TRIM([1]raw_orders!J519))</f>
        <v>Furniture</v>
      </c>
      <c r="K519" t="str">
        <f>PROPER(TRIM([1]raw_orders!K519))</f>
        <v>Furnishings</v>
      </c>
      <c r="L519" t="str">
        <f>[1]raw_orders!L519</f>
        <v>Basic Furnishings 386</v>
      </c>
      <c r="M519" t="str">
        <f>IF(TRIM([1]raw_orders!M519)="","Unknown",PROPER(TRIM([1]raw_orders!M519)))</f>
        <v>Second Class</v>
      </c>
      <c r="N519" s="5">
        <f>[1]raw_orders!N519</f>
        <v>7</v>
      </c>
      <c r="O519" s="5">
        <f>[1]raw_orders!O519</f>
        <v>2123.2800000000002</v>
      </c>
      <c r="P519" s="5">
        <f>[1]raw_orders!P519</f>
        <v>0.2</v>
      </c>
      <c r="Q519" t="str">
        <f>PROPER(TRIM([1]raw_orders!T519))</f>
        <v>Refunded</v>
      </c>
      <c r="R519" t="str">
        <f>PROPER(TRIM([1]raw_orders!U519))</f>
        <v>Returned</v>
      </c>
      <c r="S519" s="5">
        <f>[1]raw_orders!S519</f>
        <v>2655.84</v>
      </c>
      <c r="T519" s="5">
        <f t="shared" si="64"/>
        <v>26.558400000000002</v>
      </c>
      <c r="U519" s="5">
        <f t="shared" si="65"/>
        <v>-379873.47686400008</v>
      </c>
      <c r="V519" s="5">
        <f t="shared" si="66"/>
        <v>-379873.6768640001</v>
      </c>
      <c r="W519" s="5">
        <f t="shared" si="67"/>
        <v>1.0000005264910876</v>
      </c>
      <c r="X519" s="5">
        <f t="shared" si="68"/>
        <v>2</v>
      </c>
      <c r="Y519" s="5">
        <f t="shared" si="69"/>
        <v>5</v>
      </c>
      <c r="Z519" s="5">
        <f t="shared" si="70"/>
        <v>2025</v>
      </c>
      <c r="AA519" t="str">
        <f t="shared" si="71"/>
        <v>Clean</v>
      </c>
    </row>
    <row r="520" spans="1:27" x14ac:dyDescent="0.3">
      <c r="A520" t="str">
        <f>[1]raw_orders!A520</f>
        <v>ORD-2025-10519</v>
      </c>
      <c r="B520" s="4">
        <f>IFERROR(DATEVALUE([1]raw_orders!B520), "Invalid Date")</f>
        <v>45777</v>
      </c>
      <c r="C520" s="4">
        <f>IFERROR(DATEVALUE([1]raw_orders!C520), "Invalid Date")</f>
        <v>45773</v>
      </c>
      <c r="D520" t="str">
        <f>[1]raw_orders!D520</f>
        <v>CUST-3377</v>
      </c>
      <c r="E520" t="str">
        <f>PROPER(TRIM([1]raw_orders!E520))</f>
        <v>Diya Patel</v>
      </c>
      <c r="F520" t="str">
        <f>PROPER(TRIM([1]raw_orders!F520))</f>
        <v>Corporate</v>
      </c>
      <c r="G520" t="str">
        <f>IF(TRIM([1]raw_orders!G520)="","Unknown",PROPER(TRIM([1]raw_orders!G520)))</f>
        <v>East</v>
      </c>
      <c r="H520" t="str">
        <f>PROPER(TRIM([1]raw_orders!H520))</f>
        <v>Odisha</v>
      </c>
      <c r="I520" t="str">
        <f>PROPER(TRIM([1]raw_orders!I520))</f>
        <v>Bhubaneswar</v>
      </c>
      <c r="J520" t="str">
        <f>PROPER(TRIM([1]raw_orders!J520))</f>
        <v>Furniture</v>
      </c>
      <c r="K520" t="str">
        <f>PROPER(TRIM([1]raw_orders!K520))</f>
        <v>Tables</v>
      </c>
      <c r="L520" t="str">
        <f>[1]raw_orders!L520</f>
        <v>Classic Tables 592</v>
      </c>
      <c r="M520" t="str">
        <f>IF(TRIM([1]raw_orders!M520)="","Unknown",PROPER(TRIM([1]raw_orders!M520)))</f>
        <v>First Class</v>
      </c>
      <c r="N520" s="5">
        <f>[1]raw_orders!N520</f>
        <v>7</v>
      </c>
      <c r="O520" s="5">
        <f>[1]raw_orders!O520</f>
        <v>1604.13</v>
      </c>
      <c r="P520" s="5">
        <f>[1]raw_orders!P520</f>
        <v>0.25</v>
      </c>
      <c r="Q520" t="str">
        <f>PROPER(TRIM([1]raw_orders!T520))</f>
        <v>Paid</v>
      </c>
      <c r="R520" t="str">
        <f>PROPER(TRIM([1]raw_orders!U520))</f>
        <v>Cancelled</v>
      </c>
      <c r="S520" s="5">
        <f>[1]raw_orders!S520</f>
        <v>1887.21</v>
      </c>
      <c r="T520" s="5">
        <f t="shared" si="64"/>
        <v>18.8721</v>
      </c>
      <c r="U520" s="5">
        <f t="shared" si="65"/>
        <v>-200684.20241100001</v>
      </c>
      <c r="V520" s="5">
        <f t="shared" si="66"/>
        <v>-200684.45241100001</v>
      </c>
      <c r="W520" s="5">
        <f t="shared" si="67"/>
        <v>1.0000012457383143</v>
      </c>
      <c r="X520" s="5">
        <f t="shared" si="68"/>
        <v>-4</v>
      </c>
      <c r="Y520" s="5">
        <f t="shared" si="69"/>
        <v>4</v>
      </c>
      <c r="Z520" s="5">
        <f t="shared" si="70"/>
        <v>2025</v>
      </c>
      <c r="AA520" t="str">
        <f t="shared" si="71"/>
        <v>Invalid</v>
      </c>
    </row>
    <row r="521" spans="1:27" x14ac:dyDescent="0.3">
      <c r="A521" t="str">
        <f>[1]raw_orders!A521</f>
        <v>ORD-2025-10520</v>
      </c>
      <c r="B521" s="4">
        <f>IFERROR(DATEVALUE([1]raw_orders!B521), "Invalid Date")</f>
        <v>45841</v>
      </c>
      <c r="C521" s="4">
        <f>IFERROR(DATEVALUE([1]raw_orders!C521), "Invalid Date")</f>
        <v>45845</v>
      </c>
      <c r="D521" t="str">
        <f>[1]raw_orders!D521</f>
        <v>CUST-3258</v>
      </c>
      <c r="E521" t="str">
        <f>PROPER(TRIM([1]raw_orders!E521))</f>
        <v>Priya Menon</v>
      </c>
      <c r="F521" t="str">
        <f>PROPER(TRIM([1]raw_orders!F521))</f>
        <v>Consumer</v>
      </c>
      <c r="G521" t="str">
        <f>IF(TRIM([1]raw_orders!G521)="","Unknown",PROPER(TRIM([1]raw_orders!G521)))</f>
        <v>North</v>
      </c>
      <c r="H521" t="str">
        <f>PROPER(TRIM([1]raw_orders!H521))</f>
        <v>Uttar Pradesh</v>
      </c>
      <c r="I521" t="str">
        <f>PROPER(TRIM([1]raw_orders!I521))</f>
        <v>Noida</v>
      </c>
      <c r="J521" t="str">
        <f>PROPER(TRIM([1]raw_orders!J521))</f>
        <v>Furniture</v>
      </c>
      <c r="K521" t="str">
        <f>PROPER(TRIM([1]raw_orders!K521))</f>
        <v>Tables</v>
      </c>
      <c r="L521" t="str">
        <f>[1]raw_orders!L521</f>
        <v>Pro Tables 412</v>
      </c>
      <c r="M521" t="str">
        <f>IF(TRIM([1]raw_orders!M521)="","Unknown",PROPER(TRIM([1]raw_orders!M521)))</f>
        <v>Standard Class</v>
      </c>
      <c r="N521" s="5">
        <f>[1]raw_orders!N521</f>
        <v>4</v>
      </c>
      <c r="O521" s="5">
        <f>[1]raw_orders!O521</f>
        <v>4365.21</v>
      </c>
      <c r="P521" s="5">
        <f>[1]raw_orders!P521</f>
        <v>0.2</v>
      </c>
      <c r="Q521" t="str">
        <f>PROPER(TRIM([1]raw_orders!T521))</f>
        <v>Pending</v>
      </c>
      <c r="R521" t="str">
        <f>PROPER(TRIM([1]raw_orders!U521))</f>
        <v>Cancelled</v>
      </c>
      <c r="S521" s="5">
        <f>[1]raw_orders!S521</f>
        <v>5111.09</v>
      </c>
      <c r="T521" s="5">
        <f t="shared" si="64"/>
        <v>51.110900000000001</v>
      </c>
      <c r="U521" s="5">
        <f t="shared" si="65"/>
        <v>-874978.40715600003</v>
      </c>
      <c r="V521" s="5">
        <f t="shared" si="66"/>
        <v>-874978.60715599998</v>
      </c>
      <c r="W521" s="5">
        <f t="shared" si="67"/>
        <v>1.0000002285770693</v>
      </c>
      <c r="X521" s="5">
        <f t="shared" si="68"/>
        <v>4</v>
      </c>
      <c r="Y521" s="5">
        <f t="shared" si="69"/>
        <v>7</v>
      </c>
      <c r="Z521" s="5">
        <f t="shared" si="70"/>
        <v>2025</v>
      </c>
      <c r="AA521" t="str">
        <f t="shared" si="71"/>
        <v>Clean</v>
      </c>
    </row>
    <row r="522" spans="1:27" x14ac:dyDescent="0.3">
      <c r="A522" t="str">
        <f>[1]raw_orders!A522</f>
        <v>ORD-2024-10521</v>
      </c>
      <c r="B522" s="4">
        <f>IFERROR(DATEVALUE([1]raw_orders!B522), "Invalid Date")</f>
        <v>45489</v>
      </c>
      <c r="C522" s="4">
        <f>IFERROR(DATEVALUE([1]raw_orders!C522), "Invalid Date")</f>
        <v>45496</v>
      </c>
      <c r="D522" t="str">
        <f>[1]raw_orders!D522</f>
        <v>CUST-2155</v>
      </c>
      <c r="E522" t="str">
        <f>PROPER(TRIM([1]raw_orders!E522))</f>
        <v>Aarav Sharma</v>
      </c>
      <c r="F522" t="str">
        <f>PROPER(TRIM([1]raw_orders!F522))</f>
        <v>Home Office</v>
      </c>
      <c r="G522" t="str">
        <f>IF(TRIM([1]raw_orders!G522)="","Unknown",PROPER(TRIM([1]raw_orders!G522)))</f>
        <v>South</v>
      </c>
      <c r="H522" t="str">
        <f>PROPER(TRIM([1]raw_orders!H522))</f>
        <v>Karnataka</v>
      </c>
      <c r="I522" t="str">
        <f>PROPER(TRIM([1]raw_orders!I522))</f>
        <v>Bengaluru</v>
      </c>
      <c r="J522" t="str">
        <f>PROPER(TRIM([1]raw_orders!J522))</f>
        <v>Technology</v>
      </c>
      <c r="K522" t="str">
        <f>PROPER(TRIM([1]raw_orders!K522))</f>
        <v>Machines</v>
      </c>
      <c r="L522" t="str">
        <f>[1]raw_orders!L522</f>
        <v>Prime Machines 393</v>
      </c>
      <c r="M522" t="str">
        <f>IF(TRIM([1]raw_orders!M522)="","Unknown",PROPER(TRIM([1]raw_orders!M522)))</f>
        <v>Same Day</v>
      </c>
      <c r="N522" s="5">
        <f>[1]raw_orders!N522</f>
        <v>1</v>
      </c>
      <c r="O522" s="5">
        <f>[1]raw_orders!O522</f>
        <v>1695.91</v>
      </c>
      <c r="P522" s="5">
        <f>[1]raw_orders!P522</f>
        <v>0.05</v>
      </c>
      <c r="Q522" t="str">
        <f>PROPER(TRIM([1]raw_orders!T522))</f>
        <v>Paid</v>
      </c>
      <c r="R522" t="str">
        <f>PROPER(TRIM([1]raw_orders!U522))</f>
        <v>Completed</v>
      </c>
      <c r="S522" s="5">
        <f>[1]raw_orders!S522</f>
        <v>715.96</v>
      </c>
      <c r="T522" s="5">
        <f t="shared" si="64"/>
        <v>7.1596000000000002</v>
      </c>
      <c r="U522" s="5">
        <f t="shared" si="65"/>
        <v>-10446.127236</v>
      </c>
      <c r="V522" s="5">
        <f t="shared" si="66"/>
        <v>-10446.177236</v>
      </c>
      <c r="W522" s="5">
        <f t="shared" si="67"/>
        <v>1.0000047864628556</v>
      </c>
      <c r="X522" s="5">
        <f t="shared" si="68"/>
        <v>7</v>
      </c>
      <c r="Y522" s="5">
        <f t="shared" si="69"/>
        <v>7</v>
      </c>
      <c r="Z522" s="5">
        <f t="shared" si="70"/>
        <v>2024</v>
      </c>
      <c r="AA522" t="str">
        <f t="shared" si="71"/>
        <v>Clean</v>
      </c>
    </row>
    <row r="523" spans="1:27" x14ac:dyDescent="0.3">
      <c r="A523" t="str">
        <f>[1]raw_orders!A523</f>
        <v>ORD-2025-10522</v>
      </c>
      <c r="B523" s="4">
        <f>IFERROR(DATEVALUE([1]raw_orders!B523), "Invalid Date")</f>
        <v>45741</v>
      </c>
      <c r="C523" s="4">
        <f>IFERROR(DATEVALUE([1]raw_orders!C523), "Invalid Date")</f>
        <v>45748</v>
      </c>
      <c r="D523" t="str">
        <f>[1]raw_orders!D523</f>
        <v>CUST-8012</v>
      </c>
      <c r="E523" t="str">
        <f>PROPER(TRIM([1]raw_orders!E523))</f>
        <v>Diya Patel</v>
      </c>
      <c r="F523" t="str">
        <f>PROPER(TRIM([1]raw_orders!F523))</f>
        <v>Consumer</v>
      </c>
      <c r="G523" t="str">
        <f>IF(TRIM([1]raw_orders!G523)="","Unknown",PROPER(TRIM([1]raw_orders!G523)))</f>
        <v>North</v>
      </c>
      <c r="H523" t="str">
        <f>PROPER(TRIM([1]raw_orders!H523))</f>
        <v>Punjab</v>
      </c>
      <c r="I523" t="str">
        <f>PROPER(TRIM([1]raw_orders!I523))</f>
        <v>Ludhiana</v>
      </c>
      <c r="J523" t="str">
        <f>PROPER(TRIM([1]raw_orders!J523))</f>
        <v>Office Supplies</v>
      </c>
      <c r="K523" t="str">
        <f>PROPER(TRIM([1]raw_orders!K523))</f>
        <v>Labels</v>
      </c>
      <c r="L523" t="str">
        <f>[1]raw_orders!L523</f>
        <v>Classic Labels 776</v>
      </c>
      <c r="M523" t="str">
        <f>IF(TRIM([1]raw_orders!M523)="","Unknown",PROPER(TRIM([1]raw_orders!M523)))</f>
        <v>Second Class</v>
      </c>
      <c r="N523" s="5">
        <f>[1]raw_orders!N523</f>
        <v>6</v>
      </c>
      <c r="O523" s="5">
        <f>[1]raw_orders!O523</f>
        <v>2192.11</v>
      </c>
      <c r="P523" s="5">
        <f>[1]raw_orders!P523</f>
        <v>0.05</v>
      </c>
      <c r="Q523" t="str">
        <f>PROPER(TRIM([1]raw_orders!T523))</f>
        <v>Paid</v>
      </c>
      <c r="R523" t="str">
        <f>PROPER(TRIM([1]raw_orders!U523))</f>
        <v>Completed</v>
      </c>
      <c r="S523" s="5">
        <f>[1]raw_orders!S523</f>
        <v>3310.51</v>
      </c>
      <c r="T523" s="5">
        <f t="shared" si="64"/>
        <v>33.1051</v>
      </c>
      <c r="U523" s="5">
        <f t="shared" si="65"/>
        <v>-422267.46456599998</v>
      </c>
      <c r="V523" s="5">
        <f t="shared" si="66"/>
        <v>-422267.51456599997</v>
      </c>
      <c r="W523" s="5">
        <f t="shared" si="67"/>
        <v>1.0000001184083649</v>
      </c>
      <c r="X523" s="5">
        <f t="shared" si="68"/>
        <v>7</v>
      </c>
      <c r="Y523" s="5">
        <f t="shared" si="69"/>
        <v>3</v>
      </c>
      <c r="Z523" s="5">
        <f t="shared" si="70"/>
        <v>2025</v>
      </c>
      <c r="AA523" t="str">
        <f t="shared" si="71"/>
        <v>Clean</v>
      </c>
    </row>
    <row r="524" spans="1:27" x14ac:dyDescent="0.3">
      <c r="A524" t="str">
        <f>[1]raw_orders!A524</f>
        <v>ORD-2025-10523</v>
      </c>
      <c r="B524" s="4" t="str">
        <f>IFERROR(DATEVALUE([1]raw_orders!B524), "Invalid Date")</f>
        <v>Invalid Date</v>
      </c>
      <c r="C524" s="4">
        <f>IFERROR(DATEVALUE([1]raw_orders!C524), "Invalid Date")</f>
        <v>45724</v>
      </c>
      <c r="D524" t="str">
        <f>[1]raw_orders!D524</f>
        <v>CUST-2917</v>
      </c>
      <c r="E524" t="str">
        <f>PROPER(TRIM([1]raw_orders!E524))</f>
        <v>Neha Gupta</v>
      </c>
      <c r="F524" t="str">
        <f>PROPER(TRIM([1]raw_orders!F524))</f>
        <v>Small Business</v>
      </c>
      <c r="G524" t="str">
        <f>IF(TRIM([1]raw_orders!G524)="","Unknown",PROPER(TRIM([1]raw_orders!G524)))</f>
        <v>East</v>
      </c>
      <c r="H524" t="str">
        <f>PROPER(TRIM([1]raw_orders!H524))</f>
        <v>Jharkhand</v>
      </c>
      <c r="I524" t="str">
        <f>PROPER(TRIM([1]raw_orders!I524))</f>
        <v>Ranchi</v>
      </c>
      <c r="J524" t="str">
        <f>PROPER(TRIM([1]raw_orders!J524))</f>
        <v>Technology</v>
      </c>
      <c r="K524" t="str">
        <f>PROPER(TRIM([1]raw_orders!K524))</f>
        <v>Phones</v>
      </c>
      <c r="L524" t="str">
        <f>[1]raw_orders!L524</f>
        <v>Max Phones 612</v>
      </c>
      <c r="M524" t="str">
        <f>IF(TRIM([1]raw_orders!M524)="","Unknown",PROPER(TRIM([1]raw_orders!M524)))</f>
        <v>First Class</v>
      </c>
      <c r="N524" s="5">
        <f>[1]raw_orders!N524</f>
        <v>9</v>
      </c>
      <c r="O524" s="5">
        <f>[1]raw_orders!O524</f>
        <v>3670.54</v>
      </c>
      <c r="P524" s="5">
        <f>[1]raw_orders!P524</f>
        <v>0</v>
      </c>
      <c r="Q524" t="str">
        <f>PROPER(TRIM([1]raw_orders!T524))</f>
        <v>Paid</v>
      </c>
      <c r="R524" t="str">
        <f>PROPER(TRIM([1]raw_orders!U524))</f>
        <v>Completed</v>
      </c>
      <c r="S524" s="5">
        <f>[1]raw_orders!S524</f>
        <v>8495.0300000000007</v>
      </c>
      <c r="T524" s="5">
        <f t="shared" si="64"/>
        <v>84.950300000000013</v>
      </c>
      <c r="U524" s="5">
        <f t="shared" si="65"/>
        <v>-2773286.4074580004</v>
      </c>
      <c r="V524" s="5">
        <f t="shared" si="66"/>
        <v>-2773286.4074580004</v>
      </c>
      <c r="W524" s="5">
        <f t="shared" si="67"/>
        <v>1</v>
      </c>
      <c r="X524" s="5" t="str">
        <f t="shared" si="68"/>
        <v>Invalid Date</v>
      </c>
      <c r="Y524" s="5" t="e">
        <f t="shared" si="69"/>
        <v>#VALUE!</v>
      </c>
      <c r="Z524" s="5" t="e">
        <f t="shared" si="70"/>
        <v>#VALUE!</v>
      </c>
      <c r="AA524" t="str">
        <f t="shared" si="71"/>
        <v>Clean</v>
      </c>
    </row>
    <row r="525" spans="1:27" x14ac:dyDescent="0.3">
      <c r="A525" t="str">
        <f>[1]raw_orders!A525</f>
        <v>ORD-2024-10524</v>
      </c>
      <c r="B525" s="4">
        <f>IFERROR(DATEVALUE([1]raw_orders!B525), "Invalid Date")</f>
        <v>45384</v>
      </c>
      <c r="C525" s="4">
        <f>IFERROR(DATEVALUE([1]raw_orders!C525), "Invalid Date")</f>
        <v>45385</v>
      </c>
      <c r="D525" t="str">
        <f>[1]raw_orders!D525</f>
        <v>CUST-4653</v>
      </c>
      <c r="E525" t="str">
        <f>PROPER(TRIM([1]raw_orders!E525))</f>
        <v>Kabir Singh</v>
      </c>
      <c r="F525" t="str">
        <f>PROPER(TRIM([1]raw_orders!F525))</f>
        <v>Home Office</v>
      </c>
      <c r="G525" t="str">
        <f>IF(TRIM([1]raw_orders!G525)="","Unknown",PROPER(TRIM([1]raw_orders!G525)))</f>
        <v>West</v>
      </c>
      <c r="H525" t="str">
        <f>PROPER(TRIM([1]raw_orders!H525))</f>
        <v>Goa</v>
      </c>
      <c r="I525" t="str">
        <f>PROPER(TRIM([1]raw_orders!I525))</f>
        <v>Panaji</v>
      </c>
      <c r="J525" t="str">
        <f>PROPER(TRIM([1]raw_orders!J525))</f>
        <v>Office Supplies</v>
      </c>
      <c r="K525" t="str">
        <f>PROPER(TRIM([1]raw_orders!K525))</f>
        <v>Paper</v>
      </c>
      <c r="L525" t="str">
        <f>[1]raw_orders!L525</f>
        <v>Basic Paper 315</v>
      </c>
      <c r="M525" t="str">
        <f>IF(TRIM([1]raw_orders!M525)="","Unknown",PROPER(TRIM([1]raw_orders!M525)))</f>
        <v>Second Class</v>
      </c>
      <c r="N525" s="5">
        <f>[1]raw_orders!N525</f>
        <v>2</v>
      </c>
      <c r="O525" s="5">
        <f>[1]raw_orders!O525</f>
        <v>2902.63</v>
      </c>
      <c r="P525" s="5">
        <f>[1]raw_orders!P525</f>
        <v>0</v>
      </c>
      <c r="Q525" t="str">
        <f>PROPER(TRIM([1]raw_orders!T525))</f>
        <v>Paid</v>
      </c>
      <c r="R525" t="str">
        <f>PROPER(TRIM([1]raw_orders!U525))</f>
        <v>Returned</v>
      </c>
      <c r="S525" s="5">
        <f>[1]raw_orders!S525</f>
        <v>1150.9000000000001</v>
      </c>
      <c r="T525" s="5">
        <f t="shared" si="64"/>
        <v>11.509</v>
      </c>
      <c r="U525" s="5">
        <f t="shared" si="65"/>
        <v>-61007.477340000005</v>
      </c>
      <c r="V525" s="5">
        <f t="shared" si="66"/>
        <v>-61007.477340000005</v>
      </c>
      <c r="W525" s="5">
        <f t="shared" si="67"/>
        <v>1</v>
      </c>
      <c r="X525" s="5">
        <f t="shared" si="68"/>
        <v>1</v>
      </c>
      <c r="Y525" s="5">
        <f t="shared" si="69"/>
        <v>4</v>
      </c>
      <c r="Z525" s="5">
        <f t="shared" si="70"/>
        <v>2024</v>
      </c>
      <c r="AA525" t="str">
        <f t="shared" si="71"/>
        <v>Clean</v>
      </c>
    </row>
    <row r="526" spans="1:27" x14ac:dyDescent="0.3">
      <c r="A526" t="str">
        <f>[1]raw_orders!A526</f>
        <v>ORD-2024-10525</v>
      </c>
      <c r="B526" s="4">
        <f>IFERROR(DATEVALUE([1]raw_orders!B526), "Invalid Date")</f>
        <v>45626</v>
      </c>
      <c r="C526" s="4">
        <f>IFERROR(DATEVALUE([1]raw_orders!C526), "Invalid Date")</f>
        <v>45627</v>
      </c>
      <c r="D526" t="str">
        <f>[1]raw_orders!D526</f>
        <v>CUST-3311</v>
      </c>
      <c r="E526" t="str">
        <f>PROPER(TRIM([1]raw_orders!E526))</f>
        <v>Ananya Rao</v>
      </c>
      <c r="F526" t="str">
        <f>PROPER(TRIM([1]raw_orders!F526))</f>
        <v>Corporate</v>
      </c>
      <c r="G526" t="str">
        <f>IF(TRIM([1]raw_orders!G526)="","Unknown",PROPER(TRIM([1]raw_orders!G526)))</f>
        <v>West</v>
      </c>
      <c r="H526" t="str">
        <f>PROPER(TRIM([1]raw_orders!H526))</f>
        <v>Gujarat</v>
      </c>
      <c r="I526" t="str">
        <f>PROPER(TRIM([1]raw_orders!I526))</f>
        <v>Ahmedabad</v>
      </c>
      <c r="J526" t="str">
        <f>PROPER(TRIM([1]raw_orders!J526))</f>
        <v>Furniture</v>
      </c>
      <c r="K526" t="str">
        <f>PROPER(TRIM([1]raw_orders!K526))</f>
        <v>Chairs</v>
      </c>
      <c r="L526" t="str">
        <f>[1]raw_orders!L526</f>
        <v>Basic Chairs 333</v>
      </c>
      <c r="M526" t="str">
        <f>IF(TRIM([1]raw_orders!M526)="","Unknown",PROPER(TRIM([1]raw_orders!M526)))</f>
        <v>First Class</v>
      </c>
      <c r="N526" s="5">
        <f>[1]raw_orders!N526</f>
        <v>9</v>
      </c>
      <c r="O526" s="5">
        <f>[1]raw_orders!O526</f>
        <v>4207.3599999999997</v>
      </c>
      <c r="P526" s="5">
        <f>[1]raw_orders!P526</f>
        <v>0.1</v>
      </c>
      <c r="Q526" t="str">
        <f>PROPER(TRIM([1]raw_orders!T526))</f>
        <v>Paid</v>
      </c>
      <c r="R526" t="str">
        <f>PROPER(TRIM([1]raw_orders!U526))</f>
        <v>Completed</v>
      </c>
      <c r="S526" s="5">
        <f>[1]raw_orders!S526</f>
        <v>12208.23</v>
      </c>
      <c r="T526" s="5">
        <f t="shared" si="64"/>
        <v>122.08229999999999</v>
      </c>
      <c r="U526" s="5">
        <f t="shared" si="65"/>
        <v>-4584931.4315519994</v>
      </c>
      <c r="V526" s="5">
        <f t="shared" si="66"/>
        <v>-4584931.531551999</v>
      </c>
      <c r="W526" s="5">
        <f t="shared" si="67"/>
        <v>1.0000000218105769</v>
      </c>
      <c r="X526" s="5">
        <f t="shared" si="68"/>
        <v>1</v>
      </c>
      <c r="Y526" s="5">
        <f t="shared" si="69"/>
        <v>11</v>
      </c>
      <c r="Z526" s="5">
        <f t="shared" si="70"/>
        <v>2024</v>
      </c>
      <c r="AA526" t="str">
        <f t="shared" si="71"/>
        <v>Clean</v>
      </c>
    </row>
    <row r="527" spans="1:27" x14ac:dyDescent="0.3">
      <c r="A527" t="str">
        <f>[1]raw_orders!A527</f>
        <v>ORD-2024-10526</v>
      </c>
      <c r="B527" s="4" t="str">
        <f>IFERROR(DATEVALUE([1]raw_orders!B527), "Invalid Date")</f>
        <v>Invalid Date</v>
      </c>
      <c r="C527" s="4">
        <f>IFERROR(DATEVALUE([1]raw_orders!C527), "Invalid Date")</f>
        <v>45582</v>
      </c>
      <c r="D527" t="str">
        <f>[1]raw_orders!D527</f>
        <v>CUST-2924</v>
      </c>
      <c r="E527" t="str">
        <f>PROPER(TRIM([1]raw_orders!E527))</f>
        <v>Priya Menon</v>
      </c>
      <c r="F527" t="str">
        <f>PROPER(TRIM([1]raw_orders!F527))</f>
        <v>Home Office</v>
      </c>
      <c r="G527" t="str">
        <f>IF(TRIM([1]raw_orders!G527)="","Unknown",PROPER(TRIM([1]raw_orders!G527)))</f>
        <v>East</v>
      </c>
      <c r="H527" t="str">
        <f>PROPER(TRIM([1]raw_orders!H527))</f>
        <v>West Bengal</v>
      </c>
      <c r="I527" t="str">
        <f>PROPER(TRIM([1]raw_orders!I527))</f>
        <v>Kolkata</v>
      </c>
      <c r="J527" t="str">
        <f>PROPER(TRIM([1]raw_orders!J527))</f>
        <v>Furniture</v>
      </c>
      <c r="K527" t="str">
        <f>PROPER(TRIM([1]raw_orders!K527))</f>
        <v>Chairs</v>
      </c>
      <c r="L527" t="str">
        <f>[1]raw_orders!L527</f>
        <v>Prime Chairs 215</v>
      </c>
      <c r="M527" t="str">
        <f>IF(TRIM([1]raw_orders!M527)="","Unknown",PROPER(TRIM([1]raw_orders!M527)))</f>
        <v>Standard Class</v>
      </c>
      <c r="N527" s="5">
        <f>[1]raw_orders!N527</f>
        <v>5</v>
      </c>
      <c r="O527" s="5">
        <f>[1]raw_orders!O527</f>
        <v>2524.4</v>
      </c>
      <c r="P527" s="5">
        <f>[1]raw_orders!P527</f>
        <v>0.1</v>
      </c>
      <c r="Q527" t="str">
        <f>PROPER(TRIM([1]raw_orders!T527))</f>
        <v>Paid</v>
      </c>
      <c r="R527" t="str">
        <f>PROPER(TRIM([1]raw_orders!U527))</f>
        <v>Completed</v>
      </c>
      <c r="S527" s="5">
        <f>[1]raw_orders!S527</f>
        <v>4297.3599999999997</v>
      </c>
      <c r="T527" s="5">
        <f t="shared" si="64"/>
        <v>42.973599999999998</v>
      </c>
      <c r="U527" s="5">
        <f t="shared" si="65"/>
        <v>-529790.77919999999</v>
      </c>
      <c r="V527" s="5">
        <f t="shared" si="66"/>
        <v>-529790.87919999997</v>
      </c>
      <c r="W527" s="5">
        <f t="shared" si="67"/>
        <v>1.0000001887537571</v>
      </c>
      <c r="X527" s="5" t="str">
        <f t="shared" si="68"/>
        <v>Invalid Date</v>
      </c>
      <c r="Y527" s="5" t="e">
        <f t="shared" si="69"/>
        <v>#VALUE!</v>
      </c>
      <c r="Z527" s="5" t="e">
        <f t="shared" si="70"/>
        <v>#VALUE!</v>
      </c>
      <c r="AA527" t="str">
        <f t="shared" si="71"/>
        <v>Clean</v>
      </c>
    </row>
    <row r="528" spans="1:27" x14ac:dyDescent="0.3">
      <c r="A528" t="str">
        <f>[1]raw_orders!A528</f>
        <v>ORD-2025-10527</v>
      </c>
      <c r="B528" s="4">
        <f>IFERROR(DATEVALUE([1]raw_orders!B528), "Invalid Date")</f>
        <v>45856</v>
      </c>
      <c r="C528" s="4">
        <f>IFERROR(DATEVALUE([1]raw_orders!C528), "Invalid Date")</f>
        <v>45859</v>
      </c>
      <c r="D528" t="str">
        <f>[1]raw_orders!D528</f>
        <v>CUST-7198</v>
      </c>
      <c r="E528" t="str">
        <f>PROPER(TRIM([1]raw_orders!E528))</f>
        <v>Priya Menon</v>
      </c>
      <c r="F528" t="str">
        <f>PROPER(TRIM([1]raw_orders!F528))</f>
        <v>Consumer</v>
      </c>
      <c r="G528" t="str">
        <f>IF(TRIM([1]raw_orders!G528)="","Unknown",PROPER(TRIM([1]raw_orders!G528)))</f>
        <v>East</v>
      </c>
      <c r="H528" t="str">
        <f>PROPER(TRIM([1]raw_orders!H528))</f>
        <v>Odisha</v>
      </c>
      <c r="I528" t="str">
        <f>PROPER(TRIM([1]raw_orders!I528))</f>
        <v>Bhubaneswar</v>
      </c>
      <c r="J528" t="str">
        <f>PROPER(TRIM([1]raw_orders!J528))</f>
        <v>Furniture</v>
      </c>
      <c r="K528" t="str">
        <f>PROPER(TRIM([1]raw_orders!K528))</f>
        <v>Tables</v>
      </c>
      <c r="L528" t="str">
        <f>[1]raw_orders!L528</f>
        <v>Elite Tables 815</v>
      </c>
      <c r="M528" t="str">
        <f>IF(TRIM([1]raw_orders!M528)="","Unknown",PROPER(TRIM([1]raw_orders!M528)))</f>
        <v>Second Class</v>
      </c>
      <c r="N528" s="5">
        <f>[1]raw_orders!N528</f>
        <v>4</v>
      </c>
      <c r="O528" s="5">
        <f>[1]raw_orders!O528</f>
        <v>284.04000000000002</v>
      </c>
      <c r="P528" s="5">
        <f>[1]raw_orders!P528</f>
        <v>0</v>
      </c>
      <c r="Q528" t="str">
        <f>PROPER(TRIM([1]raw_orders!T528))</f>
        <v>Paid</v>
      </c>
      <c r="R528" t="str">
        <f>PROPER(TRIM([1]raw_orders!U528))</f>
        <v>Completed</v>
      </c>
      <c r="S528" s="5">
        <f>[1]raw_orders!S528</f>
        <v>336.85</v>
      </c>
      <c r="T528" s="5">
        <f t="shared" si="64"/>
        <v>3.3685</v>
      </c>
      <c r="U528" s="5">
        <f t="shared" si="65"/>
        <v>-2690.9949600000004</v>
      </c>
      <c r="V528" s="5">
        <f t="shared" si="66"/>
        <v>-2690.9949600000004</v>
      </c>
      <c r="W528" s="5">
        <f t="shared" si="67"/>
        <v>1</v>
      </c>
      <c r="X528" s="5">
        <f t="shared" si="68"/>
        <v>3</v>
      </c>
      <c r="Y528" s="5">
        <f t="shared" si="69"/>
        <v>7</v>
      </c>
      <c r="Z528" s="5">
        <f t="shared" si="70"/>
        <v>2025</v>
      </c>
      <c r="AA528" t="str">
        <f t="shared" si="71"/>
        <v>Clean</v>
      </c>
    </row>
    <row r="529" spans="1:27" x14ac:dyDescent="0.3">
      <c r="A529" t="str">
        <f>[1]raw_orders!A529</f>
        <v>ORD-2025-10528</v>
      </c>
      <c r="B529" s="4">
        <f>IFERROR(DATEVALUE([1]raw_orders!B529), "Invalid Date")</f>
        <v>45931</v>
      </c>
      <c r="C529" s="4">
        <f>IFERROR(DATEVALUE([1]raw_orders!C529), "Invalid Date")</f>
        <v>45935</v>
      </c>
      <c r="D529" t="str">
        <f>[1]raw_orders!D529</f>
        <v>CUST-3419</v>
      </c>
      <c r="E529" t="str">
        <f>PROPER(TRIM([1]raw_orders!E529))</f>
        <v>Aditi Sen</v>
      </c>
      <c r="F529" t="str">
        <f>PROPER(TRIM([1]raw_orders!F529))</f>
        <v>Home Office</v>
      </c>
      <c r="G529" t="str">
        <f>IF(TRIM([1]raw_orders!G529)="","Unknown",PROPER(TRIM([1]raw_orders!G529)))</f>
        <v>North</v>
      </c>
      <c r="H529" t="str">
        <f>PROPER(TRIM([1]raw_orders!H529))</f>
        <v>Haryana</v>
      </c>
      <c r="I529" t="str">
        <f>PROPER(TRIM([1]raw_orders!I529))</f>
        <v>Gurugram</v>
      </c>
      <c r="J529" t="str">
        <f>PROPER(TRIM([1]raw_orders!J529))</f>
        <v>Office Supplies</v>
      </c>
      <c r="K529" t="str">
        <f>PROPER(TRIM([1]raw_orders!K529))</f>
        <v>Paper</v>
      </c>
      <c r="L529" t="str">
        <f>[1]raw_orders!L529</f>
        <v>Basic Paper 388</v>
      </c>
      <c r="M529" t="str">
        <f>IF(TRIM([1]raw_orders!M529)="","Unknown",PROPER(TRIM([1]raw_orders!M529)))</f>
        <v>First Class</v>
      </c>
      <c r="N529" s="5">
        <f>[1]raw_orders!N529</f>
        <v>5</v>
      </c>
      <c r="O529" s="5">
        <f>[1]raw_orders!O529</f>
        <v>3247.56</v>
      </c>
      <c r="P529" s="5">
        <f>[1]raw_orders!P529</f>
        <v>0.15</v>
      </c>
      <c r="Q529" t="str">
        <f>PROPER(TRIM([1]raw_orders!T529))</f>
        <v>Paid</v>
      </c>
      <c r="R529" t="str">
        <f>PROPER(TRIM([1]raw_orders!U529))</f>
        <v>Completed</v>
      </c>
      <c r="S529" s="5">
        <f>[1]raw_orders!S529</f>
        <v>3726.2</v>
      </c>
      <c r="T529" s="5">
        <f t="shared" si="64"/>
        <v>37.262</v>
      </c>
      <c r="U529" s="5">
        <f t="shared" si="65"/>
        <v>-588815.10360000003</v>
      </c>
      <c r="V529" s="5">
        <f t="shared" si="66"/>
        <v>-588815.25360000005</v>
      </c>
      <c r="W529" s="5">
        <f t="shared" si="67"/>
        <v>1.0000002547489002</v>
      </c>
      <c r="X529" s="5">
        <f t="shared" si="68"/>
        <v>4</v>
      </c>
      <c r="Y529" s="5">
        <f t="shared" si="69"/>
        <v>10</v>
      </c>
      <c r="Z529" s="5">
        <f t="shared" si="70"/>
        <v>2025</v>
      </c>
      <c r="AA529" t="str">
        <f t="shared" si="71"/>
        <v>Clean</v>
      </c>
    </row>
    <row r="530" spans="1:27" x14ac:dyDescent="0.3">
      <c r="A530" t="str">
        <f>[1]raw_orders!A530</f>
        <v>ORD-2024-10529</v>
      </c>
      <c r="B530" s="4">
        <f>IFERROR(DATEVALUE([1]raw_orders!B530), "Invalid Date")</f>
        <v>45572</v>
      </c>
      <c r="C530" s="4">
        <f>IFERROR(DATEVALUE([1]raw_orders!C530), "Invalid Date")</f>
        <v>45574</v>
      </c>
      <c r="D530" t="str">
        <f>[1]raw_orders!D530</f>
        <v>CUST-2390</v>
      </c>
      <c r="E530" t="str">
        <f>PROPER(TRIM([1]raw_orders!E530))</f>
        <v>Diya Patel</v>
      </c>
      <c r="F530" t="str">
        <f>PROPER(TRIM([1]raw_orders!F530))</f>
        <v>Consumer</v>
      </c>
      <c r="G530" t="str">
        <f>IF(TRIM([1]raw_orders!G530)="","Unknown",PROPER(TRIM([1]raw_orders!G530)))</f>
        <v>South</v>
      </c>
      <c r="H530" t="str">
        <f>PROPER(TRIM([1]raw_orders!H530))</f>
        <v>Tamil Nadu</v>
      </c>
      <c r="I530" t="str">
        <f>PROPER(TRIM([1]raw_orders!I530))</f>
        <v>Chennai</v>
      </c>
      <c r="J530" t="str">
        <f>PROPER(TRIM([1]raw_orders!J530))</f>
        <v>Office Supplies</v>
      </c>
      <c r="K530" t="str">
        <f>PROPER(TRIM([1]raw_orders!K530))</f>
        <v>Binders</v>
      </c>
      <c r="L530" t="str">
        <f>[1]raw_orders!L530</f>
        <v>Eco Binders 855</v>
      </c>
      <c r="M530" t="str">
        <f>IF(TRIM([1]raw_orders!M530)="","Unknown",PROPER(TRIM([1]raw_orders!M530)))</f>
        <v>Standard Class</v>
      </c>
      <c r="N530" s="5">
        <f>[1]raw_orders!N530</f>
        <v>9</v>
      </c>
      <c r="O530" s="5">
        <f>[1]raw_orders!O530</f>
        <v>3457.09</v>
      </c>
      <c r="P530" s="5">
        <f>[1]raw_orders!P530</f>
        <v>0.05</v>
      </c>
      <c r="Q530" t="str">
        <f>PROPER(TRIM([1]raw_orders!T530))</f>
        <v>Pending</v>
      </c>
      <c r="R530" t="str">
        <f>PROPER(TRIM([1]raw_orders!U530))</f>
        <v>Returned</v>
      </c>
      <c r="S530" s="5">
        <f>[1]raw_orders!S530</f>
        <v>8255.99</v>
      </c>
      <c r="T530" s="5">
        <f t="shared" si="64"/>
        <v>82.559899999999999</v>
      </c>
      <c r="U530" s="5">
        <f t="shared" si="65"/>
        <v>-2537639.2322189999</v>
      </c>
      <c r="V530" s="5">
        <f t="shared" si="66"/>
        <v>-2537639.2822189997</v>
      </c>
      <c r="W530" s="5">
        <f t="shared" si="67"/>
        <v>1.0000000197033523</v>
      </c>
      <c r="X530" s="5">
        <f t="shared" si="68"/>
        <v>2</v>
      </c>
      <c r="Y530" s="5">
        <f t="shared" si="69"/>
        <v>10</v>
      </c>
      <c r="Z530" s="5">
        <f t="shared" si="70"/>
        <v>2024</v>
      </c>
      <c r="AA530" t="str">
        <f t="shared" si="71"/>
        <v>Clean</v>
      </c>
    </row>
    <row r="531" spans="1:27" x14ac:dyDescent="0.3">
      <c r="A531" t="str">
        <f>[1]raw_orders!A531</f>
        <v>ORD-2024-10530</v>
      </c>
      <c r="B531" s="4">
        <f>IFERROR(DATEVALUE([1]raw_orders!B531), "Invalid Date")</f>
        <v>45328</v>
      </c>
      <c r="C531" s="4">
        <f>IFERROR(DATEVALUE([1]raw_orders!C531), "Invalid Date")</f>
        <v>45330</v>
      </c>
      <c r="D531" t="str">
        <f>[1]raw_orders!D531</f>
        <v>CUST-3362</v>
      </c>
      <c r="E531" t="str">
        <f>PROPER(TRIM([1]raw_orders!E531))</f>
        <v>Karan Malhotra</v>
      </c>
      <c r="F531" t="str">
        <f>PROPER(TRIM([1]raw_orders!F531))</f>
        <v>Consumer</v>
      </c>
      <c r="G531" t="str">
        <f>IF(TRIM([1]raw_orders!G531)="","Unknown",PROPER(TRIM([1]raw_orders!G531)))</f>
        <v>East</v>
      </c>
      <c r="H531" t="str">
        <f>PROPER(TRIM([1]raw_orders!H531))</f>
        <v>Jharkhand</v>
      </c>
      <c r="I531" t="str">
        <f>PROPER(TRIM([1]raw_orders!I531))</f>
        <v>Ranchi</v>
      </c>
      <c r="J531" t="str">
        <f>PROPER(TRIM([1]raw_orders!J531))</f>
        <v>Furniture</v>
      </c>
      <c r="K531" t="str">
        <f>PROPER(TRIM([1]raw_orders!K531))</f>
        <v>Bookcases</v>
      </c>
      <c r="L531" t="str">
        <f>[1]raw_orders!L531</f>
        <v>Classic Bookcases 947</v>
      </c>
      <c r="M531" t="str">
        <f>IF(TRIM([1]raw_orders!M531)="","Unknown",PROPER(TRIM([1]raw_orders!M531)))</f>
        <v>Second Class</v>
      </c>
      <c r="N531" s="5">
        <f>[1]raw_orders!N531</f>
        <v>9</v>
      </c>
      <c r="O531" s="5">
        <f>[1]raw_orders!O531</f>
        <v>1822.25</v>
      </c>
      <c r="P531" s="5">
        <f>[1]raw_orders!P531</f>
        <v>0</v>
      </c>
      <c r="Q531" t="str">
        <f>PROPER(TRIM([1]raw_orders!T531))</f>
        <v>Paid</v>
      </c>
      <c r="R531" t="str">
        <f>PROPER(TRIM([1]raw_orders!U531))</f>
        <v>Completed</v>
      </c>
      <c r="S531" s="5">
        <f>[1]raw_orders!S531</f>
        <v>4253.29</v>
      </c>
      <c r="T531" s="5">
        <f t="shared" si="64"/>
        <v>42.532899999999998</v>
      </c>
      <c r="U531" s="5">
        <f t="shared" si="65"/>
        <v>-681149.94322499994</v>
      </c>
      <c r="V531" s="5">
        <f t="shared" si="66"/>
        <v>-681149.94322499994</v>
      </c>
      <c r="W531" s="5">
        <f t="shared" si="67"/>
        <v>1</v>
      </c>
      <c r="X531" s="5">
        <f t="shared" si="68"/>
        <v>2</v>
      </c>
      <c r="Y531" s="5">
        <f t="shared" si="69"/>
        <v>2</v>
      </c>
      <c r="Z531" s="5">
        <f t="shared" si="70"/>
        <v>2024</v>
      </c>
      <c r="AA531" t="str">
        <f t="shared" si="71"/>
        <v>Clean</v>
      </c>
    </row>
    <row r="532" spans="1:27" x14ac:dyDescent="0.3">
      <c r="A532" t="str">
        <f>[1]raw_orders!A532</f>
        <v>ORD-2025-10531</v>
      </c>
      <c r="B532" s="4" t="str">
        <f>IFERROR(DATEVALUE([1]raw_orders!B532), "Invalid Date")</f>
        <v>Invalid Date</v>
      </c>
      <c r="C532" s="4">
        <f>IFERROR(DATEVALUE([1]raw_orders!C532), "Invalid Date")</f>
        <v>45809</v>
      </c>
      <c r="D532" t="str">
        <f>[1]raw_orders!D532</f>
        <v>CUST-8177</v>
      </c>
      <c r="E532" t="str">
        <f>PROPER(TRIM([1]raw_orders!E532))</f>
        <v>Rahul Verma</v>
      </c>
      <c r="F532" t="str">
        <f>PROPER(TRIM([1]raw_orders!F532))</f>
        <v>Home Office</v>
      </c>
      <c r="G532" t="str">
        <f>IF(TRIM([1]raw_orders!G532)="","Unknown",PROPER(TRIM([1]raw_orders!G532)))</f>
        <v>South</v>
      </c>
      <c r="H532" t="str">
        <f>PROPER(TRIM([1]raw_orders!H532))</f>
        <v>Tamil Nadu</v>
      </c>
      <c r="I532" t="str">
        <f>PROPER(TRIM([1]raw_orders!I532))</f>
        <v>Chennai</v>
      </c>
      <c r="J532" t="str">
        <f>PROPER(TRIM([1]raw_orders!J532))</f>
        <v>Office Supplies</v>
      </c>
      <c r="K532" t="str">
        <f>PROPER(TRIM([1]raw_orders!K532))</f>
        <v>Binders</v>
      </c>
      <c r="L532" t="str">
        <f>[1]raw_orders!L532</f>
        <v>Eco Binders 352</v>
      </c>
      <c r="M532" t="str">
        <f>IF(TRIM([1]raw_orders!M532)="","Unknown",PROPER(TRIM([1]raw_orders!M532)))</f>
        <v>Standard Class</v>
      </c>
      <c r="N532" s="5">
        <f>[1]raw_orders!N532</f>
        <v>9</v>
      </c>
      <c r="O532" s="5">
        <f>[1]raw_orders!O532</f>
        <v>1994.51</v>
      </c>
      <c r="P532" s="5">
        <f>[1]raw_orders!P532</f>
        <v>0.05</v>
      </c>
      <c r="Q532" t="str">
        <f>PROPER(TRIM([1]raw_orders!T532))</f>
        <v>Paid</v>
      </c>
      <c r="R532" t="str">
        <f>PROPER(TRIM([1]raw_orders!U532))</f>
        <v>Completed</v>
      </c>
      <c r="S532" s="5">
        <f>[1]raw_orders!S532</f>
        <v>6310.68</v>
      </c>
      <c r="T532" s="5">
        <f t="shared" si="64"/>
        <v>63.1068</v>
      </c>
      <c r="U532" s="5">
        <f t="shared" si="65"/>
        <v>-1114853.7030120001</v>
      </c>
      <c r="V532" s="5">
        <f t="shared" si="66"/>
        <v>-1114853.7530120001</v>
      </c>
      <c r="W532" s="5">
        <f t="shared" si="67"/>
        <v>1.0000000448489339</v>
      </c>
      <c r="X532" s="5" t="str">
        <f t="shared" si="68"/>
        <v>Invalid Date</v>
      </c>
      <c r="Y532" s="5" t="e">
        <f t="shared" si="69"/>
        <v>#VALUE!</v>
      </c>
      <c r="Z532" s="5" t="e">
        <f t="shared" si="70"/>
        <v>#VALUE!</v>
      </c>
      <c r="AA532" t="str">
        <f t="shared" si="71"/>
        <v>Clean</v>
      </c>
    </row>
    <row r="533" spans="1:27" x14ac:dyDescent="0.3">
      <c r="A533" t="str">
        <f>[1]raw_orders!A533</f>
        <v>ORD-2024-10532</v>
      </c>
      <c r="B533" s="4">
        <f>IFERROR(DATEVALUE([1]raw_orders!B533), "Invalid Date")</f>
        <v>45505</v>
      </c>
      <c r="C533" s="4">
        <f>IFERROR(DATEVALUE([1]raw_orders!C533), "Invalid Date")</f>
        <v>45512</v>
      </c>
      <c r="D533" t="str">
        <f>[1]raw_orders!D533</f>
        <v>CUST-6357</v>
      </c>
      <c r="E533" t="str">
        <f>PROPER(TRIM([1]raw_orders!E533))</f>
        <v>Diya Patel</v>
      </c>
      <c r="F533" t="str">
        <f>PROPER(TRIM([1]raw_orders!F533))</f>
        <v>Small Business</v>
      </c>
      <c r="G533" t="str">
        <f>IF(TRIM([1]raw_orders!G533)="","Unknown",PROPER(TRIM([1]raw_orders!G533)))</f>
        <v>West</v>
      </c>
      <c r="H533" t="str">
        <f>PROPER(TRIM([1]raw_orders!H533))</f>
        <v>Maharashtra</v>
      </c>
      <c r="I533" t="str">
        <f>PROPER(TRIM([1]raw_orders!I533))</f>
        <v>Mumbai</v>
      </c>
      <c r="J533" t="str">
        <f>PROPER(TRIM([1]raw_orders!J533))</f>
        <v>Office Supplies</v>
      </c>
      <c r="K533" t="str">
        <f>PROPER(TRIM([1]raw_orders!K533))</f>
        <v>Storage</v>
      </c>
      <c r="L533" t="str">
        <f>[1]raw_orders!L533</f>
        <v>Pro Storage 364</v>
      </c>
      <c r="M533" t="str">
        <f>IF(TRIM([1]raw_orders!M533)="","Unknown",PROPER(TRIM([1]raw_orders!M533)))</f>
        <v>Unknown</v>
      </c>
      <c r="N533" s="5">
        <f>[1]raw_orders!N533</f>
        <v>1</v>
      </c>
      <c r="O533" s="5">
        <f>[1]raw_orders!O533</f>
        <v>442.97</v>
      </c>
      <c r="P533" s="5">
        <f>[1]raw_orders!P533</f>
        <v>0.1</v>
      </c>
      <c r="Q533" t="str">
        <f>PROPER(TRIM([1]raw_orders!T533))</f>
        <v>Paid</v>
      </c>
      <c r="R533" t="str">
        <f>PROPER(TRIM([1]raw_orders!U533))</f>
        <v>Completed</v>
      </c>
      <c r="S533" s="5">
        <f>[1]raw_orders!S533</f>
        <v>87.01</v>
      </c>
      <c r="T533" s="5">
        <f t="shared" si="64"/>
        <v>0.8701000000000001</v>
      </c>
      <c r="U533" s="5">
        <f t="shared" si="65"/>
        <v>57.541802999999959</v>
      </c>
      <c r="V533" s="5">
        <f t="shared" si="66"/>
        <v>57.441802999999958</v>
      </c>
      <c r="W533" s="5">
        <f t="shared" si="67"/>
        <v>0.99826213300963129</v>
      </c>
      <c r="X533" s="5">
        <f t="shared" si="68"/>
        <v>7</v>
      </c>
      <c r="Y533" s="5">
        <f t="shared" si="69"/>
        <v>8</v>
      </c>
      <c r="Z533" s="5">
        <f t="shared" si="70"/>
        <v>2024</v>
      </c>
      <c r="AA533" t="str">
        <f t="shared" si="71"/>
        <v>Warning</v>
      </c>
    </row>
    <row r="534" spans="1:27" x14ac:dyDescent="0.3">
      <c r="A534" t="str">
        <f>[1]raw_orders!A534</f>
        <v>ORD-2025-10533</v>
      </c>
      <c r="B534" s="4">
        <f>IFERROR(DATEVALUE([1]raw_orders!B534), "Invalid Date")</f>
        <v>45935</v>
      </c>
      <c r="C534" s="4">
        <f>IFERROR(DATEVALUE([1]raw_orders!C534), "Invalid Date")</f>
        <v>45940</v>
      </c>
      <c r="D534" t="str">
        <f>[1]raw_orders!D534</f>
        <v>CUST-7690</v>
      </c>
      <c r="E534" t="str">
        <f>PROPER(TRIM([1]raw_orders!E534))</f>
        <v>Priya Menon</v>
      </c>
      <c r="F534" t="str">
        <f>PROPER(TRIM([1]raw_orders!F534))</f>
        <v>Corporate</v>
      </c>
      <c r="G534" t="str">
        <f>IF(TRIM([1]raw_orders!G534)="","Unknown",PROPER(TRIM([1]raw_orders!G534)))</f>
        <v>East</v>
      </c>
      <c r="H534" t="str">
        <f>PROPER(TRIM([1]raw_orders!H534))</f>
        <v>Assam</v>
      </c>
      <c r="I534" t="str">
        <f>PROPER(TRIM([1]raw_orders!I534))</f>
        <v>Guwahati</v>
      </c>
      <c r="J534" t="str">
        <f>PROPER(TRIM([1]raw_orders!J534))</f>
        <v>Furniture</v>
      </c>
      <c r="K534" t="str">
        <f>PROPER(TRIM([1]raw_orders!K534))</f>
        <v>Tables</v>
      </c>
      <c r="L534" t="str">
        <f>[1]raw_orders!L534</f>
        <v>Classic Tables 213</v>
      </c>
      <c r="M534" t="str">
        <f>IF(TRIM([1]raw_orders!M534)="","Unknown",PROPER(TRIM([1]raw_orders!M534)))</f>
        <v>Second Class</v>
      </c>
      <c r="N534" s="5">
        <f>[1]raw_orders!N534</f>
        <v>9</v>
      </c>
      <c r="O534" s="5">
        <f>[1]raw_orders!O534</f>
        <v>2089.14</v>
      </c>
      <c r="P534" s="5">
        <f>[1]raw_orders!P534</f>
        <v>0.05</v>
      </c>
      <c r="Q534" t="str">
        <f>PROPER(TRIM([1]raw_orders!T534))</f>
        <v>Failed</v>
      </c>
      <c r="R534" t="str">
        <f>PROPER(TRIM([1]raw_orders!U534))</f>
        <v>Cancelled</v>
      </c>
      <c r="S534" s="5">
        <f>[1]raw_orders!S534</f>
        <v>7969.94</v>
      </c>
      <c r="T534" s="5">
        <f t="shared" si="64"/>
        <v>79.699399999999997</v>
      </c>
      <c r="U534" s="5">
        <f t="shared" si="65"/>
        <v>-1479726.5806439999</v>
      </c>
      <c r="V534" s="5">
        <f t="shared" si="66"/>
        <v>-1479726.6306439999</v>
      </c>
      <c r="W534" s="5">
        <f t="shared" si="67"/>
        <v>1.0000000337900263</v>
      </c>
      <c r="X534" s="5">
        <f t="shared" si="68"/>
        <v>5</v>
      </c>
      <c r="Y534" s="5">
        <f t="shared" si="69"/>
        <v>10</v>
      </c>
      <c r="Z534" s="5">
        <f t="shared" si="70"/>
        <v>2025</v>
      </c>
      <c r="AA534" t="str">
        <f t="shared" si="71"/>
        <v>Clean</v>
      </c>
    </row>
    <row r="535" spans="1:27" x14ac:dyDescent="0.3">
      <c r="A535" t="str">
        <f>[1]raw_orders!A535</f>
        <v>ORD-2024-10534</v>
      </c>
      <c r="B535" s="4">
        <f>IFERROR(DATEVALUE([1]raw_orders!B535), "Invalid Date")</f>
        <v>45529</v>
      </c>
      <c r="C535" s="4">
        <f>IFERROR(DATEVALUE([1]raw_orders!C535), "Invalid Date")</f>
        <v>45536</v>
      </c>
      <c r="D535" t="str">
        <f>[1]raw_orders!D535</f>
        <v>CUST-4487</v>
      </c>
      <c r="E535" t="str">
        <f>PROPER(TRIM([1]raw_orders!E535))</f>
        <v>Isha Nair</v>
      </c>
      <c r="F535" t="str">
        <f>PROPER(TRIM([1]raw_orders!F535))</f>
        <v>Home Office</v>
      </c>
      <c r="G535" t="str">
        <f>IF(TRIM([1]raw_orders!G535)="","Unknown",PROPER(TRIM([1]raw_orders!G535)))</f>
        <v>North</v>
      </c>
      <c r="H535" t="str">
        <f>PROPER(TRIM([1]raw_orders!H535))</f>
        <v>Rajasthan</v>
      </c>
      <c r="I535" t="str">
        <f>PROPER(TRIM([1]raw_orders!I535))</f>
        <v>Jaipur</v>
      </c>
      <c r="J535" t="str">
        <f>PROPER(TRIM([1]raw_orders!J535))</f>
        <v>Furniture</v>
      </c>
      <c r="K535" t="str">
        <f>PROPER(TRIM([1]raw_orders!K535))</f>
        <v>Tables</v>
      </c>
      <c r="L535" t="str">
        <f>[1]raw_orders!L535</f>
        <v>Smart Tables 659</v>
      </c>
      <c r="M535" t="str">
        <f>IF(TRIM([1]raw_orders!M535)="","Unknown",PROPER(TRIM([1]raw_orders!M535)))</f>
        <v>Same Day</v>
      </c>
      <c r="N535" s="5">
        <f>[1]raw_orders!N535</f>
        <v>6</v>
      </c>
      <c r="O535" s="5">
        <f>[1]raw_orders!O535</f>
        <v>481.3</v>
      </c>
      <c r="P535" s="5">
        <f>[1]raw_orders!P535</f>
        <v>0.25</v>
      </c>
      <c r="Q535" t="str">
        <f>PROPER(TRIM([1]raw_orders!T535))</f>
        <v>Paid</v>
      </c>
      <c r="R535" t="str">
        <f>PROPER(TRIM([1]raw_orders!U535))</f>
        <v>Completed</v>
      </c>
      <c r="S535" s="5">
        <f>[1]raw_orders!S535</f>
        <v>430.45</v>
      </c>
      <c r="T535" s="5">
        <f t="shared" si="64"/>
        <v>4.3045</v>
      </c>
      <c r="U535" s="5">
        <f t="shared" si="65"/>
        <v>-9542.7350999999999</v>
      </c>
      <c r="V535" s="5">
        <f t="shared" si="66"/>
        <v>-9542.9850999999999</v>
      </c>
      <c r="W535" s="5">
        <f t="shared" si="67"/>
        <v>1.0000261979398339</v>
      </c>
      <c r="X535" s="5">
        <f t="shared" si="68"/>
        <v>7</v>
      </c>
      <c r="Y535" s="5">
        <f t="shared" si="69"/>
        <v>8</v>
      </c>
      <c r="Z535" s="5">
        <f t="shared" si="70"/>
        <v>2024</v>
      </c>
      <c r="AA535" t="str">
        <f t="shared" si="71"/>
        <v>Clean</v>
      </c>
    </row>
    <row r="536" spans="1:27" x14ac:dyDescent="0.3">
      <c r="A536" t="str">
        <f>[1]raw_orders!A536</f>
        <v>ORD-2025-10535</v>
      </c>
      <c r="B536" s="4" t="str">
        <f>IFERROR(DATEVALUE([1]raw_orders!B536), "Invalid Date")</f>
        <v>Invalid Date</v>
      </c>
      <c r="C536" s="4">
        <f>IFERROR(DATEVALUE([1]raw_orders!C536), "Invalid Date")</f>
        <v>45782</v>
      </c>
      <c r="D536" t="str">
        <f>[1]raw_orders!D536</f>
        <v>CUST-8204</v>
      </c>
      <c r="E536" t="str">
        <f>PROPER(TRIM([1]raw_orders!E536))</f>
        <v>Rohan Mehta</v>
      </c>
      <c r="F536" t="str">
        <f>PROPER(TRIM([1]raw_orders!F536))</f>
        <v>Home Office</v>
      </c>
      <c r="G536" t="str">
        <f>IF(TRIM([1]raw_orders!G536)="","Unknown",PROPER(TRIM([1]raw_orders!G536)))</f>
        <v>East</v>
      </c>
      <c r="H536" t="str">
        <f>PROPER(TRIM([1]raw_orders!H536))</f>
        <v>Bihar</v>
      </c>
      <c r="I536" t="str">
        <f>PROPER(TRIM([1]raw_orders!I536))</f>
        <v>Patna</v>
      </c>
      <c r="J536" t="str">
        <f>PROPER(TRIM([1]raw_orders!J536))</f>
        <v>Technology</v>
      </c>
      <c r="K536" t="str">
        <f>PROPER(TRIM([1]raw_orders!K536))</f>
        <v>Accessories</v>
      </c>
      <c r="L536" t="str">
        <f>[1]raw_orders!L536</f>
        <v>Classic Accessories 325</v>
      </c>
      <c r="M536" t="str">
        <f>IF(TRIM([1]raw_orders!M536)="","Unknown",PROPER(TRIM([1]raw_orders!M536)))</f>
        <v>Second Class</v>
      </c>
      <c r="N536" s="5">
        <f>[1]raw_orders!N536</f>
        <v>4</v>
      </c>
      <c r="O536" s="5">
        <f>[1]raw_orders!O536</f>
        <v>3963.39</v>
      </c>
      <c r="P536" s="5">
        <f>[1]raw_orders!P536</f>
        <v>0.1</v>
      </c>
      <c r="Q536" t="str">
        <f>PROPER(TRIM([1]raw_orders!T536))</f>
        <v>Pending</v>
      </c>
      <c r="R536" t="str">
        <f>PROPER(TRIM([1]raw_orders!U536))</f>
        <v>Returned</v>
      </c>
      <c r="S536" s="5">
        <f>[1]raw_orders!S536</f>
        <v>2562.9</v>
      </c>
      <c r="T536" s="5">
        <f t="shared" si="64"/>
        <v>25.629000000000001</v>
      </c>
      <c r="U536" s="5">
        <f t="shared" si="65"/>
        <v>-390457.32923999999</v>
      </c>
      <c r="V536" s="5">
        <f t="shared" si="66"/>
        <v>-390457.42923999997</v>
      </c>
      <c r="W536" s="5">
        <f t="shared" si="67"/>
        <v>1.0000002561099319</v>
      </c>
      <c r="X536" s="5" t="str">
        <f t="shared" si="68"/>
        <v>Invalid Date</v>
      </c>
      <c r="Y536" s="5" t="e">
        <f t="shared" si="69"/>
        <v>#VALUE!</v>
      </c>
      <c r="Z536" s="5" t="e">
        <f t="shared" si="70"/>
        <v>#VALUE!</v>
      </c>
      <c r="AA536" t="str">
        <f t="shared" si="71"/>
        <v>Clean</v>
      </c>
    </row>
    <row r="537" spans="1:27" x14ac:dyDescent="0.3">
      <c r="A537" t="str">
        <f>[1]raw_orders!A537</f>
        <v>ORD-2024-10536</v>
      </c>
      <c r="B537" s="4">
        <f>IFERROR(DATEVALUE([1]raw_orders!B537), "Invalid Date")</f>
        <v>45431</v>
      </c>
      <c r="C537" s="4">
        <f>IFERROR(DATEVALUE([1]raw_orders!C537), "Invalid Date")</f>
        <v>45433</v>
      </c>
      <c r="D537" t="str">
        <f>[1]raw_orders!D537</f>
        <v>CUST-1729</v>
      </c>
      <c r="E537" t="str">
        <f>PROPER(TRIM([1]raw_orders!E537))</f>
        <v>Diya Patel</v>
      </c>
      <c r="F537" t="str">
        <f>PROPER(TRIM([1]raw_orders!F537))</f>
        <v>Small Business</v>
      </c>
      <c r="G537" t="str">
        <f>IF(TRIM([1]raw_orders!G537)="","Unknown",PROPER(TRIM([1]raw_orders!G537)))</f>
        <v>West</v>
      </c>
      <c r="H537" t="str">
        <f>PROPER(TRIM([1]raw_orders!H537))</f>
        <v>Maharashtra</v>
      </c>
      <c r="I537" t="str">
        <f>PROPER(TRIM([1]raw_orders!I537))</f>
        <v>Mumbai</v>
      </c>
      <c r="J537" t="str">
        <f>PROPER(TRIM([1]raw_orders!J537))</f>
        <v>Technology</v>
      </c>
      <c r="K537" t="str">
        <f>PROPER(TRIM([1]raw_orders!K537))</f>
        <v>Copiers</v>
      </c>
      <c r="L537" t="str">
        <f>[1]raw_orders!L537</f>
        <v>Eco Copiers 243</v>
      </c>
      <c r="M537" t="str">
        <f>IF(TRIM([1]raw_orders!M537)="","Unknown",PROPER(TRIM([1]raw_orders!M537)))</f>
        <v>First Class</v>
      </c>
      <c r="N537" s="5">
        <f>[1]raw_orders!N537</f>
        <v>3</v>
      </c>
      <c r="O537" s="5">
        <f>[1]raw_orders!O537</f>
        <v>4000.98</v>
      </c>
      <c r="P537" s="5">
        <f>[1]raw_orders!P537</f>
        <v>0.2</v>
      </c>
      <c r="Q537" t="str">
        <f>PROPER(TRIM([1]raw_orders!T537))</f>
        <v>Paid</v>
      </c>
      <c r="R537" t="str">
        <f>PROPER(TRIM([1]raw_orders!U537))</f>
        <v>Completed</v>
      </c>
      <c r="S537" s="5">
        <f>[1]raw_orders!S537</f>
        <v>2214.7800000000002</v>
      </c>
      <c r="T537" s="5">
        <f t="shared" si="64"/>
        <v>22.147800000000004</v>
      </c>
      <c r="U537" s="5">
        <f t="shared" si="65"/>
        <v>-253835.77453200007</v>
      </c>
      <c r="V537" s="5">
        <f t="shared" si="66"/>
        <v>-253835.97453200008</v>
      </c>
      <c r="W537" s="5">
        <f t="shared" si="67"/>
        <v>1.0000007879110042</v>
      </c>
      <c r="X537" s="5">
        <f t="shared" si="68"/>
        <v>2</v>
      </c>
      <c r="Y537" s="5">
        <f t="shared" si="69"/>
        <v>5</v>
      </c>
      <c r="Z537" s="5">
        <f t="shared" si="70"/>
        <v>2024</v>
      </c>
      <c r="AA537" t="str">
        <f t="shared" si="71"/>
        <v>Clean</v>
      </c>
    </row>
    <row r="538" spans="1:27" x14ac:dyDescent="0.3">
      <c r="A538" t="str">
        <f>[1]raw_orders!A538</f>
        <v>ORD-2025-10537</v>
      </c>
      <c r="B538" s="4">
        <f>IFERROR(DATEVALUE([1]raw_orders!B538), "Invalid Date")</f>
        <v>45757</v>
      </c>
      <c r="C538" s="4">
        <f>IFERROR(DATEVALUE([1]raw_orders!C538), "Invalid Date")</f>
        <v>45764</v>
      </c>
      <c r="D538" t="str">
        <f>[1]raw_orders!D538</f>
        <v>CUST-4269</v>
      </c>
      <c r="E538" t="str">
        <f>PROPER(TRIM([1]raw_orders!E538))</f>
        <v>Ananya Rao</v>
      </c>
      <c r="F538" t="str">
        <f>PROPER(TRIM([1]raw_orders!F538))</f>
        <v>Small Business</v>
      </c>
      <c r="G538" t="str">
        <f>IF(TRIM([1]raw_orders!G538)="","Unknown",PROPER(TRIM([1]raw_orders!G538)))</f>
        <v>West</v>
      </c>
      <c r="H538" t="str">
        <f>PROPER(TRIM([1]raw_orders!H538))</f>
        <v>Rajasthan</v>
      </c>
      <c r="I538" t="str">
        <f>PROPER(TRIM([1]raw_orders!I538))</f>
        <v>Udaipur</v>
      </c>
      <c r="J538" t="str">
        <f>PROPER(TRIM([1]raw_orders!J538))</f>
        <v>Furniture</v>
      </c>
      <c r="K538" t="str">
        <f>PROPER(TRIM([1]raw_orders!K538))</f>
        <v>Chairs</v>
      </c>
      <c r="L538" t="str">
        <f>[1]raw_orders!L538</f>
        <v>Elite Chairs 777</v>
      </c>
      <c r="M538" t="str">
        <f>IF(TRIM([1]raw_orders!M538)="","Unknown",PROPER(TRIM([1]raw_orders!M538)))</f>
        <v>First Class</v>
      </c>
      <c r="N538" s="5">
        <f>[1]raw_orders!N538</f>
        <v>7</v>
      </c>
      <c r="O538" s="5">
        <f>[1]raw_orders!O538</f>
        <v>3788.9</v>
      </c>
      <c r="P538" s="5">
        <f>[1]raw_orders!P538</f>
        <v>0.25</v>
      </c>
      <c r="Q538" t="str">
        <f>PROPER(TRIM([1]raw_orders!T538))</f>
        <v>Failed</v>
      </c>
      <c r="R538" t="str">
        <f>PROPER(TRIM([1]raw_orders!U538))</f>
        <v>Cancelled</v>
      </c>
      <c r="S538" s="5">
        <f>[1]raw_orders!S538</f>
        <v>7595.96</v>
      </c>
      <c r="T538" s="5">
        <f t="shared" si="64"/>
        <v>75.959599999999995</v>
      </c>
      <c r="U538" s="5">
        <f t="shared" si="65"/>
        <v>-1988100.9990799997</v>
      </c>
      <c r="V538" s="5">
        <f t="shared" si="66"/>
        <v>-1988101.2490799997</v>
      </c>
      <c r="W538" s="5">
        <f t="shared" si="67"/>
        <v>1.0000001257481386</v>
      </c>
      <c r="X538" s="5">
        <f t="shared" si="68"/>
        <v>7</v>
      </c>
      <c r="Y538" s="5">
        <f t="shared" si="69"/>
        <v>4</v>
      </c>
      <c r="Z538" s="5">
        <f t="shared" si="70"/>
        <v>2025</v>
      </c>
      <c r="AA538" t="str">
        <f t="shared" si="71"/>
        <v>Clean</v>
      </c>
    </row>
    <row r="539" spans="1:27" x14ac:dyDescent="0.3">
      <c r="A539" t="str">
        <f>[1]raw_orders!A539</f>
        <v>ORD-2024-10538</v>
      </c>
      <c r="B539" s="4">
        <f>IFERROR(DATEVALUE([1]raw_orders!B539), "Invalid Date")</f>
        <v>45313</v>
      </c>
      <c r="C539" s="4">
        <f>IFERROR(DATEVALUE([1]raw_orders!C539), "Invalid Date")</f>
        <v>45321</v>
      </c>
      <c r="D539" t="str">
        <f>[1]raw_orders!D539</f>
        <v>CUST-1370</v>
      </c>
      <c r="E539" t="str">
        <f>PROPER(TRIM([1]raw_orders!E539))</f>
        <v>Ananya Rao</v>
      </c>
      <c r="F539" t="str">
        <f>PROPER(TRIM([1]raw_orders!F539))</f>
        <v>Small Business</v>
      </c>
      <c r="G539" t="str">
        <f>IF(TRIM([1]raw_orders!G539)="","Unknown",PROPER(TRIM([1]raw_orders!G539)))</f>
        <v>North</v>
      </c>
      <c r="H539" t="str">
        <f>PROPER(TRIM([1]raw_orders!H539))</f>
        <v>Haryana</v>
      </c>
      <c r="I539" t="str">
        <f>PROPER(TRIM([1]raw_orders!I539))</f>
        <v>Gurugram</v>
      </c>
      <c r="J539" t="str">
        <f>PROPER(TRIM([1]raw_orders!J539))</f>
        <v>Office Supplies</v>
      </c>
      <c r="K539" t="str">
        <f>PROPER(TRIM([1]raw_orders!K539))</f>
        <v>Art</v>
      </c>
      <c r="L539" t="str">
        <f>[1]raw_orders!L539</f>
        <v>Classic Art 772</v>
      </c>
      <c r="M539" t="str">
        <f>IF(TRIM([1]raw_orders!M539)="","Unknown",PROPER(TRIM([1]raw_orders!M539)))</f>
        <v>Same Day</v>
      </c>
      <c r="N539" s="5">
        <f>[1]raw_orders!N539</f>
        <v>3</v>
      </c>
      <c r="O539" s="5">
        <f>[1]raw_orders!O539</f>
        <v>676.37</v>
      </c>
      <c r="P539" s="5">
        <f>[1]raw_orders!P539</f>
        <v>0.05</v>
      </c>
      <c r="Q539" t="str">
        <f>PROPER(TRIM([1]raw_orders!T539))</f>
        <v>Failed</v>
      </c>
      <c r="R539" t="str">
        <f>PROPER(TRIM([1]raw_orders!U539))</f>
        <v>Cancelled</v>
      </c>
      <c r="S539" s="5">
        <f>[1]raw_orders!S539</f>
        <v>467.05</v>
      </c>
      <c r="T539" s="5">
        <f t="shared" si="64"/>
        <v>4.6705000000000005</v>
      </c>
      <c r="U539" s="5">
        <f t="shared" si="65"/>
        <v>-7447.8482550000017</v>
      </c>
      <c r="V539" s="5">
        <f t="shared" si="66"/>
        <v>-7447.8982550000019</v>
      </c>
      <c r="W539" s="5">
        <f t="shared" si="67"/>
        <v>1.0000067133483777</v>
      </c>
      <c r="X539" s="5">
        <f t="shared" si="68"/>
        <v>8</v>
      </c>
      <c r="Y539" s="5">
        <f t="shared" si="69"/>
        <v>1</v>
      </c>
      <c r="Z539" s="5">
        <f t="shared" si="70"/>
        <v>2024</v>
      </c>
      <c r="AA539" t="str">
        <f t="shared" si="71"/>
        <v>Clean</v>
      </c>
    </row>
    <row r="540" spans="1:27" x14ac:dyDescent="0.3">
      <c r="A540" t="str">
        <f>[1]raw_orders!A540</f>
        <v>ORD-2024-10539</v>
      </c>
      <c r="B540" s="4">
        <f>IFERROR(DATEVALUE([1]raw_orders!B540), "Invalid Date")</f>
        <v>45560</v>
      </c>
      <c r="C540" s="4">
        <f>IFERROR(DATEVALUE([1]raw_orders!C540), "Invalid Date")</f>
        <v>45566</v>
      </c>
      <c r="D540" t="str">
        <f>[1]raw_orders!D540</f>
        <v>CUST-5381</v>
      </c>
      <c r="E540" t="str">
        <f>PROPER(TRIM([1]raw_orders!E540))</f>
        <v>Diya Patel</v>
      </c>
      <c r="F540" t="str">
        <f>PROPER(TRIM([1]raw_orders!F540))</f>
        <v>Small Business</v>
      </c>
      <c r="G540" t="str">
        <f>IF(TRIM([1]raw_orders!G540)="","Unknown",PROPER(TRIM([1]raw_orders!G540)))</f>
        <v>East</v>
      </c>
      <c r="H540" t="str">
        <f>PROPER(TRIM([1]raw_orders!H540))</f>
        <v>Jharkhand</v>
      </c>
      <c r="I540" t="str">
        <f>PROPER(TRIM([1]raw_orders!I540))</f>
        <v>Ranchi</v>
      </c>
      <c r="J540" t="str">
        <f>PROPER(TRIM([1]raw_orders!J540))</f>
        <v>Furniture</v>
      </c>
      <c r="K540" t="str">
        <f>PROPER(TRIM([1]raw_orders!K540))</f>
        <v>Tables</v>
      </c>
      <c r="L540" t="str">
        <f>[1]raw_orders!L540</f>
        <v>Elite Tables 888</v>
      </c>
      <c r="M540" t="str">
        <f>IF(TRIM([1]raw_orders!M540)="","Unknown",PROPER(TRIM([1]raw_orders!M540)))</f>
        <v>Second Class</v>
      </c>
      <c r="N540" s="5">
        <f>[1]raw_orders!N540</f>
        <v>9</v>
      </c>
      <c r="O540" s="5">
        <f>[1]raw_orders!O540</f>
        <v>3908.6</v>
      </c>
      <c r="P540" s="5">
        <f>[1]raw_orders!P540</f>
        <v>0.15</v>
      </c>
      <c r="Q540" t="str">
        <f>PROPER(TRIM([1]raw_orders!T540))</f>
        <v>Paid</v>
      </c>
      <c r="R540" t="str">
        <f>PROPER(TRIM([1]raw_orders!U540))</f>
        <v>Completed</v>
      </c>
      <c r="S540" s="5">
        <f>[1]raw_orders!S540</f>
        <v>5250.12</v>
      </c>
      <c r="T540" s="5">
        <f t="shared" si="64"/>
        <v>52.501199999999997</v>
      </c>
      <c r="U540" s="5">
        <f t="shared" si="65"/>
        <v>-1811678.3128799999</v>
      </c>
      <c r="V540" s="5">
        <f t="shared" si="66"/>
        <v>-1811678.4628799998</v>
      </c>
      <c r="W540" s="5">
        <f t="shared" si="67"/>
        <v>1.0000000827961559</v>
      </c>
      <c r="X540" s="5">
        <f t="shared" si="68"/>
        <v>6</v>
      </c>
      <c r="Y540" s="5">
        <f t="shared" si="69"/>
        <v>9</v>
      </c>
      <c r="Z540" s="5">
        <f t="shared" si="70"/>
        <v>2024</v>
      </c>
      <c r="AA540" t="str">
        <f t="shared" si="71"/>
        <v>Clean</v>
      </c>
    </row>
    <row r="541" spans="1:27" x14ac:dyDescent="0.3">
      <c r="A541" t="str">
        <f>[1]raw_orders!A541</f>
        <v>ORD-2025-10540</v>
      </c>
      <c r="B541" s="4">
        <f>IFERROR(DATEVALUE([1]raw_orders!B541), "Invalid Date")</f>
        <v>45754</v>
      </c>
      <c r="C541" s="4">
        <f>IFERROR(DATEVALUE([1]raw_orders!C541), "Invalid Date")</f>
        <v>45842</v>
      </c>
      <c r="D541" t="str">
        <f>[1]raw_orders!D541</f>
        <v>CUST-3694</v>
      </c>
      <c r="E541" t="str">
        <f>PROPER(TRIM([1]raw_orders!E541))</f>
        <v>Mira Das</v>
      </c>
      <c r="F541" t="str">
        <f>PROPER(TRIM([1]raw_orders!F541))</f>
        <v>Small Business</v>
      </c>
      <c r="G541" t="str">
        <f>IF(TRIM([1]raw_orders!G541)="","Unknown",PROPER(TRIM([1]raw_orders!G541)))</f>
        <v>South</v>
      </c>
      <c r="H541" t="str">
        <f>PROPER(TRIM([1]raw_orders!H541))</f>
        <v>Tamil Nadu</v>
      </c>
      <c r="I541" t="str">
        <f>PROPER(TRIM([1]raw_orders!I541))</f>
        <v>Chennai</v>
      </c>
      <c r="J541" t="str">
        <f>PROPER(TRIM([1]raw_orders!J541))</f>
        <v>Furniture</v>
      </c>
      <c r="K541" t="str">
        <f>PROPER(TRIM([1]raw_orders!K541))</f>
        <v>Chairs</v>
      </c>
      <c r="L541" t="str">
        <f>[1]raw_orders!L541</f>
        <v>Classic Chairs 666</v>
      </c>
      <c r="M541" t="str">
        <f>IF(TRIM([1]raw_orders!M541)="","Unknown",PROPER(TRIM([1]raw_orders!M541)))</f>
        <v>Standard Class</v>
      </c>
      <c r="N541" s="5">
        <f>[1]raw_orders!N541</f>
        <v>3</v>
      </c>
      <c r="O541" s="5">
        <f>[1]raw_orders!O541</f>
        <v>705.35</v>
      </c>
      <c r="P541" s="5">
        <f>[1]raw_orders!P541</f>
        <v>0.1</v>
      </c>
      <c r="Q541" t="str">
        <f>PROPER(TRIM([1]raw_orders!T541))</f>
        <v>Paid</v>
      </c>
      <c r="R541" t="str">
        <f>PROPER(TRIM([1]raw_orders!U541))</f>
        <v>Cancelled</v>
      </c>
      <c r="S541" s="5">
        <f>[1]raw_orders!S541</f>
        <v>587.91</v>
      </c>
      <c r="T541" s="5">
        <f t="shared" si="64"/>
        <v>5.8790999999999993</v>
      </c>
      <c r="U541" s="5">
        <f t="shared" si="65"/>
        <v>-10324.419554999999</v>
      </c>
      <c r="V541" s="5">
        <f t="shared" si="66"/>
        <v>-10324.519554999999</v>
      </c>
      <c r="W541" s="5">
        <f t="shared" si="67"/>
        <v>1.0000096857745335</v>
      </c>
      <c r="X541" s="5">
        <f t="shared" si="68"/>
        <v>88</v>
      </c>
      <c r="Y541" s="5">
        <f t="shared" si="69"/>
        <v>4</v>
      </c>
      <c r="Z541" s="5">
        <f t="shared" si="70"/>
        <v>2025</v>
      </c>
      <c r="AA541" t="str">
        <f t="shared" si="71"/>
        <v>Clean</v>
      </c>
    </row>
    <row r="542" spans="1:27" x14ac:dyDescent="0.3">
      <c r="A542" t="str">
        <f>[1]raw_orders!A542</f>
        <v>ORD-2024-10541</v>
      </c>
      <c r="B542" s="4">
        <f>IFERROR(DATEVALUE([1]raw_orders!B542), "Invalid Date")</f>
        <v>45348</v>
      </c>
      <c r="C542" s="4">
        <f>IFERROR(DATEVALUE([1]raw_orders!C542), "Invalid Date")</f>
        <v>45345</v>
      </c>
      <c r="D542" t="str">
        <f>[1]raw_orders!D542</f>
        <v>CUST-7563</v>
      </c>
      <c r="E542" t="str">
        <f>PROPER(TRIM([1]raw_orders!E542))</f>
        <v>Kabir Singh</v>
      </c>
      <c r="F542" t="str">
        <f>PROPER(TRIM([1]raw_orders!F542))</f>
        <v>Consumer</v>
      </c>
      <c r="G542" t="str">
        <f>IF(TRIM([1]raw_orders!G542)="","Unknown",PROPER(TRIM([1]raw_orders!G542)))</f>
        <v>West</v>
      </c>
      <c r="H542" t="str">
        <f>PROPER(TRIM([1]raw_orders!H542))</f>
        <v>Gujarat</v>
      </c>
      <c r="I542" t="str">
        <f>PROPER(TRIM([1]raw_orders!I542))</f>
        <v>Ahmedabad</v>
      </c>
      <c r="J542" t="str">
        <f>PROPER(TRIM([1]raw_orders!J542))</f>
        <v>Furniture</v>
      </c>
      <c r="K542" t="str">
        <f>PROPER(TRIM([1]raw_orders!K542))</f>
        <v>Furnishings</v>
      </c>
      <c r="L542" t="str">
        <f>[1]raw_orders!L542</f>
        <v>Basic Furnishings 350</v>
      </c>
      <c r="M542" t="str">
        <f>IF(TRIM([1]raw_orders!M542)="","Unknown",PROPER(TRIM([1]raw_orders!M542)))</f>
        <v>Standard Class</v>
      </c>
      <c r="N542" s="5">
        <f>[1]raw_orders!N542</f>
        <v>7</v>
      </c>
      <c r="O542" s="5">
        <f>[1]raw_orders!O542</f>
        <v>3852.07</v>
      </c>
      <c r="P542" s="5">
        <f>[1]raw_orders!P542</f>
        <v>0.2</v>
      </c>
      <c r="Q542" t="str">
        <f>PROPER(TRIM([1]raw_orders!T542))</f>
        <v>Paid</v>
      </c>
      <c r="R542" t="str">
        <f>PROPER(TRIM([1]raw_orders!U542))</f>
        <v>Completed</v>
      </c>
      <c r="S542" s="5">
        <f>[1]raw_orders!S542</f>
        <v>4453.5200000000004</v>
      </c>
      <c r="T542" s="5">
        <f t="shared" si="64"/>
        <v>44.535200000000003</v>
      </c>
      <c r="U542" s="5">
        <f t="shared" si="65"/>
        <v>-1173904.4650480002</v>
      </c>
      <c r="V542" s="5">
        <f t="shared" si="66"/>
        <v>-1173904.6650480002</v>
      </c>
      <c r="W542" s="5">
        <f t="shared" si="67"/>
        <v>1.0000001703716153</v>
      </c>
      <c r="X542" s="5">
        <f t="shared" si="68"/>
        <v>-3</v>
      </c>
      <c r="Y542" s="5">
        <f t="shared" si="69"/>
        <v>2</v>
      </c>
      <c r="Z542" s="5">
        <f t="shared" si="70"/>
        <v>2024</v>
      </c>
      <c r="AA542" t="str">
        <f t="shared" si="71"/>
        <v>Invalid</v>
      </c>
    </row>
    <row r="543" spans="1:27" x14ac:dyDescent="0.3">
      <c r="A543" t="str">
        <f>[1]raw_orders!A543</f>
        <v>ORD-2025-10542</v>
      </c>
      <c r="B543" s="4">
        <f>IFERROR(DATEVALUE([1]raw_orders!B543), "Invalid Date")</f>
        <v>45846</v>
      </c>
      <c r="C543" s="4">
        <f>IFERROR(DATEVALUE([1]raw_orders!C543), "Invalid Date")</f>
        <v>45847</v>
      </c>
      <c r="D543" t="str">
        <f>[1]raw_orders!D543</f>
        <v>CUST-4188</v>
      </c>
      <c r="E543" t="str">
        <f>PROPER(TRIM([1]raw_orders!E543))</f>
        <v>Sneha Kapoor</v>
      </c>
      <c r="F543" t="str">
        <f>PROPER(TRIM([1]raw_orders!F543))</f>
        <v>Consumer</v>
      </c>
      <c r="G543" t="str">
        <f>IF(TRIM([1]raw_orders!G543)="","Unknown",PROPER(TRIM([1]raw_orders!G543)))</f>
        <v>West</v>
      </c>
      <c r="H543" t="str">
        <f>PROPER(TRIM([1]raw_orders!H543))</f>
        <v>Maharashtra</v>
      </c>
      <c r="I543" t="str">
        <f>PROPER(TRIM([1]raw_orders!I543))</f>
        <v>Mumbai</v>
      </c>
      <c r="J543" t="str">
        <f>PROPER(TRIM([1]raw_orders!J543))</f>
        <v>Technology</v>
      </c>
      <c r="K543" t="str">
        <f>PROPER(TRIM([1]raw_orders!K543))</f>
        <v>Copiers</v>
      </c>
      <c r="L543" t="str">
        <f>[1]raw_orders!L543</f>
        <v>Elite Copiers 831</v>
      </c>
      <c r="M543" t="str">
        <f>IF(TRIM([1]raw_orders!M543)="","Unknown",PROPER(TRIM([1]raw_orders!M543)))</f>
        <v>Same Day</v>
      </c>
      <c r="N543" s="5">
        <f>[1]raw_orders!N543</f>
        <v>3</v>
      </c>
      <c r="O543" s="5">
        <f>[1]raw_orders!O543</f>
        <v>2880.56</v>
      </c>
      <c r="P543" s="5">
        <f>[1]raw_orders!P543</f>
        <v>0</v>
      </c>
      <c r="Q543" t="str">
        <f>PROPER(TRIM([1]raw_orders!T543))</f>
        <v>Paid</v>
      </c>
      <c r="R543" t="str">
        <f>PROPER(TRIM([1]raw_orders!U543))</f>
        <v>Returned</v>
      </c>
      <c r="S543" s="5">
        <f>[1]raw_orders!S543</f>
        <v>2894.59</v>
      </c>
      <c r="T543" s="5">
        <f t="shared" si="64"/>
        <v>28.945900000000002</v>
      </c>
      <c r="U543" s="5">
        <f t="shared" si="65"/>
        <v>-241499.52511200003</v>
      </c>
      <c r="V543" s="5">
        <f t="shared" si="66"/>
        <v>-241499.52511200003</v>
      </c>
      <c r="W543" s="5">
        <f t="shared" si="67"/>
        <v>1</v>
      </c>
      <c r="X543" s="5">
        <f t="shared" si="68"/>
        <v>1</v>
      </c>
      <c r="Y543" s="5">
        <f t="shared" si="69"/>
        <v>7</v>
      </c>
      <c r="Z543" s="5">
        <f t="shared" si="70"/>
        <v>2025</v>
      </c>
      <c r="AA543" t="str">
        <f t="shared" si="71"/>
        <v>Clean</v>
      </c>
    </row>
    <row r="544" spans="1:27" x14ac:dyDescent="0.3">
      <c r="A544" t="str">
        <f>[1]raw_orders!A544</f>
        <v>ORD-2024-10543</v>
      </c>
      <c r="B544" s="4" t="str">
        <f>IFERROR(DATEVALUE([1]raw_orders!B544), "Invalid Date")</f>
        <v>Invalid Date</v>
      </c>
      <c r="C544" s="4">
        <f>IFERROR(DATEVALUE([1]raw_orders!C544), "Invalid Date")</f>
        <v>45558</v>
      </c>
      <c r="D544" t="str">
        <f>[1]raw_orders!D544</f>
        <v>CUST-9376</v>
      </c>
      <c r="E544" t="str">
        <f>PROPER(TRIM([1]raw_orders!E544))</f>
        <v>Rahul Verma</v>
      </c>
      <c r="F544" t="str">
        <f>PROPER(TRIM([1]raw_orders!F544))</f>
        <v>Home Office</v>
      </c>
      <c r="G544" t="str">
        <f>IF(TRIM([1]raw_orders!G544)="","Unknown",PROPER(TRIM([1]raw_orders!G544)))</f>
        <v>South</v>
      </c>
      <c r="H544" t="str">
        <f>PROPER(TRIM([1]raw_orders!H544))</f>
        <v>Kerala</v>
      </c>
      <c r="I544" t="str">
        <f>PROPER(TRIM([1]raw_orders!I544))</f>
        <v>Kochi</v>
      </c>
      <c r="J544" t="str">
        <f>PROPER(TRIM([1]raw_orders!J544))</f>
        <v>Furniture</v>
      </c>
      <c r="K544" t="str">
        <f>PROPER(TRIM([1]raw_orders!K544))</f>
        <v>Bookcases</v>
      </c>
      <c r="L544" t="str">
        <f>[1]raw_orders!L544</f>
        <v>Eco Bookcases 759</v>
      </c>
      <c r="M544" t="str">
        <f>IF(TRIM([1]raw_orders!M544)="","Unknown",PROPER(TRIM([1]raw_orders!M544)))</f>
        <v>Second Class</v>
      </c>
      <c r="N544" s="5">
        <f>[1]raw_orders!N544</f>
        <v>3</v>
      </c>
      <c r="O544" s="5">
        <f>[1]raw_orders!O544</f>
        <v>4067.62</v>
      </c>
      <c r="P544" s="5">
        <f>[1]raw_orders!P544</f>
        <v>0.2</v>
      </c>
      <c r="Q544" t="str">
        <f>PROPER(TRIM([1]raw_orders!T544))</f>
        <v>Paid</v>
      </c>
      <c r="R544" t="str">
        <f>PROPER(TRIM([1]raw_orders!U544))</f>
        <v>Cancelled</v>
      </c>
      <c r="S544" s="5">
        <f>[1]raw_orders!S544</f>
        <v>1394.05</v>
      </c>
      <c r="T544" s="5">
        <f t="shared" si="64"/>
        <v>13.9405</v>
      </c>
      <c r="U544" s="5">
        <f t="shared" si="65"/>
        <v>-157911.10983</v>
      </c>
      <c r="V544" s="5">
        <f t="shared" si="66"/>
        <v>-157911.30983000001</v>
      </c>
      <c r="W544" s="5">
        <f t="shared" si="67"/>
        <v>1.0000012665353326</v>
      </c>
      <c r="X544" s="5" t="str">
        <f t="shared" si="68"/>
        <v>Invalid Date</v>
      </c>
      <c r="Y544" s="5" t="e">
        <f t="shared" si="69"/>
        <v>#VALUE!</v>
      </c>
      <c r="Z544" s="5" t="e">
        <f t="shared" si="70"/>
        <v>#VALUE!</v>
      </c>
      <c r="AA544" t="str">
        <f t="shared" si="71"/>
        <v>Clean</v>
      </c>
    </row>
    <row r="545" spans="1:27" x14ac:dyDescent="0.3">
      <c r="A545" t="str">
        <f>[1]raw_orders!A545</f>
        <v>ORD-2024-10544</v>
      </c>
      <c r="B545" s="4">
        <f>IFERROR(DATEVALUE([1]raw_orders!B545), "Invalid Date")</f>
        <v>45487</v>
      </c>
      <c r="C545" s="4">
        <f>IFERROR(DATEVALUE([1]raw_orders!C545), "Invalid Date")</f>
        <v>45493</v>
      </c>
      <c r="D545" t="str">
        <f>[1]raw_orders!D545</f>
        <v>CUST-9094</v>
      </c>
      <c r="E545" t="str">
        <f>PROPER(TRIM([1]raw_orders!E545))</f>
        <v>Mira Das</v>
      </c>
      <c r="F545" t="str">
        <f>PROPER(TRIM([1]raw_orders!F545))</f>
        <v>Consumer</v>
      </c>
      <c r="G545" t="str">
        <f>IF(TRIM([1]raw_orders!G545)="","Unknown",PROPER(TRIM([1]raw_orders!G545)))</f>
        <v>East</v>
      </c>
      <c r="H545" t="str">
        <f>PROPER(TRIM([1]raw_orders!H545))</f>
        <v>Bihar</v>
      </c>
      <c r="I545" t="str">
        <f>PROPER(TRIM([1]raw_orders!I545))</f>
        <v>Patna</v>
      </c>
      <c r="J545" t="str">
        <f>PROPER(TRIM([1]raw_orders!J545))</f>
        <v>Technology</v>
      </c>
      <c r="K545" t="str">
        <f>PROPER(TRIM([1]raw_orders!K545))</f>
        <v>Copiers</v>
      </c>
      <c r="L545" t="str">
        <f>[1]raw_orders!L545</f>
        <v>Max Copiers 440</v>
      </c>
      <c r="M545" t="str">
        <f>IF(TRIM([1]raw_orders!M545)="","Unknown",PROPER(TRIM([1]raw_orders!M545)))</f>
        <v>Same Day</v>
      </c>
      <c r="N545" s="5">
        <f>[1]raw_orders!N545</f>
        <v>1</v>
      </c>
      <c r="O545" s="5">
        <f>[1]raw_orders!O545</f>
        <v>492.67</v>
      </c>
      <c r="P545" s="5">
        <f>[1]raw_orders!P545</f>
        <v>0.15</v>
      </c>
      <c r="Q545" t="str">
        <f>PROPER(TRIM([1]raw_orders!T545))</f>
        <v>Paid</v>
      </c>
      <c r="R545" t="str">
        <f>PROPER(TRIM([1]raw_orders!U545))</f>
        <v>Completed</v>
      </c>
      <c r="S545" s="5">
        <f>[1]raw_orders!S545</f>
        <v>105.05</v>
      </c>
      <c r="T545" s="5">
        <f t="shared" si="64"/>
        <v>1.0505</v>
      </c>
      <c r="U545" s="5">
        <f t="shared" si="65"/>
        <v>-24.879834999999996</v>
      </c>
      <c r="V545" s="5">
        <f t="shared" si="66"/>
        <v>-25.029834999999995</v>
      </c>
      <c r="W545" s="5">
        <f t="shared" si="67"/>
        <v>1.0060289788899324</v>
      </c>
      <c r="X545" s="5">
        <f t="shared" si="68"/>
        <v>6</v>
      </c>
      <c r="Y545" s="5">
        <f t="shared" si="69"/>
        <v>7</v>
      </c>
      <c r="Z545" s="5">
        <f t="shared" si="70"/>
        <v>2024</v>
      </c>
      <c r="AA545" t="str">
        <f t="shared" si="71"/>
        <v>Clean</v>
      </c>
    </row>
    <row r="546" spans="1:27" x14ac:dyDescent="0.3">
      <c r="A546" t="str">
        <f>[1]raw_orders!A546</f>
        <v>ORD-2025-10545</v>
      </c>
      <c r="B546" s="4">
        <f>IFERROR(DATEVALUE([1]raw_orders!B546), "Invalid Date")</f>
        <v>45686</v>
      </c>
      <c r="C546" s="4">
        <f>IFERROR(DATEVALUE([1]raw_orders!C546), "Invalid Date")</f>
        <v>45779</v>
      </c>
      <c r="D546" t="str">
        <f>[1]raw_orders!D546</f>
        <v>CUST-2366</v>
      </c>
      <c r="E546" t="str">
        <f>PROPER(TRIM([1]raw_orders!E546))</f>
        <v>Ananya Rao</v>
      </c>
      <c r="F546" t="str">
        <f>PROPER(TRIM([1]raw_orders!F546))</f>
        <v>Consumer</v>
      </c>
      <c r="G546" t="str">
        <f>IF(TRIM([1]raw_orders!G546)="","Unknown",PROPER(TRIM([1]raw_orders!G546)))</f>
        <v>South</v>
      </c>
      <c r="H546" t="str">
        <f>PROPER(TRIM([1]raw_orders!H546))</f>
        <v>Kerala</v>
      </c>
      <c r="I546" t="str">
        <f>PROPER(TRIM([1]raw_orders!I546))</f>
        <v>Kochi</v>
      </c>
      <c r="J546" t="str">
        <f>PROPER(TRIM([1]raw_orders!J546))</f>
        <v>Office Supplies</v>
      </c>
      <c r="K546" t="str">
        <f>PROPER(TRIM([1]raw_orders!K546))</f>
        <v>Art</v>
      </c>
      <c r="L546" t="str">
        <f>[1]raw_orders!L546</f>
        <v>Smart Art 201</v>
      </c>
      <c r="M546" t="str">
        <f>IF(TRIM([1]raw_orders!M546)="","Unknown",PROPER(TRIM([1]raw_orders!M546)))</f>
        <v>Same Day</v>
      </c>
      <c r="N546" s="5">
        <f>[1]raw_orders!N546</f>
        <v>8</v>
      </c>
      <c r="O546" s="5">
        <f>[1]raw_orders!O546</f>
        <v>3643.62</v>
      </c>
      <c r="P546" s="5">
        <f>[1]raw_orders!P546</f>
        <v>0.25</v>
      </c>
      <c r="Q546" t="str">
        <f>PROPER(TRIM([1]raw_orders!T546))</f>
        <v>Paid</v>
      </c>
      <c r="R546" t="str">
        <f>PROPER(TRIM([1]raw_orders!U546))</f>
        <v>Cancelled</v>
      </c>
      <c r="S546" s="5">
        <f>[1]raw_orders!S546</f>
        <v>3397.38</v>
      </c>
      <c r="T546" s="5">
        <f t="shared" si="64"/>
        <v>33.973800000000004</v>
      </c>
      <c r="U546" s="5">
        <f t="shared" si="65"/>
        <v>-961151.9772480001</v>
      </c>
      <c r="V546" s="5">
        <f t="shared" si="66"/>
        <v>-961152.2272480001</v>
      </c>
      <c r="W546" s="5">
        <f t="shared" si="67"/>
        <v>1.0000002601045475</v>
      </c>
      <c r="X546" s="5">
        <f t="shared" si="68"/>
        <v>93</v>
      </c>
      <c r="Y546" s="5">
        <f t="shared" si="69"/>
        <v>1</v>
      </c>
      <c r="Z546" s="5">
        <f t="shared" si="70"/>
        <v>2025</v>
      </c>
      <c r="AA546" t="str">
        <f t="shared" si="71"/>
        <v>Clean</v>
      </c>
    </row>
    <row r="547" spans="1:27" x14ac:dyDescent="0.3">
      <c r="A547" t="str">
        <f>[1]raw_orders!A547</f>
        <v>ORD-2024-10546</v>
      </c>
      <c r="B547" s="4" t="str">
        <f>IFERROR(DATEVALUE([1]raw_orders!B547), "Invalid Date")</f>
        <v>Invalid Date</v>
      </c>
      <c r="C547" s="4">
        <f>IFERROR(DATEVALUE([1]raw_orders!C547), "Invalid Date")</f>
        <v>45442</v>
      </c>
      <c r="D547" t="str">
        <f>[1]raw_orders!D547</f>
        <v>CUST-7168</v>
      </c>
      <c r="E547" t="str">
        <f>PROPER(TRIM([1]raw_orders!E547))</f>
        <v>Kabir Singh</v>
      </c>
      <c r="F547" t="str">
        <f>PROPER(TRIM([1]raw_orders!F547))</f>
        <v>Small Business</v>
      </c>
      <c r="G547" t="str">
        <f>IF(TRIM([1]raw_orders!G547)="","Unknown",PROPER(TRIM([1]raw_orders!G547)))</f>
        <v>East</v>
      </c>
      <c r="H547" t="str">
        <f>PROPER(TRIM([1]raw_orders!H547))</f>
        <v>Jharkhand</v>
      </c>
      <c r="I547" t="str">
        <f>PROPER(TRIM([1]raw_orders!I547))</f>
        <v>Ranchi</v>
      </c>
      <c r="J547" t="str">
        <f>PROPER(TRIM([1]raw_orders!J547))</f>
        <v>Office Supplies</v>
      </c>
      <c r="K547" t="str">
        <f>PROPER(TRIM([1]raw_orders!K547))</f>
        <v>Storage</v>
      </c>
      <c r="L547" t="str">
        <f>[1]raw_orders!L547</f>
        <v>Classic Storage 755</v>
      </c>
      <c r="M547" t="str">
        <f>IF(TRIM([1]raw_orders!M547)="","Unknown",PROPER(TRIM([1]raw_orders!M547)))</f>
        <v>Same Day</v>
      </c>
      <c r="N547" s="5">
        <f>[1]raw_orders!N547</f>
        <v>7</v>
      </c>
      <c r="O547" s="5">
        <f>[1]raw_orders!O547</f>
        <v>2900.86</v>
      </c>
      <c r="P547" s="5">
        <f>[1]raw_orders!P547</f>
        <v>0.15</v>
      </c>
      <c r="Q547" t="str">
        <f>PROPER(TRIM([1]raw_orders!T547))</f>
        <v>Paid</v>
      </c>
      <c r="R547" t="str">
        <f>PROPER(TRIM([1]raw_orders!U547))</f>
        <v>Completed</v>
      </c>
      <c r="S547" s="5">
        <f>[1]raw_orders!S547</f>
        <v>3746.61</v>
      </c>
      <c r="T547" s="5">
        <f t="shared" si="64"/>
        <v>37.466100000000004</v>
      </c>
      <c r="U547" s="5">
        <f t="shared" si="65"/>
        <v>-740481.35592200013</v>
      </c>
      <c r="V547" s="5">
        <f t="shared" si="66"/>
        <v>-740481.50592200016</v>
      </c>
      <c r="W547" s="5">
        <f t="shared" si="67"/>
        <v>1.0000002025709342</v>
      </c>
      <c r="X547" s="5" t="str">
        <f t="shared" si="68"/>
        <v>Invalid Date</v>
      </c>
      <c r="Y547" s="5" t="e">
        <f t="shared" si="69"/>
        <v>#VALUE!</v>
      </c>
      <c r="Z547" s="5" t="e">
        <f t="shared" si="70"/>
        <v>#VALUE!</v>
      </c>
      <c r="AA547" t="str">
        <f t="shared" si="71"/>
        <v>Clean</v>
      </c>
    </row>
    <row r="548" spans="1:27" x14ac:dyDescent="0.3">
      <c r="A548" t="str">
        <f>[1]raw_orders!A548</f>
        <v>ORD-2025-10547</v>
      </c>
      <c r="B548" s="4">
        <f>IFERROR(DATEVALUE([1]raw_orders!B548), "Invalid Date")</f>
        <v>45883</v>
      </c>
      <c r="C548" s="4">
        <f>IFERROR(DATEVALUE([1]raw_orders!C548), "Invalid Date")</f>
        <v>45891</v>
      </c>
      <c r="D548" t="str">
        <f>[1]raw_orders!D548</f>
        <v>CUST-8157</v>
      </c>
      <c r="E548" t="str">
        <f>PROPER(TRIM([1]raw_orders!E548))</f>
        <v>Arjun Bose</v>
      </c>
      <c r="F548" t="str">
        <f>PROPER(TRIM([1]raw_orders!F548))</f>
        <v>Corporate</v>
      </c>
      <c r="G548" t="str">
        <f>IF(TRIM([1]raw_orders!G548)="","Unknown",PROPER(TRIM([1]raw_orders!G548)))</f>
        <v>West</v>
      </c>
      <c r="H548" t="str">
        <f>PROPER(TRIM([1]raw_orders!H548))</f>
        <v>Gujarat</v>
      </c>
      <c r="I548" t="str">
        <f>PROPER(TRIM([1]raw_orders!I548))</f>
        <v>Ahmedabad</v>
      </c>
      <c r="J548" t="str">
        <f>PROPER(TRIM([1]raw_orders!J548))</f>
        <v>Office Supplies</v>
      </c>
      <c r="K548" t="str">
        <f>PROPER(TRIM([1]raw_orders!K548))</f>
        <v>Paper</v>
      </c>
      <c r="L548" t="str">
        <f>[1]raw_orders!L548</f>
        <v>Prime Paper 143</v>
      </c>
      <c r="M548" t="str">
        <f>IF(TRIM([1]raw_orders!M548)="","Unknown",PROPER(TRIM([1]raw_orders!M548)))</f>
        <v>First Class</v>
      </c>
      <c r="N548" s="5">
        <f>[1]raw_orders!N548</f>
        <v>5</v>
      </c>
      <c r="O548" s="5">
        <f>[1]raw_orders!O548</f>
        <v>2567.37</v>
      </c>
      <c r="P548" s="5">
        <f>[1]raw_orders!P548</f>
        <v>0.15</v>
      </c>
      <c r="Q548" t="str">
        <f>PROPER(TRIM([1]raw_orders!T548))</f>
        <v>Paid</v>
      </c>
      <c r="R548" t="str">
        <f>PROPER(TRIM([1]raw_orders!U548))</f>
        <v>Completed</v>
      </c>
      <c r="S548" s="5">
        <f>[1]raw_orders!S548</f>
        <v>4395.17</v>
      </c>
      <c r="T548" s="5">
        <f t="shared" si="64"/>
        <v>43.951700000000002</v>
      </c>
      <c r="U548" s="5">
        <f t="shared" si="65"/>
        <v>-551364.53014499997</v>
      </c>
      <c r="V548" s="5">
        <f t="shared" si="66"/>
        <v>-551364.68014499999</v>
      </c>
      <c r="W548" s="5">
        <f t="shared" si="67"/>
        <v>1.0000002720523209</v>
      </c>
      <c r="X548" s="5">
        <f t="shared" si="68"/>
        <v>8</v>
      </c>
      <c r="Y548" s="5">
        <f t="shared" si="69"/>
        <v>8</v>
      </c>
      <c r="Z548" s="5">
        <f t="shared" si="70"/>
        <v>2025</v>
      </c>
      <c r="AA548" t="str">
        <f t="shared" si="71"/>
        <v>Clean</v>
      </c>
    </row>
    <row r="549" spans="1:27" x14ac:dyDescent="0.3">
      <c r="A549" t="str">
        <f>[1]raw_orders!A549</f>
        <v>ORD-2024-10548</v>
      </c>
      <c r="B549" s="4">
        <f>IFERROR(DATEVALUE([1]raw_orders!B549), "Invalid Date")</f>
        <v>45428</v>
      </c>
      <c r="C549" s="4">
        <f>IFERROR(DATEVALUE([1]raw_orders!C549), "Invalid Date")</f>
        <v>45435</v>
      </c>
      <c r="D549" t="str">
        <f>[1]raw_orders!D549</f>
        <v>CUST-9146</v>
      </c>
      <c r="E549" t="str">
        <f>PROPER(TRIM([1]raw_orders!E549))</f>
        <v>Neha Gupta</v>
      </c>
      <c r="F549" t="str">
        <f>PROPER(TRIM([1]raw_orders!F549))</f>
        <v>Small Business</v>
      </c>
      <c r="G549" t="str">
        <f>IF(TRIM([1]raw_orders!G549)="","Unknown",PROPER(TRIM([1]raw_orders!G549)))</f>
        <v>North</v>
      </c>
      <c r="H549" t="str">
        <f>PROPER(TRIM([1]raw_orders!H549))</f>
        <v>Uttar Pradesh</v>
      </c>
      <c r="I549" t="str">
        <f>PROPER(TRIM([1]raw_orders!I549))</f>
        <v>Noida</v>
      </c>
      <c r="J549" t="str">
        <f>PROPER(TRIM([1]raw_orders!J549))</f>
        <v>Technology</v>
      </c>
      <c r="K549" t="str">
        <f>PROPER(TRIM([1]raw_orders!K549))</f>
        <v>Copiers</v>
      </c>
      <c r="L549" t="str">
        <f>[1]raw_orders!L549</f>
        <v>Max Copiers 607</v>
      </c>
      <c r="M549" t="str">
        <f>IF(TRIM([1]raw_orders!M549)="","Unknown",PROPER(TRIM([1]raw_orders!M549)))</f>
        <v>Standard Class</v>
      </c>
      <c r="N549" s="5">
        <f>[1]raw_orders!N549</f>
        <v>9</v>
      </c>
      <c r="O549" s="5">
        <f>[1]raw_orders!O549</f>
        <v>3722.09</v>
      </c>
      <c r="P549" s="5">
        <f>[1]raw_orders!P549</f>
        <v>0.1</v>
      </c>
      <c r="Q549" t="str">
        <f>PROPER(TRIM([1]raw_orders!T549))</f>
        <v>Paid</v>
      </c>
      <c r="R549" t="str">
        <f>PROPER(TRIM([1]raw_orders!U549))</f>
        <v>Completed</v>
      </c>
      <c r="S549" s="5">
        <f>[1]raw_orders!S549</f>
        <v>4993.8599999999997</v>
      </c>
      <c r="T549" s="5">
        <f t="shared" si="64"/>
        <v>49.938599999999994</v>
      </c>
      <c r="U549" s="5">
        <f t="shared" si="65"/>
        <v>-1639384.8630659997</v>
      </c>
      <c r="V549" s="5">
        <f t="shared" si="66"/>
        <v>-1639384.9630659998</v>
      </c>
      <c r="W549" s="5">
        <f t="shared" si="67"/>
        <v>1.0000000609984894</v>
      </c>
      <c r="X549" s="5">
        <f t="shared" si="68"/>
        <v>7</v>
      </c>
      <c r="Y549" s="5">
        <f t="shared" si="69"/>
        <v>5</v>
      </c>
      <c r="Z549" s="5">
        <f t="shared" si="70"/>
        <v>2024</v>
      </c>
      <c r="AA549" t="str">
        <f t="shared" si="71"/>
        <v>Clean</v>
      </c>
    </row>
    <row r="550" spans="1:27" x14ac:dyDescent="0.3">
      <c r="A550" t="str">
        <f>[1]raw_orders!A550</f>
        <v>ORD-2024-10549</v>
      </c>
      <c r="B550" s="4">
        <f>IFERROR(DATEVALUE([1]raw_orders!B550), "Invalid Date")</f>
        <v>45441</v>
      </c>
      <c r="C550" s="4">
        <f>IFERROR(DATEVALUE([1]raw_orders!C550), "Invalid Date")</f>
        <v>45441</v>
      </c>
      <c r="D550" t="str">
        <f>[1]raw_orders!D550</f>
        <v>CUST-5129</v>
      </c>
      <c r="E550" t="str">
        <f>PROPER(TRIM([1]raw_orders!E550))</f>
        <v>Rohan Mehta</v>
      </c>
      <c r="F550" t="str">
        <f>PROPER(TRIM([1]raw_orders!F550))</f>
        <v>Corporate</v>
      </c>
      <c r="G550" t="str">
        <f>IF(TRIM([1]raw_orders!G550)="","Unknown",PROPER(TRIM([1]raw_orders!G550)))</f>
        <v>East</v>
      </c>
      <c r="H550" t="str">
        <f>PROPER(TRIM([1]raw_orders!H550))</f>
        <v>Bihar</v>
      </c>
      <c r="I550" t="str">
        <f>PROPER(TRIM([1]raw_orders!I550))</f>
        <v>Patna</v>
      </c>
      <c r="J550" t="str">
        <f>PROPER(TRIM([1]raw_orders!J550))</f>
        <v>Furniture</v>
      </c>
      <c r="K550" t="str">
        <f>PROPER(TRIM([1]raw_orders!K550))</f>
        <v>Bookcases</v>
      </c>
      <c r="L550" t="str">
        <f>[1]raw_orders!L550</f>
        <v>Prime Bookcases 402</v>
      </c>
      <c r="M550" t="str">
        <f>IF(TRIM([1]raw_orders!M550)="","Unknown",PROPER(TRIM([1]raw_orders!M550)))</f>
        <v>Same Day</v>
      </c>
      <c r="N550" s="5">
        <f>[1]raw_orders!N550</f>
        <v>1</v>
      </c>
      <c r="O550" s="5">
        <f>[1]raw_orders!O550</f>
        <v>1072.01</v>
      </c>
      <c r="P550" s="5">
        <f>[1]raw_orders!P550</f>
        <v>0</v>
      </c>
      <c r="Q550" t="str">
        <f>PROPER(TRIM([1]raw_orders!T550))</f>
        <v>Pending</v>
      </c>
      <c r="R550" t="str">
        <f>PROPER(TRIM([1]raw_orders!U550))</f>
        <v>Cancelled</v>
      </c>
      <c r="S550" s="5">
        <f>[1]raw_orders!S550</f>
        <v>219.39</v>
      </c>
      <c r="T550" s="5">
        <f t="shared" si="64"/>
        <v>2.1938999999999997</v>
      </c>
      <c r="U550" s="5">
        <f t="shared" si="65"/>
        <v>-1279.8727389999997</v>
      </c>
      <c r="V550" s="5">
        <f t="shared" si="66"/>
        <v>-1279.8727389999997</v>
      </c>
      <c r="W550" s="5">
        <f t="shared" si="67"/>
        <v>1</v>
      </c>
      <c r="X550" s="5">
        <f t="shared" si="68"/>
        <v>0</v>
      </c>
      <c r="Y550" s="5">
        <f t="shared" si="69"/>
        <v>5</v>
      </c>
      <c r="Z550" s="5">
        <f t="shared" si="70"/>
        <v>2024</v>
      </c>
      <c r="AA550" t="str">
        <f t="shared" si="71"/>
        <v>Clean</v>
      </c>
    </row>
    <row r="551" spans="1:27" x14ac:dyDescent="0.3">
      <c r="A551" t="str">
        <f>[1]raw_orders!A551</f>
        <v>ORD-2025-10550</v>
      </c>
      <c r="B551" s="4">
        <f>IFERROR(DATEVALUE([1]raw_orders!B551), "Invalid Date")</f>
        <v>45971</v>
      </c>
      <c r="C551" s="4">
        <f>IFERROR(DATEVALUE([1]raw_orders!C551), "Invalid Date")</f>
        <v>45943</v>
      </c>
      <c r="D551" t="str">
        <f>[1]raw_orders!D551</f>
        <v>CUST-6028</v>
      </c>
      <c r="E551" t="str">
        <f>PROPER(TRIM([1]raw_orders!E551))</f>
        <v>Mira Das</v>
      </c>
      <c r="F551" t="str">
        <f>PROPER(TRIM([1]raw_orders!F551))</f>
        <v>Corporate</v>
      </c>
      <c r="G551" t="str">
        <f>IF(TRIM([1]raw_orders!G551)="","Unknown",PROPER(TRIM([1]raw_orders!G551)))</f>
        <v>South</v>
      </c>
      <c r="H551" t="str">
        <f>PROPER(TRIM([1]raw_orders!H551))</f>
        <v>Telangana</v>
      </c>
      <c r="I551" t="str">
        <f>PROPER(TRIM([1]raw_orders!I551))</f>
        <v>Hyderabad</v>
      </c>
      <c r="J551" t="str">
        <f>PROPER(TRIM([1]raw_orders!J551))</f>
        <v>Office Supplies</v>
      </c>
      <c r="K551" t="str">
        <f>PROPER(TRIM([1]raw_orders!K551))</f>
        <v>Art</v>
      </c>
      <c r="L551" t="str">
        <f>[1]raw_orders!L551</f>
        <v>Pro Art 287</v>
      </c>
      <c r="M551" t="str">
        <f>IF(TRIM([1]raw_orders!M551)="","Unknown",PROPER(TRIM([1]raw_orders!M551)))</f>
        <v>Second Class</v>
      </c>
      <c r="N551" s="5">
        <f>[1]raw_orders!N551</f>
        <v>3</v>
      </c>
      <c r="O551" s="5">
        <f>[1]raw_orders!O551</f>
        <v>3804.27</v>
      </c>
      <c r="P551" s="5">
        <f>[1]raw_orders!P551</f>
        <v>0.1</v>
      </c>
      <c r="Q551" t="str">
        <f>PROPER(TRIM([1]raw_orders!T551))</f>
        <v>Paid</v>
      </c>
      <c r="R551" t="str">
        <f>PROPER(TRIM([1]raw_orders!U551))</f>
        <v>Completed</v>
      </c>
      <c r="S551" s="5">
        <f>[1]raw_orders!S551</f>
        <v>1999.29</v>
      </c>
      <c r="T551" s="5">
        <f t="shared" si="64"/>
        <v>19.992899999999999</v>
      </c>
      <c r="U551" s="5">
        <f t="shared" si="65"/>
        <v>-216762.35904899996</v>
      </c>
      <c r="V551" s="5">
        <f t="shared" si="66"/>
        <v>-216762.45904899997</v>
      </c>
      <c r="W551" s="5">
        <f t="shared" si="67"/>
        <v>1.0000004613347098</v>
      </c>
      <c r="X551" s="5">
        <f t="shared" si="68"/>
        <v>-28</v>
      </c>
      <c r="Y551" s="5">
        <f t="shared" si="69"/>
        <v>11</v>
      </c>
      <c r="Z551" s="5">
        <f t="shared" si="70"/>
        <v>2025</v>
      </c>
      <c r="AA551" t="str">
        <f t="shared" si="71"/>
        <v>Invalid</v>
      </c>
    </row>
    <row r="552" spans="1:27" x14ac:dyDescent="0.3">
      <c r="A552" t="str">
        <f>[1]raw_orders!A552</f>
        <v>ORD-2024-10551</v>
      </c>
      <c r="B552" s="4">
        <f>IFERROR(DATEVALUE([1]raw_orders!B552), "Invalid Date")</f>
        <v>45506</v>
      </c>
      <c r="C552" s="4">
        <f>IFERROR(DATEVALUE([1]raw_orders!C552), "Invalid Date")</f>
        <v>45573</v>
      </c>
      <c r="D552" t="str">
        <f>[1]raw_orders!D552</f>
        <v>CUST-8687</v>
      </c>
      <c r="E552" t="str">
        <f>PROPER(TRIM([1]raw_orders!E552))</f>
        <v>Mira Das</v>
      </c>
      <c r="F552" t="str">
        <f>PROPER(TRIM([1]raw_orders!F552))</f>
        <v>Home Office</v>
      </c>
      <c r="G552" t="str">
        <f>IF(TRIM([1]raw_orders!G552)="","Unknown",PROPER(TRIM([1]raw_orders!G552)))</f>
        <v>East</v>
      </c>
      <c r="H552" t="str">
        <f>PROPER(TRIM([1]raw_orders!H552))</f>
        <v>Odisha</v>
      </c>
      <c r="I552" t="str">
        <f>PROPER(TRIM([1]raw_orders!I552))</f>
        <v>Bhubaneswar</v>
      </c>
      <c r="J552" t="str">
        <f>PROPER(TRIM([1]raw_orders!J552))</f>
        <v>Technology</v>
      </c>
      <c r="K552" t="str">
        <f>PROPER(TRIM([1]raw_orders!K552))</f>
        <v>Accessories</v>
      </c>
      <c r="L552" t="str">
        <f>[1]raw_orders!L552</f>
        <v>Max Accessories 591</v>
      </c>
      <c r="M552" t="str">
        <f>IF(TRIM([1]raw_orders!M552)="","Unknown",PROPER(TRIM([1]raw_orders!M552)))</f>
        <v>Standard Class</v>
      </c>
      <c r="N552" s="5">
        <f>[1]raw_orders!N552</f>
        <v>6</v>
      </c>
      <c r="O552" s="5">
        <f>[1]raw_orders!O552</f>
        <v>2126.44</v>
      </c>
      <c r="P552" s="5">
        <f>[1]raw_orders!P552</f>
        <v>0.2</v>
      </c>
      <c r="Q552" t="str">
        <f>PROPER(TRIM([1]raw_orders!T552))</f>
        <v>Paid</v>
      </c>
      <c r="R552" t="str">
        <f>PROPER(TRIM([1]raw_orders!U552))</f>
        <v>Completed</v>
      </c>
      <c r="S552" s="5">
        <f>[1]raw_orders!S552</f>
        <v>3442.38</v>
      </c>
      <c r="T552" s="5">
        <f t="shared" si="64"/>
        <v>34.4238</v>
      </c>
      <c r="U552" s="5">
        <f t="shared" si="65"/>
        <v>-426442.23163199995</v>
      </c>
      <c r="V552" s="5">
        <f t="shared" si="66"/>
        <v>-426442.43163199996</v>
      </c>
      <c r="W552" s="5">
        <f t="shared" si="67"/>
        <v>1.0000004689967015</v>
      </c>
      <c r="X552" s="5">
        <f t="shared" si="68"/>
        <v>67</v>
      </c>
      <c r="Y552" s="5">
        <f t="shared" si="69"/>
        <v>8</v>
      </c>
      <c r="Z552" s="5">
        <f t="shared" si="70"/>
        <v>2024</v>
      </c>
      <c r="AA552" t="str">
        <f t="shared" si="71"/>
        <v>Clean</v>
      </c>
    </row>
    <row r="553" spans="1:27" x14ac:dyDescent="0.3">
      <c r="A553" t="str">
        <f>[1]raw_orders!A553</f>
        <v>ORD-2024-10552</v>
      </c>
      <c r="B553" s="4">
        <f>IFERROR(DATEVALUE([1]raw_orders!B553), "Invalid Date")</f>
        <v>45349</v>
      </c>
      <c r="C553" s="4">
        <f>IFERROR(DATEVALUE([1]raw_orders!C553), "Invalid Date")</f>
        <v>45349</v>
      </c>
      <c r="D553" t="str">
        <f>[1]raw_orders!D553</f>
        <v>CUST-8172</v>
      </c>
      <c r="E553" t="str">
        <f>PROPER(TRIM([1]raw_orders!E553))</f>
        <v>Sneha Kapoor</v>
      </c>
      <c r="F553" t="str">
        <f>PROPER(TRIM([1]raw_orders!F553))</f>
        <v>Consumer</v>
      </c>
      <c r="G553" t="str">
        <f>IF(TRIM([1]raw_orders!G553)="","Unknown",PROPER(TRIM([1]raw_orders!G553)))</f>
        <v>East</v>
      </c>
      <c r="H553" t="str">
        <f>PROPER(TRIM([1]raw_orders!H553))</f>
        <v>Jharkhand</v>
      </c>
      <c r="I553" t="str">
        <f>PROPER(TRIM([1]raw_orders!I553))</f>
        <v>Ranchi</v>
      </c>
      <c r="J553" t="str">
        <f>PROPER(TRIM([1]raw_orders!J553))</f>
        <v>Furniture</v>
      </c>
      <c r="K553" t="str">
        <f>PROPER(TRIM([1]raw_orders!K553))</f>
        <v>Chairs</v>
      </c>
      <c r="L553" t="str">
        <f>[1]raw_orders!L553</f>
        <v>Elite Chairs 314</v>
      </c>
      <c r="M553" t="str">
        <f>IF(TRIM([1]raw_orders!M553)="","Unknown",PROPER(TRIM([1]raw_orders!M553)))</f>
        <v>Second Class</v>
      </c>
      <c r="N553" s="5">
        <f>[1]raw_orders!N553</f>
        <v>3</v>
      </c>
      <c r="O553" s="5">
        <f>[1]raw_orders!O553</f>
        <v>3148.09</v>
      </c>
      <c r="P553" s="5">
        <f>[1]raw_orders!P553</f>
        <v>0.15</v>
      </c>
      <c r="Q553" t="str">
        <f>PROPER(TRIM([1]raw_orders!T553))</f>
        <v>Paid</v>
      </c>
      <c r="R553" t="str">
        <f>PROPER(TRIM([1]raw_orders!U553))</f>
        <v>Completed</v>
      </c>
      <c r="S553" s="5">
        <f>[1]raw_orders!S553</f>
        <v>2531.54</v>
      </c>
      <c r="T553" s="5">
        <f t="shared" si="64"/>
        <v>25.3154</v>
      </c>
      <c r="U553" s="5">
        <f t="shared" si="65"/>
        <v>-229641.202758</v>
      </c>
      <c r="V553" s="5">
        <f t="shared" si="66"/>
        <v>-229641.35275799999</v>
      </c>
      <c r="W553" s="5">
        <f t="shared" si="67"/>
        <v>1.000000653192886</v>
      </c>
      <c r="X553" s="5">
        <f t="shared" si="68"/>
        <v>0</v>
      </c>
      <c r="Y553" s="5">
        <f t="shared" si="69"/>
        <v>2</v>
      </c>
      <c r="Z553" s="5">
        <f t="shared" si="70"/>
        <v>2024</v>
      </c>
      <c r="AA553" t="str">
        <f t="shared" si="71"/>
        <v>Clean</v>
      </c>
    </row>
    <row r="554" spans="1:27" x14ac:dyDescent="0.3">
      <c r="A554" t="str">
        <f>[1]raw_orders!A554</f>
        <v>ORD-2025-10553</v>
      </c>
      <c r="B554" s="4">
        <f>IFERROR(DATEVALUE([1]raw_orders!B554), "Invalid Date")</f>
        <v>45681</v>
      </c>
      <c r="C554" s="4">
        <f>IFERROR(DATEVALUE([1]raw_orders!C554), "Invalid Date")</f>
        <v>45687</v>
      </c>
      <c r="D554" t="str">
        <f>[1]raw_orders!D554</f>
        <v>CUST-8861</v>
      </c>
      <c r="E554" t="str">
        <f>PROPER(TRIM([1]raw_orders!E554))</f>
        <v>Ananya Rao</v>
      </c>
      <c r="F554" t="str">
        <f>PROPER(TRIM([1]raw_orders!F554))</f>
        <v>Corporate</v>
      </c>
      <c r="G554" t="str">
        <f>IF(TRIM([1]raw_orders!G554)="","Unknown",PROPER(TRIM([1]raw_orders!G554)))</f>
        <v>East</v>
      </c>
      <c r="H554" t="str">
        <f>PROPER(TRIM([1]raw_orders!H554))</f>
        <v>West Bengal</v>
      </c>
      <c r="I554" t="str">
        <f>PROPER(TRIM([1]raw_orders!I554))</f>
        <v>Kolkata</v>
      </c>
      <c r="J554" t="str">
        <f>PROPER(TRIM([1]raw_orders!J554))</f>
        <v>Technology</v>
      </c>
      <c r="K554" t="str">
        <f>PROPER(TRIM([1]raw_orders!K554))</f>
        <v>Copiers</v>
      </c>
      <c r="L554" t="str">
        <f>[1]raw_orders!L554</f>
        <v>Pro Copiers 246</v>
      </c>
      <c r="M554" t="str">
        <f>IF(TRIM([1]raw_orders!M554)="","Unknown",PROPER(TRIM([1]raw_orders!M554)))</f>
        <v>Standard Class</v>
      </c>
      <c r="N554" s="5">
        <f>[1]raw_orders!N554</f>
        <v>8</v>
      </c>
      <c r="O554" s="5">
        <f>[1]raw_orders!O554</f>
        <v>312.52999999999997</v>
      </c>
      <c r="P554" s="5" t="str">
        <f>[1]raw_orders!P554</f>
        <v>70%</v>
      </c>
      <c r="Q554" t="str">
        <f>PROPER(TRIM([1]raw_orders!T554))</f>
        <v>Paid</v>
      </c>
      <c r="R554" t="str">
        <f>PROPER(TRIM([1]raw_orders!U554))</f>
        <v>Completed</v>
      </c>
      <c r="S554" s="5">
        <f>[1]raw_orders!S554</f>
        <v>296.01</v>
      </c>
      <c r="T554" s="5">
        <f t="shared" si="64"/>
        <v>2.9600999999999997</v>
      </c>
      <c r="U554" s="5">
        <f t="shared" si="65"/>
        <v>-4900.7204239999992</v>
      </c>
      <c r="V554" s="5" t="str">
        <f t="shared" si="66"/>
        <v>Calculation Error</v>
      </c>
      <c r="W554" s="5" t="str">
        <f t="shared" si="67"/>
        <v>Calculation Error</v>
      </c>
      <c r="X554" s="5">
        <f t="shared" si="68"/>
        <v>6</v>
      </c>
      <c r="Y554" s="5">
        <f t="shared" si="69"/>
        <v>1</v>
      </c>
      <c r="Z554" s="5">
        <f t="shared" si="70"/>
        <v>2025</v>
      </c>
      <c r="AA554" t="str">
        <f t="shared" si="71"/>
        <v>Clean</v>
      </c>
    </row>
    <row r="555" spans="1:27" x14ac:dyDescent="0.3">
      <c r="A555" t="str">
        <f>[1]raw_orders!A555</f>
        <v>ORD-2025-10554</v>
      </c>
      <c r="B555" s="4" t="str">
        <f>IFERROR(DATEVALUE([1]raw_orders!B555), "Invalid Date")</f>
        <v>Invalid Date</v>
      </c>
      <c r="C555" s="4">
        <f>IFERROR(DATEVALUE([1]raw_orders!C555), "Invalid Date")</f>
        <v>45775</v>
      </c>
      <c r="D555" t="str">
        <f>[1]raw_orders!D555</f>
        <v>CUST-9241</v>
      </c>
      <c r="E555" t="str">
        <f>PROPER(TRIM([1]raw_orders!E555))</f>
        <v>Aarav Sharma</v>
      </c>
      <c r="F555" t="str">
        <f>PROPER(TRIM([1]raw_orders!F555))</f>
        <v>Small Business</v>
      </c>
      <c r="G555" t="str">
        <f>IF(TRIM([1]raw_orders!G555)="","Unknown",PROPER(TRIM([1]raw_orders!G555)))</f>
        <v>West</v>
      </c>
      <c r="H555" t="str">
        <f>PROPER(TRIM([1]raw_orders!H555))</f>
        <v>Gujarat</v>
      </c>
      <c r="I555" t="str">
        <f>PROPER(TRIM([1]raw_orders!I555))</f>
        <v>Ahmedabad</v>
      </c>
      <c r="J555" t="str">
        <f>PROPER(TRIM([1]raw_orders!J555))</f>
        <v>Office Supplies</v>
      </c>
      <c r="K555" t="str">
        <f>PROPER(TRIM([1]raw_orders!K555))</f>
        <v>Storage</v>
      </c>
      <c r="L555" t="str">
        <f>[1]raw_orders!L555</f>
        <v>Pro Storage 128</v>
      </c>
      <c r="M555" t="str">
        <f>IF(TRIM([1]raw_orders!M555)="","Unknown",PROPER(TRIM([1]raw_orders!M555)))</f>
        <v>First Class</v>
      </c>
      <c r="N555" s="5">
        <f>[1]raw_orders!N555</f>
        <v>9</v>
      </c>
      <c r="O555" s="5">
        <f>[1]raw_orders!O555</f>
        <v>1294.1099999999999</v>
      </c>
      <c r="P555" s="5">
        <f>[1]raw_orders!P555</f>
        <v>0.25</v>
      </c>
      <c r="Q555" t="str">
        <f>PROPER(TRIM([1]raw_orders!T555))</f>
        <v>Paid</v>
      </c>
      <c r="R555" t="str">
        <f>PROPER(TRIM([1]raw_orders!U555))</f>
        <v>Completed</v>
      </c>
      <c r="S555" s="5">
        <f>[1]raw_orders!S555</f>
        <v>2115.17</v>
      </c>
      <c r="T555" s="5">
        <f t="shared" si="64"/>
        <v>21.151700000000002</v>
      </c>
      <c r="U555" s="5">
        <f t="shared" si="65"/>
        <v>-234706.64838300002</v>
      </c>
      <c r="V555" s="5">
        <f t="shared" si="66"/>
        <v>-234706.89838300002</v>
      </c>
      <c r="W555" s="5">
        <f t="shared" si="67"/>
        <v>1.0000010651594309</v>
      </c>
      <c r="X555" s="5" t="str">
        <f t="shared" si="68"/>
        <v>Invalid Date</v>
      </c>
      <c r="Y555" s="5" t="e">
        <f t="shared" si="69"/>
        <v>#VALUE!</v>
      </c>
      <c r="Z555" s="5" t="e">
        <f t="shared" si="70"/>
        <v>#VALUE!</v>
      </c>
      <c r="AA555" t="str">
        <f t="shared" si="71"/>
        <v>Clean</v>
      </c>
    </row>
    <row r="556" spans="1:27" x14ac:dyDescent="0.3">
      <c r="A556" t="str">
        <f>[1]raw_orders!A556</f>
        <v>ORD-2024-10555</v>
      </c>
      <c r="B556" s="4">
        <f>IFERROR(DATEVALUE([1]raw_orders!B556), "Invalid Date")</f>
        <v>45577</v>
      </c>
      <c r="C556" s="4">
        <f>IFERROR(DATEVALUE([1]raw_orders!C556), "Invalid Date")</f>
        <v>45582</v>
      </c>
      <c r="D556" t="str">
        <f>[1]raw_orders!D556</f>
        <v>CUST-2126</v>
      </c>
      <c r="E556" t="str">
        <f>PROPER(TRIM([1]raw_orders!E556))</f>
        <v>Arjun Bose</v>
      </c>
      <c r="F556" t="str">
        <f>PROPER(TRIM([1]raw_orders!F556))</f>
        <v>Consumer</v>
      </c>
      <c r="G556" t="str">
        <f>IF(TRIM([1]raw_orders!G556)="","Unknown",PROPER(TRIM([1]raw_orders!G556)))</f>
        <v>Unknown</v>
      </c>
      <c r="H556" t="str">
        <f>PROPER(TRIM([1]raw_orders!H556))</f>
        <v>Jharkhand</v>
      </c>
      <c r="I556" t="str">
        <f>PROPER(TRIM([1]raw_orders!I556))</f>
        <v>Ranchi</v>
      </c>
      <c r="J556" t="str">
        <f>PROPER(TRIM([1]raw_orders!J556))</f>
        <v>Furniture</v>
      </c>
      <c r="K556" t="str">
        <f>PROPER(TRIM([1]raw_orders!K556))</f>
        <v>Furnishings</v>
      </c>
      <c r="L556" t="str">
        <f>[1]raw_orders!L556</f>
        <v>Prime Furnishings 892</v>
      </c>
      <c r="M556" t="str">
        <f>IF(TRIM([1]raw_orders!M556)="","Unknown",PROPER(TRIM([1]raw_orders!M556)))</f>
        <v>Standard Class</v>
      </c>
      <c r="N556" s="5">
        <f>[1]raw_orders!N556</f>
        <v>4</v>
      </c>
      <c r="O556" s="5">
        <f>[1]raw_orders!O556</f>
        <v>1071.22</v>
      </c>
      <c r="P556" s="5">
        <f>[1]raw_orders!P556</f>
        <v>0.05</v>
      </c>
      <c r="Q556" t="str">
        <f>PROPER(TRIM([1]raw_orders!T556))</f>
        <v>Paid</v>
      </c>
      <c r="R556" t="str">
        <f>PROPER(TRIM([1]raw_orders!U556))</f>
        <v>Completed</v>
      </c>
      <c r="S556" s="5">
        <f>[1]raw_orders!S556</f>
        <v>1239.02</v>
      </c>
      <c r="T556" s="5">
        <f t="shared" si="64"/>
        <v>12.3902</v>
      </c>
      <c r="U556" s="5">
        <f t="shared" si="65"/>
        <v>-48805.640176000001</v>
      </c>
      <c r="V556" s="5">
        <f t="shared" si="66"/>
        <v>-48805.690176000004</v>
      </c>
      <c r="W556" s="5">
        <f t="shared" si="67"/>
        <v>1.0000010244717583</v>
      </c>
      <c r="X556" s="5">
        <f t="shared" si="68"/>
        <v>5</v>
      </c>
      <c r="Y556" s="5">
        <f t="shared" si="69"/>
        <v>10</v>
      </c>
      <c r="Z556" s="5">
        <f t="shared" si="70"/>
        <v>2024</v>
      </c>
      <c r="AA556" t="str">
        <f t="shared" si="71"/>
        <v>Warning</v>
      </c>
    </row>
    <row r="557" spans="1:27" x14ac:dyDescent="0.3">
      <c r="A557" t="str">
        <f>[1]raw_orders!A557</f>
        <v>ORD-2025-10556</v>
      </c>
      <c r="B557" s="4">
        <f>IFERROR(DATEVALUE([1]raw_orders!B557), "Invalid Date")</f>
        <v>45692</v>
      </c>
      <c r="C557" s="4">
        <f>IFERROR(DATEVALUE([1]raw_orders!C557), "Invalid Date")</f>
        <v>45698</v>
      </c>
      <c r="D557" t="str">
        <f>[1]raw_orders!D557</f>
        <v>CUST-7513</v>
      </c>
      <c r="E557" t="str">
        <f>PROPER(TRIM([1]raw_orders!E557))</f>
        <v>Ananya Rao</v>
      </c>
      <c r="F557" t="str">
        <f>PROPER(TRIM([1]raw_orders!F557))</f>
        <v>Small Business</v>
      </c>
      <c r="G557" t="str">
        <f>IF(TRIM([1]raw_orders!G557)="","Unknown",PROPER(TRIM([1]raw_orders!G557)))</f>
        <v>South</v>
      </c>
      <c r="H557" t="str">
        <f>PROPER(TRIM([1]raw_orders!H557))</f>
        <v>Telangana</v>
      </c>
      <c r="I557" t="str">
        <f>PROPER(TRIM([1]raw_orders!I557))</f>
        <v>Hyderabad</v>
      </c>
      <c r="J557" t="str">
        <f>PROPER(TRIM([1]raw_orders!J557))</f>
        <v>Office Supplies</v>
      </c>
      <c r="K557" t="str">
        <f>PROPER(TRIM([1]raw_orders!K557))</f>
        <v>Storage</v>
      </c>
      <c r="L557" t="str">
        <f>[1]raw_orders!L557</f>
        <v>Prime Storage 689</v>
      </c>
      <c r="M557" t="str">
        <f>IF(TRIM([1]raw_orders!M557)="","Unknown",PROPER(TRIM([1]raw_orders!M557)))</f>
        <v>Standard Class</v>
      </c>
      <c r="N557" s="5">
        <f>[1]raw_orders!N557</f>
        <v>6</v>
      </c>
      <c r="O557" s="5">
        <f>[1]raw_orders!O557</f>
        <v>1042.8</v>
      </c>
      <c r="P557" s="5">
        <f>[1]raw_orders!P557</f>
        <v>0.05</v>
      </c>
      <c r="Q557" t="str">
        <f>PROPER(TRIM([1]raw_orders!T557))</f>
        <v>Paid</v>
      </c>
      <c r="R557" t="str">
        <f>PROPER(TRIM([1]raw_orders!U557))</f>
        <v>Completed</v>
      </c>
      <c r="S557" s="5">
        <f>[1]raw_orders!S557</f>
        <v>2339.8200000000002</v>
      </c>
      <c r="T557" s="5">
        <f t="shared" si="64"/>
        <v>23.398200000000003</v>
      </c>
      <c r="U557" s="5">
        <f t="shared" si="65"/>
        <v>-140141.05776</v>
      </c>
      <c r="V557" s="5">
        <f t="shared" si="66"/>
        <v>-140141.10775999998</v>
      </c>
      <c r="W557" s="5">
        <f t="shared" si="67"/>
        <v>1.000000356783378</v>
      </c>
      <c r="X557" s="5">
        <f t="shared" si="68"/>
        <v>6</v>
      </c>
      <c r="Y557" s="5">
        <f t="shared" si="69"/>
        <v>2</v>
      </c>
      <c r="Z557" s="5">
        <f t="shared" si="70"/>
        <v>2025</v>
      </c>
      <c r="AA557" t="str">
        <f t="shared" si="71"/>
        <v>Clean</v>
      </c>
    </row>
    <row r="558" spans="1:27" x14ac:dyDescent="0.3">
      <c r="A558" t="str">
        <f>[1]raw_orders!A558</f>
        <v>ORD-2024-10557</v>
      </c>
      <c r="B558" s="4">
        <f>IFERROR(DATEVALUE([1]raw_orders!B558), "Invalid Date")</f>
        <v>45466</v>
      </c>
      <c r="C558" s="4">
        <f>IFERROR(DATEVALUE([1]raw_orders!C558), "Invalid Date")</f>
        <v>45472</v>
      </c>
      <c r="D558" t="str">
        <f>[1]raw_orders!D558</f>
        <v>CUST-1992</v>
      </c>
      <c r="E558" t="str">
        <f>PROPER(TRIM([1]raw_orders!E558))</f>
        <v>Neha Gupta</v>
      </c>
      <c r="F558" t="str">
        <f>PROPER(TRIM([1]raw_orders!F558))</f>
        <v>Consumer</v>
      </c>
      <c r="G558" t="str">
        <f>IF(TRIM([1]raw_orders!G558)="","Unknown",PROPER(TRIM([1]raw_orders!G558)))</f>
        <v>North</v>
      </c>
      <c r="H558" t="str">
        <f>PROPER(TRIM([1]raw_orders!H558))</f>
        <v>Haryana</v>
      </c>
      <c r="I558" t="str">
        <f>PROPER(TRIM([1]raw_orders!I558))</f>
        <v>Gurugram</v>
      </c>
      <c r="J558" t="str">
        <f>PROPER(TRIM([1]raw_orders!J558))</f>
        <v>Furniture</v>
      </c>
      <c r="K558" t="str">
        <f>PROPER(TRIM([1]raw_orders!K558))</f>
        <v>Tables</v>
      </c>
      <c r="L558" t="str">
        <f>[1]raw_orders!L558</f>
        <v>Classic Tables 769</v>
      </c>
      <c r="M558" t="str">
        <f>IF(TRIM([1]raw_orders!M558)="","Unknown",PROPER(TRIM([1]raw_orders!M558)))</f>
        <v>First Class</v>
      </c>
      <c r="N558" s="5">
        <f>[1]raw_orders!N558</f>
        <v>1</v>
      </c>
      <c r="O558" s="5">
        <f>[1]raw_orders!O558</f>
        <v>4426.66</v>
      </c>
      <c r="P558" s="5">
        <f>[1]raw_orders!P558</f>
        <v>0</v>
      </c>
      <c r="Q558" t="str">
        <f>PROPER(TRIM([1]raw_orders!T558))</f>
        <v>Paid</v>
      </c>
      <c r="R558" t="str">
        <f>PROPER(TRIM([1]raw_orders!U558))</f>
        <v>Returned</v>
      </c>
      <c r="S558" s="5">
        <f>[1]raw_orders!S558</f>
        <v>1816.23</v>
      </c>
      <c r="T558" s="5">
        <f t="shared" si="64"/>
        <v>18.162300000000002</v>
      </c>
      <c r="U558" s="5">
        <f t="shared" si="65"/>
        <v>-75971.666918000003</v>
      </c>
      <c r="V558" s="5">
        <f t="shared" si="66"/>
        <v>-75971.666918000003</v>
      </c>
      <c r="W558" s="5">
        <f t="shared" si="67"/>
        <v>1</v>
      </c>
      <c r="X558" s="5">
        <f t="shared" si="68"/>
        <v>6</v>
      </c>
      <c r="Y558" s="5">
        <f t="shared" si="69"/>
        <v>6</v>
      </c>
      <c r="Z558" s="5">
        <f t="shared" si="70"/>
        <v>2024</v>
      </c>
      <c r="AA558" t="str">
        <f t="shared" si="71"/>
        <v>Clean</v>
      </c>
    </row>
    <row r="559" spans="1:27" x14ac:dyDescent="0.3">
      <c r="A559" t="str">
        <f>[1]raw_orders!A559</f>
        <v>ORD-2024-10558</v>
      </c>
      <c r="B559" s="4">
        <f>IFERROR(DATEVALUE([1]raw_orders!B559), "Invalid Date")</f>
        <v>45420</v>
      </c>
      <c r="C559" s="4">
        <f>IFERROR(DATEVALUE([1]raw_orders!C559), "Invalid Date")</f>
        <v>45426</v>
      </c>
      <c r="D559" t="str">
        <f>[1]raw_orders!D559</f>
        <v>CUST-8848</v>
      </c>
      <c r="E559" t="str">
        <f>PROPER(TRIM([1]raw_orders!E559))</f>
        <v>Vikram Iyer</v>
      </c>
      <c r="F559" t="str">
        <f>PROPER(TRIM([1]raw_orders!F559))</f>
        <v>Home Office</v>
      </c>
      <c r="G559" t="str">
        <f>IF(TRIM([1]raw_orders!G559)="","Unknown",PROPER(TRIM([1]raw_orders!G559)))</f>
        <v>North</v>
      </c>
      <c r="H559" t="str">
        <f>PROPER(TRIM([1]raw_orders!H559))</f>
        <v>Haryana</v>
      </c>
      <c r="I559" t="str">
        <f>PROPER(TRIM([1]raw_orders!I559))</f>
        <v>Gurugram</v>
      </c>
      <c r="J559" t="str">
        <f>PROPER(TRIM([1]raw_orders!J559))</f>
        <v>Technology</v>
      </c>
      <c r="K559" t="str">
        <f>PROPER(TRIM([1]raw_orders!K559))</f>
        <v>Phones</v>
      </c>
      <c r="L559" t="str">
        <f>[1]raw_orders!L559</f>
        <v>Prime Phones 503</v>
      </c>
      <c r="M559" t="str">
        <f>IF(TRIM([1]raw_orders!M559)="","Unknown",PROPER(TRIM([1]raw_orders!M559)))</f>
        <v>First Class</v>
      </c>
      <c r="N559" s="5">
        <f>[1]raw_orders!N559</f>
        <v>9</v>
      </c>
      <c r="O559" s="5">
        <f>[1]raw_orders!O559</f>
        <v>3769.46</v>
      </c>
      <c r="P559" s="5">
        <f>[1]raw_orders!P559</f>
        <v>0.05</v>
      </c>
      <c r="Q559" t="str">
        <f>PROPER(TRIM([1]raw_orders!T559))</f>
        <v>Paid</v>
      </c>
      <c r="R559" t="str">
        <f>PROPER(TRIM([1]raw_orders!U559))</f>
        <v>Cancelled</v>
      </c>
      <c r="S559" s="5">
        <f>[1]raw_orders!S559</f>
        <v>7257.52</v>
      </c>
      <c r="T559" s="5">
        <f t="shared" si="64"/>
        <v>72.575200000000009</v>
      </c>
      <c r="U559" s="5">
        <f t="shared" si="65"/>
        <v>-2428198.6805280005</v>
      </c>
      <c r="V559" s="5">
        <f t="shared" si="66"/>
        <v>-2428198.7305280003</v>
      </c>
      <c r="W559" s="5">
        <f t="shared" si="67"/>
        <v>1.0000000205913957</v>
      </c>
      <c r="X559" s="5">
        <f t="shared" si="68"/>
        <v>6</v>
      </c>
      <c r="Y559" s="5">
        <f t="shared" si="69"/>
        <v>5</v>
      </c>
      <c r="Z559" s="5">
        <f t="shared" si="70"/>
        <v>2024</v>
      </c>
      <c r="AA559" t="str">
        <f t="shared" si="71"/>
        <v>Clean</v>
      </c>
    </row>
    <row r="560" spans="1:27" x14ac:dyDescent="0.3">
      <c r="A560" t="str">
        <f>[1]raw_orders!A560</f>
        <v>ORD-2025-10559</v>
      </c>
      <c r="B560" s="4">
        <f>IFERROR(DATEVALUE([1]raw_orders!B560), "Invalid Date")</f>
        <v>45904</v>
      </c>
      <c r="C560" s="4">
        <f>IFERROR(DATEVALUE([1]raw_orders!C560), "Invalid Date")</f>
        <v>45756</v>
      </c>
      <c r="D560" t="str">
        <f>[1]raw_orders!D560</f>
        <v>CUST-9368</v>
      </c>
      <c r="E560" t="str">
        <f>PROPER(TRIM([1]raw_orders!E560))</f>
        <v>Aditi Sen</v>
      </c>
      <c r="F560" t="str">
        <f>PROPER(TRIM([1]raw_orders!F560))</f>
        <v>Corporate</v>
      </c>
      <c r="G560" t="str">
        <f>IF(TRIM([1]raw_orders!G560)="","Unknown",PROPER(TRIM([1]raw_orders!G560)))</f>
        <v>North</v>
      </c>
      <c r="H560" t="str">
        <f>PROPER(TRIM([1]raw_orders!H560))</f>
        <v>Punjab</v>
      </c>
      <c r="I560" t="str">
        <f>PROPER(TRIM([1]raw_orders!I560))</f>
        <v>Ludhiana</v>
      </c>
      <c r="J560" t="str">
        <f>PROPER(TRIM([1]raw_orders!J560))</f>
        <v>Technology</v>
      </c>
      <c r="K560" t="str">
        <f>PROPER(TRIM([1]raw_orders!K560))</f>
        <v>Machines</v>
      </c>
      <c r="L560" t="str">
        <f>[1]raw_orders!L560</f>
        <v>Basic Machines 136</v>
      </c>
      <c r="M560" t="str">
        <f>IF(TRIM([1]raw_orders!M560)="","Unknown",PROPER(TRIM([1]raw_orders!M560)))</f>
        <v>First Class</v>
      </c>
      <c r="N560" s="5">
        <f>[1]raw_orders!N560</f>
        <v>8</v>
      </c>
      <c r="O560" s="5">
        <f>[1]raw_orders!O560</f>
        <v>3079.95</v>
      </c>
      <c r="P560" s="5">
        <f>[1]raw_orders!P560</f>
        <v>0.2</v>
      </c>
      <c r="Q560" t="str">
        <f>PROPER(TRIM([1]raw_orders!T560))</f>
        <v>Paid</v>
      </c>
      <c r="R560" t="str">
        <f>PROPER(TRIM([1]raw_orders!U560))</f>
        <v>Completed</v>
      </c>
      <c r="S560" s="5">
        <f>[1]raw_orders!S560</f>
        <v>5249.88</v>
      </c>
      <c r="T560" s="5">
        <f t="shared" si="64"/>
        <v>52.498800000000003</v>
      </c>
      <c r="U560" s="5">
        <f t="shared" si="65"/>
        <v>-1268909.8324800001</v>
      </c>
      <c r="V560" s="5">
        <f t="shared" si="66"/>
        <v>-1268910.0324800001</v>
      </c>
      <c r="W560" s="5">
        <f t="shared" si="67"/>
        <v>1.0000001576156121</v>
      </c>
      <c r="X560" s="5">
        <f t="shared" si="68"/>
        <v>-148</v>
      </c>
      <c r="Y560" s="5">
        <f t="shared" si="69"/>
        <v>9</v>
      </c>
      <c r="Z560" s="5">
        <f t="shared" si="70"/>
        <v>2025</v>
      </c>
      <c r="AA560" t="str">
        <f t="shared" si="71"/>
        <v>Invalid</v>
      </c>
    </row>
    <row r="561" spans="1:27" x14ac:dyDescent="0.3">
      <c r="A561" t="str">
        <f>[1]raw_orders!A561</f>
        <v>ORD-2025-10560</v>
      </c>
      <c r="B561" s="4">
        <f>IFERROR(DATEVALUE([1]raw_orders!B561), "Invalid Date")</f>
        <v>45930</v>
      </c>
      <c r="C561" s="4">
        <f>IFERROR(DATEVALUE([1]raw_orders!C561), "Invalid Date")</f>
        <v>45937</v>
      </c>
      <c r="D561" t="str">
        <f>[1]raw_orders!D561</f>
        <v>CUST-6797</v>
      </c>
      <c r="E561" t="str">
        <f>PROPER(TRIM([1]raw_orders!E561))</f>
        <v>Diya Patel</v>
      </c>
      <c r="F561" t="str">
        <f>PROPER(TRIM([1]raw_orders!F561))</f>
        <v>Corporate</v>
      </c>
      <c r="G561" t="str">
        <f>IF(TRIM([1]raw_orders!G561)="","Unknown",PROPER(TRIM([1]raw_orders!G561)))</f>
        <v>East</v>
      </c>
      <c r="H561" t="str">
        <f>PROPER(TRIM([1]raw_orders!H561))</f>
        <v>Bihar</v>
      </c>
      <c r="I561" t="str">
        <f>PROPER(TRIM([1]raw_orders!I561))</f>
        <v>Patna</v>
      </c>
      <c r="J561" t="str">
        <f>PROPER(TRIM([1]raw_orders!J561))</f>
        <v>Technology</v>
      </c>
      <c r="K561" t="str">
        <f>PROPER(TRIM([1]raw_orders!K561))</f>
        <v>Copiers</v>
      </c>
      <c r="L561" t="str">
        <f>[1]raw_orders!L561</f>
        <v>Basic Copiers 512</v>
      </c>
      <c r="M561" t="str">
        <f>IF(TRIM([1]raw_orders!M561)="","Unknown",PROPER(TRIM([1]raw_orders!M561)))</f>
        <v>Second Class</v>
      </c>
      <c r="N561" s="5">
        <f>[1]raw_orders!N561</f>
        <v>5</v>
      </c>
      <c r="O561" s="5">
        <f>[1]raw_orders!O561</f>
        <v>3277.82</v>
      </c>
      <c r="P561" s="5">
        <f>[1]raw_orders!P561</f>
        <v>0.1</v>
      </c>
      <c r="Q561" t="str">
        <f>PROPER(TRIM([1]raw_orders!T561))</f>
        <v>Paid</v>
      </c>
      <c r="R561" t="str">
        <f>PROPER(TRIM([1]raw_orders!U561))</f>
        <v>Returned</v>
      </c>
      <c r="S561" s="5">
        <f>[1]raw_orders!S561</f>
        <v>5267.61</v>
      </c>
      <c r="T561" s="5">
        <f t="shared" si="64"/>
        <v>52.676099999999998</v>
      </c>
      <c r="U561" s="5">
        <f t="shared" si="65"/>
        <v>-846924.77051000006</v>
      </c>
      <c r="V561" s="5">
        <f t="shared" si="66"/>
        <v>-846924.87051000004</v>
      </c>
      <c r="W561" s="5">
        <f t="shared" si="67"/>
        <v>1.0000001180742417</v>
      </c>
      <c r="X561" s="5">
        <f t="shared" si="68"/>
        <v>7</v>
      </c>
      <c r="Y561" s="5">
        <f t="shared" si="69"/>
        <v>9</v>
      </c>
      <c r="Z561" s="5">
        <f t="shared" si="70"/>
        <v>2025</v>
      </c>
      <c r="AA561" t="str">
        <f t="shared" si="71"/>
        <v>Clean</v>
      </c>
    </row>
    <row r="562" spans="1:27" x14ac:dyDescent="0.3">
      <c r="A562" t="str">
        <f>[1]raw_orders!A562</f>
        <v>ORD-2024-10561</v>
      </c>
      <c r="B562" s="4">
        <f>IFERROR(DATEVALUE([1]raw_orders!B562), "Invalid Date")</f>
        <v>45307</v>
      </c>
      <c r="C562" s="4">
        <f>IFERROR(DATEVALUE([1]raw_orders!C562), "Invalid Date")</f>
        <v>45313</v>
      </c>
      <c r="D562" t="str">
        <f>[1]raw_orders!D562</f>
        <v>CUST-9333</v>
      </c>
      <c r="E562" t="str">
        <f>PROPER(TRIM([1]raw_orders!E562))</f>
        <v>Arjun Bose</v>
      </c>
      <c r="F562" t="str">
        <f>PROPER(TRIM([1]raw_orders!F562))</f>
        <v>Consumer</v>
      </c>
      <c r="G562" t="str">
        <f>IF(TRIM([1]raw_orders!G562)="","Unknown",PROPER(TRIM([1]raw_orders!G562)))</f>
        <v>West</v>
      </c>
      <c r="H562" t="str">
        <f>PROPER(TRIM([1]raw_orders!H562))</f>
        <v>Goa</v>
      </c>
      <c r="I562" t="str">
        <f>PROPER(TRIM([1]raw_orders!I562))</f>
        <v>Panaji</v>
      </c>
      <c r="J562" t="str">
        <f>PROPER(TRIM([1]raw_orders!J562))</f>
        <v>Office Supplies</v>
      </c>
      <c r="K562" t="str">
        <f>PROPER(TRIM([1]raw_orders!K562))</f>
        <v>Storage</v>
      </c>
      <c r="L562" t="str">
        <f>[1]raw_orders!L562</f>
        <v>Smart Storage 767</v>
      </c>
      <c r="M562" t="str">
        <f>IF(TRIM([1]raw_orders!M562)="","Unknown",PROPER(TRIM([1]raw_orders!M562)))</f>
        <v>Standard Class</v>
      </c>
      <c r="N562" s="5">
        <f>[1]raw_orders!N562</f>
        <v>4</v>
      </c>
      <c r="O562" s="5">
        <f>[1]raw_orders!O562</f>
        <v>282.52999999999997</v>
      </c>
      <c r="P562" s="5">
        <f>[1]raw_orders!P562</f>
        <v>0</v>
      </c>
      <c r="Q562" t="str">
        <f>PROPER(TRIM([1]raw_orders!T562))</f>
        <v>Paid</v>
      </c>
      <c r="R562" t="str">
        <f>PROPER(TRIM([1]raw_orders!U562))</f>
        <v>Cancelled</v>
      </c>
      <c r="S562" s="5">
        <f>[1]raw_orders!S562</f>
        <v>281.5</v>
      </c>
      <c r="T562" s="5">
        <f t="shared" si="64"/>
        <v>2.8149999999999999</v>
      </c>
      <c r="U562" s="5">
        <f t="shared" si="65"/>
        <v>-2051.1677999999997</v>
      </c>
      <c r="V562" s="5">
        <f t="shared" si="66"/>
        <v>-2051.1677999999997</v>
      </c>
      <c r="W562" s="5">
        <f t="shared" si="67"/>
        <v>1</v>
      </c>
      <c r="X562" s="5">
        <f t="shared" si="68"/>
        <v>6</v>
      </c>
      <c r="Y562" s="5">
        <f t="shared" si="69"/>
        <v>1</v>
      </c>
      <c r="Z562" s="5">
        <f t="shared" si="70"/>
        <v>2024</v>
      </c>
      <c r="AA562" t="str">
        <f t="shared" si="71"/>
        <v>Clean</v>
      </c>
    </row>
    <row r="563" spans="1:27" x14ac:dyDescent="0.3">
      <c r="A563" t="str">
        <f>[1]raw_orders!A563</f>
        <v>ORD-2025-10562</v>
      </c>
      <c r="B563" s="4">
        <f>IFERROR(DATEVALUE([1]raw_orders!B563), "Invalid Date")</f>
        <v>45852</v>
      </c>
      <c r="C563" s="4">
        <f>IFERROR(DATEVALUE([1]raw_orders!C563), "Invalid Date")</f>
        <v>45856</v>
      </c>
      <c r="D563" t="str">
        <f>[1]raw_orders!D563</f>
        <v>CUST-6654</v>
      </c>
      <c r="E563" t="str">
        <f>PROPER(TRIM([1]raw_orders!E563))</f>
        <v>Aditi Sen</v>
      </c>
      <c r="F563" t="str">
        <f>PROPER(TRIM([1]raw_orders!F563))</f>
        <v>Consumer</v>
      </c>
      <c r="G563" t="str">
        <f>IF(TRIM([1]raw_orders!G563)="","Unknown",PROPER(TRIM([1]raw_orders!G563)))</f>
        <v>North</v>
      </c>
      <c r="H563" t="str">
        <f>PROPER(TRIM([1]raw_orders!H563))</f>
        <v>Punjab</v>
      </c>
      <c r="I563" t="str">
        <f>PROPER(TRIM([1]raw_orders!I563))</f>
        <v>Ludhiana</v>
      </c>
      <c r="J563" t="str">
        <f>PROPER(TRIM([1]raw_orders!J563))</f>
        <v>Technology</v>
      </c>
      <c r="K563" t="str">
        <f>PROPER(TRIM([1]raw_orders!K563))</f>
        <v>Copiers</v>
      </c>
      <c r="L563" t="str">
        <f>[1]raw_orders!L563</f>
        <v>Eco Copiers 954</v>
      </c>
      <c r="M563" t="str">
        <f>IF(TRIM([1]raw_orders!M563)="","Unknown",PROPER(TRIM([1]raw_orders!M563)))</f>
        <v>First Class</v>
      </c>
      <c r="N563" s="5">
        <f>[1]raw_orders!N563</f>
        <v>4</v>
      </c>
      <c r="O563" s="5">
        <f>[1]raw_orders!O563</f>
        <v>725.22</v>
      </c>
      <c r="P563" s="5">
        <f>[1]raw_orders!P563</f>
        <v>0</v>
      </c>
      <c r="Q563" t="str">
        <f>PROPER(TRIM([1]raw_orders!T563))</f>
        <v>Pending</v>
      </c>
      <c r="R563" t="str">
        <f>PROPER(TRIM([1]raw_orders!U563))</f>
        <v>Returned</v>
      </c>
      <c r="S563" s="5">
        <f>[1]raw_orders!S563</f>
        <v>509.03</v>
      </c>
      <c r="T563" s="5">
        <f t="shared" si="64"/>
        <v>5.0903</v>
      </c>
      <c r="U563" s="5">
        <f t="shared" si="65"/>
        <v>-11865.469464</v>
      </c>
      <c r="V563" s="5">
        <f t="shared" si="66"/>
        <v>-11865.469464</v>
      </c>
      <c r="W563" s="5">
        <f t="shared" si="67"/>
        <v>1</v>
      </c>
      <c r="X563" s="5">
        <f t="shared" si="68"/>
        <v>4</v>
      </c>
      <c r="Y563" s="5">
        <f t="shared" si="69"/>
        <v>7</v>
      </c>
      <c r="Z563" s="5">
        <f t="shared" si="70"/>
        <v>2025</v>
      </c>
      <c r="AA563" t="str">
        <f t="shared" si="71"/>
        <v>Clean</v>
      </c>
    </row>
    <row r="564" spans="1:27" x14ac:dyDescent="0.3">
      <c r="A564" t="str">
        <f>[1]raw_orders!A564</f>
        <v>ORD-2024-10563</v>
      </c>
      <c r="B564" s="4">
        <f>IFERROR(DATEVALUE([1]raw_orders!B564), "Invalid Date")</f>
        <v>45422</v>
      </c>
      <c r="C564" s="4">
        <f>IFERROR(DATEVALUE([1]raw_orders!C564), "Invalid Date")</f>
        <v>45428</v>
      </c>
      <c r="D564" t="str">
        <f>[1]raw_orders!D564</f>
        <v>CUST-8622</v>
      </c>
      <c r="E564" t="str">
        <f>PROPER(TRIM([1]raw_orders!E564))</f>
        <v>Karan Malhotra</v>
      </c>
      <c r="F564" t="str">
        <f>PROPER(TRIM([1]raw_orders!F564))</f>
        <v>Consumer</v>
      </c>
      <c r="G564" t="str">
        <f>IF(TRIM([1]raw_orders!G564)="","Unknown",PROPER(TRIM([1]raw_orders!G564)))</f>
        <v>North</v>
      </c>
      <c r="H564" t="str">
        <f>PROPER(TRIM([1]raw_orders!H564))</f>
        <v>Punjab</v>
      </c>
      <c r="I564" t="str">
        <f>PROPER(TRIM([1]raw_orders!I564))</f>
        <v>Ludhiana</v>
      </c>
      <c r="J564" t="str">
        <f>PROPER(TRIM([1]raw_orders!J564))</f>
        <v>Office Supplies</v>
      </c>
      <c r="K564" t="str">
        <f>PROPER(TRIM([1]raw_orders!K564))</f>
        <v>Binders</v>
      </c>
      <c r="L564" t="str">
        <f>[1]raw_orders!L564</f>
        <v>Elite Binders 143</v>
      </c>
      <c r="M564" t="str">
        <f>IF(TRIM([1]raw_orders!M564)="","Unknown",PROPER(TRIM([1]raw_orders!M564)))</f>
        <v>Same Day</v>
      </c>
      <c r="N564" s="5">
        <f>[1]raw_orders!N564</f>
        <v>7</v>
      </c>
      <c r="O564" s="5">
        <f>[1]raw_orders!O564</f>
        <v>121.54</v>
      </c>
      <c r="P564" s="5">
        <f>[1]raw_orders!P564</f>
        <v>0.2</v>
      </c>
      <c r="Q564" t="str">
        <f>PROPER(TRIM([1]raw_orders!T564))</f>
        <v>Failed</v>
      </c>
      <c r="R564" t="str">
        <f>PROPER(TRIM([1]raw_orders!U564))</f>
        <v>Returned</v>
      </c>
      <c r="S564" s="5">
        <f>[1]raw_orders!S564</f>
        <v>217.13</v>
      </c>
      <c r="T564" s="5">
        <f t="shared" si="64"/>
        <v>2.1713</v>
      </c>
      <c r="U564" s="5">
        <f t="shared" si="65"/>
        <v>-996.51861400000007</v>
      </c>
      <c r="V564" s="5">
        <f t="shared" si="66"/>
        <v>-996.71861400000012</v>
      </c>
      <c r="W564" s="5">
        <f t="shared" si="67"/>
        <v>1.0002006987096781</v>
      </c>
      <c r="X564" s="5">
        <f t="shared" si="68"/>
        <v>6</v>
      </c>
      <c r="Y564" s="5">
        <f t="shared" si="69"/>
        <v>5</v>
      </c>
      <c r="Z564" s="5">
        <f t="shared" si="70"/>
        <v>2024</v>
      </c>
      <c r="AA564" t="str">
        <f t="shared" si="71"/>
        <v>Clean</v>
      </c>
    </row>
    <row r="565" spans="1:27" x14ac:dyDescent="0.3">
      <c r="A565" t="str">
        <f>[1]raw_orders!A565</f>
        <v>ORD-2024-10564</v>
      </c>
      <c r="B565" s="4">
        <f>IFERROR(DATEVALUE([1]raw_orders!B565), "Invalid Date")</f>
        <v>45448</v>
      </c>
      <c r="C565" s="4">
        <f>IFERROR(DATEVALUE([1]raw_orders!C565), "Invalid Date")</f>
        <v>45424</v>
      </c>
      <c r="D565" t="str">
        <f>[1]raw_orders!D565</f>
        <v>CUST-8776</v>
      </c>
      <c r="E565" t="str">
        <f>PROPER(TRIM([1]raw_orders!E565))</f>
        <v>Arjun Bose</v>
      </c>
      <c r="F565" t="str">
        <f>PROPER(TRIM([1]raw_orders!F565))</f>
        <v>Corporate</v>
      </c>
      <c r="G565" t="str">
        <f>IF(TRIM([1]raw_orders!G565)="","Unknown",PROPER(TRIM([1]raw_orders!G565)))</f>
        <v>West</v>
      </c>
      <c r="H565" t="str">
        <f>PROPER(TRIM([1]raw_orders!H565))</f>
        <v>Goa</v>
      </c>
      <c r="I565" t="str">
        <f>PROPER(TRIM([1]raw_orders!I565))</f>
        <v>Panaji</v>
      </c>
      <c r="J565" t="str">
        <f>PROPER(TRIM([1]raw_orders!J565))</f>
        <v>Furniture</v>
      </c>
      <c r="K565" t="str">
        <f>PROPER(TRIM([1]raw_orders!K565))</f>
        <v>Tables</v>
      </c>
      <c r="L565" t="str">
        <f>[1]raw_orders!L565</f>
        <v>Classic Tables 560</v>
      </c>
      <c r="M565" t="str">
        <f>IF(TRIM([1]raw_orders!M565)="","Unknown",PROPER(TRIM([1]raw_orders!M565)))</f>
        <v>Standard Class</v>
      </c>
      <c r="N565" s="5">
        <f>[1]raw_orders!N565</f>
        <v>9</v>
      </c>
      <c r="O565" s="5">
        <f>[1]raw_orders!O565</f>
        <v>790.97</v>
      </c>
      <c r="P565" s="5">
        <f>[1]raw_orders!P565</f>
        <v>0.2</v>
      </c>
      <c r="Q565" t="str">
        <f>PROPER(TRIM([1]raw_orders!T565))</f>
        <v>Pending</v>
      </c>
      <c r="R565" t="str">
        <f>PROPER(TRIM([1]raw_orders!U565))</f>
        <v>Cancelled</v>
      </c>
      <c r="S565" s="5">
        <f>[1]raw_orders!S565</f>
        <v>1076.6500000000001</v>
      </c>
      <c r="T565" s="5">
        <f t="shared" si="64"/>
        <v>10.766500000000001</v>
      </c>
      <c r="U565" s="5">
        <f t="shared" si="65"/>
        <v>-69525.076545000004</v>
      </c>
      <c r="V565" s="5">
        <f t="shared" si="66"/>
        <v>-69525.276545000001</v>
      </c>
      <c r="W565" s="5">
        <f t="shared" si="67"/>
        <v>1.0000028766599036</v>
      </c>
      <c r="X565" s="5">
        <f t="shared" si="68"/>
        <v>-24</v>
      </c>
      <c r="Y565" s="5">
        <f t="shared" si="69"/>
        <v>6</v>
      </c>
      <c r="Z565" s="5">
        <f t="shared" si="70"/>
        <v>2024</v>
      </c>
      <c r="AA565" t="str">
        <f t="shared" si="71"/>
        <v>Invalid</v>
      </c>
    </row>
    <row r="566" spans="1:27" x14ac:dyDescent="0.3">
      <c r="A566" t="str">
        <f>[1]raw_orders!A566</f>
        <v>ORD-2024-10565</v>
      </c>
      <c r="B566" s="4">
        <f>IFERROR(DATEVALUE([1]raw_orders!B566), "Invalid Date")</f>
        <v>45576</v>
      </c>
      <c r="C566" s="4">
        <f>IFERROR(DATEVALUE([1]raw_orders!C566), "Invalid Date")</f>
        <v>45610</v>
      </c>
      <c r="D566" t="str">
        <f>[1]raw_orders!D566</f>
        <v>CUST-9100</v>
      </c>
      <c r="E566" t="str">
        <f>PROPER(TRIM([1]raw_orders!E566))</f>
        <v>Sneha Kapoor</v>
      </c>
      <c r="F566" t="str">
        <f>PROPER(TRIM([1]raw_orders!F566))</f>
        <v>Corporate</v>
      </c>
      <c r="G566" t="str">
        <f>IF(TRIM([1]raw_orders!G566)="","Unknown",PROPER(TRIM([1]raw_orders!G566)))</f>
        <v>South</v>
      </c>
      <c r="H566" t="str">
        <f>PROPER(TRIM([1]raw_orders!H566))</f>
        <v>Andhra Pradesh</v>
      </c>
      <c r="I566" t="str">
        <f>PROPER(TRIM([1]raw_orders!I566))</f>
        <v>Vijayawada</v>
      </c>
      <c r="J566" t="str">
        <f>PROPER(TRIM([1]raw_orders!J566))</f>
        <v>Furniture</v>
      </c>
      <c r="K566" t="str">
        <f>PROPER(TRIM([1]raw_orders!K566))</f>
        <v>Tables</v>
      </c>
      <c r="L566" t="str">
        <f>[1]raw_orders!L566</f>
        <v>Basic Tables 759</v>
      </c>
      <c r="M566" t="str">
        <f>IF(TRIM([1]raw_orders!M566)="","Unknown",PROPER(TRIM([1]raw_orders!M566)))</f>
        <v>First Class</v>
      </c>
      <c r="N566" s="5">
        <f>[1]raw_orders!N566</f>
        <v>2</v>
      </c>
      <c r="O566" s="5">
        <f>[1]raw_orders!O566</f>
        <v>921.34</v>
      </c>
      <c r="P566" s="5">
        <f>[1]raw_orders!P566</f>
        <v>0.2</v>
      </c>
      <c r="Q566" t="str">
        <f>PROPER(TRIM([1]raw_orders!T566))</f>
        <v>Paid</v>
      </c>
      <c r="R566" t="str">
        <f>PROPER(TRIM([1]raw_orders!U566))</f>
        <v>Completed</v>
      </c>
      <c r="S566" s="5">
        <f>[1]raw_orders!S566</f>
        <v>505.68</v>
      </c>
      <c r="T566" s="5">
        <f t="shared" si="64"/>
        <v>5.0568</v>
      </c>
      <c r="U566" s="5">
        <f t="shared" si="65"/>
        <v>-7475.3842240000004</v>
      </c>
      <c r="V566" s="5">
        <f t="shared" si="66"/>
        <v>-7475.5842240000002</v>
      </c>
      <c r="W566" s="5">
        <f t="shared" si="67"/>
        <v>1.0000267544776305</v>
      </c>
      <c r="X566" s="5">
        <f t="shared" si="68"/>
        <v>34</v>
      </c>
      <c r="Y566" s="5">
        <f t="shared" si="69"/>
        <v>10</v>
      </c>
      <c r="Z566" s="5">
        <f t="shared" si="70"/>
        <v>2024</v>
      </c>
      <c r="AA566" t="str">
        <f t="shared" si="71"/>
        <v>Clean</v>
      </c>
    </row>
    <row r="567" spans="1:27" x14ac:dyDescent="0.3">
      <c r="A567" t="str">
        <f>[1]raw_orders!A567</f>
        <v>ORD-2025-10566</v>
      </c>
      <c r="B567" s="4">
        <f>IFERROR(DATEVALUE([1]raw_orders!B567), "Invalid Date")</f>
        <v>45876</v>
      </c>
      <c r="C567" s="4">
        <f>IFERROR(DATEVALUE([1]raw_orders!C567), "Invalid Date")</f>
        <v>45882</v>
      </c>
      <c r="D567" t="str">
        <f>[1]raw_orders!D567</f>
        <v>CUST-5601</v>
      </c>
      <c r="E567" t="str">
        <f>PROPER(TRIM([1]raw_orders!E567))</f>
        <v>Mira Das</v>
      </c>
      <c r="F567" t="str">
        <f>PROPER(TRIM([1]raw_orders!F567))</f>
        <v>Corporate</v>
      </c>
      <c r="G567" t="str">
        <f>IF(TRIM([1]raw_orders!G567)="","Unknown",PROPER(TRIM([1]raw_orders!G567)))</f>
        <v>North</v>
      </c>
      <c r="H567" t="str">
        <f>PROPER(TRIM([1]raw_orders!H567))</f>
        <v>Delhi</v>
      </c>
      <c r="I567" t="str">
        <f>PROPER(TRIM([1]raw_orders!I567))</f>
        <v>New Delhi</v>
      </c>
      <c r="J567" t="str">
        <f>PROPER(TRIM([1]raw_orders!J567))</f>
        <v>Technology</v>
      </c>
      <c r="K567" t="str">
        <f>PROPER(TRIM([1]raw_orders!K567))</f>
        <v>Phones</v>
      </c>
      <c r="L567" t="str">
        <f>[1]raw_orders!L567</f>
        <v>Prime Phones 564</v>
      </c>
      <c r="M567" t="str">
        <f>IF(TRIM([1]raw_orders!M567)="","Unknown",PROPER(TRIM([1]raw_orders!M567)))</f>
        <v>Standard Class</v>
      </c>
      <c r="N567" s="5">
        <f>[1]raw_orders!N567</f>
        <v>6</v>
      </c>
      <c r="O567" s="5">
        <f>[1]raw_orders!O567</f>
        <v>1921.86</v>
      </c>
      <c r="P567" s="5">
        <f>[1]raw_orders!P567</f>
        <v>0.2</v>
      </c>
      <c r="Q567" t="str">
        <f>PROPER(TRIM([1]raw_orders!T567))</f>
        <v>Refunded</v>
      </c>
      <c r="R567" t="str">
        <f>PROPER(TRIM([1]raw_orders!U567))</f>
        <v>Cancelled</v>
      </c>
      <c r="S567" s="5">
        <f>[1]raw_orders!S567</f>
        <v>2219.73</v>
      </c>
      <c r="T567" s="5">
        <f t="shared" si="64"/>
        <v>22.197299999999998</v>
      </c>
      <c r="U567" s="5">
        <f t="shared" si="65"/>
        <v>-244429.45786799997</v>
      </c>
      <c r="V567" s="5">
        <f t="shared" si="66"/>
        <v>-244429.65786799998</v>
      </c>
      <c r="W567" s="5">
        <f t="shared" si="67"/>
        <v>1.0000008182319831</v>
      </c>
      <c r="X567" s="5">
        <f t="shared" si="68"/>
        <v>6</v>
      </c>
      <c r="Y567" s="5">
        <f t="shared" si="69"/>
        <v>8</v>
      </c>
      <c r="Z567" s="5">
        <f t="shared" si="70"/>
        <v>2025</v>
      </c>
      <c r="AA567" t="str">
        <f t="shared" si="71"/>
        <v>Clean</v>
      </c>
    </row>
    <row r="568" spans="1:27" x14ac:dyDescent="0.3">
      <c r="A568" t="str">
        <f>[1]raw_orders!A568</f>
        <v>ORD-2024-10567</v>
      </c>
      <c r="B568" s="4">
        <f>IFERROR(DATEVALUE([1]raw_orders!B568), "Invalid Date")</f>
        <v>45515</v>
      </c>
      <c r="C568" s="4">
        <f>IFERROR(DATEVALUE([1]raw_orders!C568), "Invalid Date")</f>
        <v>45523</v>
      </c>
      <c r="D568" t="str">
        <f>[1]raw_orders!D568</f>
        <v>CUST-5246</v>
      </c>
      <c r="E568" t="str">
        <f>PROPER(TRIM([1]raw_orders!E568))</f>
        <v>Sneha Kapoor</v>
      </c>
      <c r="F568" t="str">
        <f>PROPER(TRIM([1]raw_orders!F568))</f>
        <v>Small Business</v>
      </c>
      <c r="G568" t="str">
        <f>IF(TRIM([1]raw_orders!G568)="","Unknown",PROPER(TRIM([1]raw_orders!G568)))</f>
        <v>West</v>
      </c>
      <c r="H568" t="str">
        <f>PROPER(TRIM([1]raw_orders!H568))</f>
        <v>Maharashtra</v>
      </c>
      <c r="I568" t="str">
        <f>PROPER(TRIM([1]raw_orders!I568))</f>
        <v>Mumbai</v>
      </c>
      <c r="J568" t="str">
        <f>PROPER(TRIM([1]raw_orders!J568))</f>
        <v>Office Supplies</v>
      </c>
      <c r="K568" t="str">
        <f>PROPER(TRIM([1]raw_orders!K568))</f>
        <v>Paper</v>
      </c>
      <c r="L568" t="str">
        <f>[1]raw_orders!L568</f>
        <v>Smart Paper 807</v>
      </c>
      <c r="M568" t="str">
        <f>IF(TRIM([1]raw_orders!M568)="","Unknown",PROPER(TRIM([1]raw_orders!M568)))</f>
        <v>Same Day</v>
      </c>
      <c r="N568" s="5">
        <f>[1]raw_orders!N568</f>
        <v>2</v>
      </c>
      <c r="O568" s="5">
        <f>[1]raw_orders!O568</f>
        <v>2617.89</v>
      </c>
      <c r="P568" s="5">
        <f>[1]raw_orders!P568</f>
        <v>0.1</v>
      </c>
      <c r="Q568" t="str">
        <f>PROPER(TRIM([1]raw_orders!T568))</f>
        <v>Failed</v>
      </c>
      <c r="R568" t="str">
        <f>PROPER(TRIM([1]raw_orders!U568))</f>
        <v>Returned</v>
      </c>
      <c r="S568" s="5">
        <f>[1]raw_orders!S568</f>
        <v>860.29</v>
      </c>
      <c r="T568" s="5">
        <f t="shared" si="64"/>
        <v>8.6029</v>
      </c>
      <c r="U568" s="5">
        <f t="shared" si="65"/>
        <v>-39807.111762</v>
      </c>
      <c r="V568" s="5">
        <f t="shared" si="66"/>
        <v>-39807.211761999999</v>
      </c>
      <c r="W568" s="5">
        <f t="shared" si="67"/>
        <v>1.0000025121139307</v>
      </c>
      <c r="X568" s="5">
        <f t="shared" si="68"/>
        <v>8</v>
      </c>
      <c r="Y568" s="5">
        <f t="shared" si="69"/>
        <v>8</v>
      </c>
      <c r="Z568" s="5">
        <f t="shared" si="70"/>
        <v>2024</v>
      </c>
      <c r="AA568" t="str">
        <f t="shared" si="71"/>
        <v>Clean</v>
      </c>
    </row>
    <row r="569" spans="1:27" x14ac:dyDescent="0.3">
      <c r="A569" t="str">
        <f>[1]raw_orders!A569</f>
        <v>ORD-2024-10568</v>
      </c>
      <c r="B569" s="4">
        <f>IFERROR(DATEVALUE([1]raw_orders!B569), "Invalid Date")</f>
        <v>45328</v>
      </c>
      <c r="C569" s="4">
        <f>IFERROR(DATEVALUE([1]raw_orders!C569), "Invalid Date")</f>
        <v>45332</v>
      </c>
      <c r="D569" t="str">
        <f>[1]raw_orders!D569</f>
        <v>CUST-3128</v>
      </c>
      <c r="E569" t="str">
        <f>PROPER(TRIM([1]raw_orders!E569))</f>
        <v>Arjun Bose</v>
      </c>
      <c r="F569" t="str">
        <f>PROPER(TRIM([1]raw_orders!F569))</f>
        <v>Home Office</v>
      </c>
      <c r="G569" t="str">
        <f>IF(TRIM([1]raw_orders!G569)="","Unknown",PROPER(TRIM([1]raw_orders!G569)))</f>
        <v>North</v>
      </c>
      <c r="H569" t="str">
        <f>PROPER(TRIM([1]raw_orders!H569))</f>
        <v>Uttar Pradesh</v>
      </c>
      <c r="I569" t="str">
        <f>PROPER(TRIM([1]raw_orders!I569))</f>
        <v>Noida</v>
      </c>
      <c r="J569" t="str">
        <f>PROPER(TRIM([1]raw_orders!J569))</f>
        <v>Furniture</v>
      </c>
      <c r="K569" t="str">
        <f>PROPER(TRIM([1]raw_orders!K569))</f>
        <v>Furnishings</v>
      </c>
      <c r="L569" t="str">
        <f>[1]raw_orders!L569</f>
        <v>Pro Furnishings 108</v>
      </c>
      <c r="M569" t="str">
        <f>IF(TRIM([1]raw_orders!M569)="","Unknown",PROPER(TRIM([1]raw_orders!M569)))</f>
        <v>Same Day</v>
      </c>
      <c r="N569" s="5">
        <f>[1]raw_orders!N569</f>
        <v>1</v>
      </c>
      <c r="O569" s="5">
        <f>[1]raw_orders!O569</f>
        <v>1374.06</v>
      </c>
      <c r="P569" s="5">
        <f>[1]raw_orders!P569</f>
        <v>0.05</v>
      </c>
      <c r="Q569" t="str">
        <f>PROPER(TRIM([1]raw_orders!T569))</f>
        <v>Paid</v>
      </c>
      <c r="R569" t="str">
        <f>PROPER(TRIM([1]raw_orders!U569))</f>
        <v>Completed</v>
      </c>
      <c r="S569" s="5">
        <f>[1]raw_orders!S569</f>
        <v>573.47</v>
      </c>
      <c r="T569" s="5">
        <f t="shared" si="64"/>
        <v>5.7347000000000001</v>
      </c>
      <c r="U569" s="5">
        <f t="shared" si="65"/>
        <v>-6505.7618819999998</v>
      </c>
      <c r="V569" s="5">
        <f t="shared" si="66"/>
        <v>-6505.811882</v>
      </c>
      <c r="W569" s="5">
        <f t="shared" si="67"/>
        <v>1.0000076854949362</v>
      </c>
      <c r="X569" s="5">
        <f t="shared" si="68"/>
        <v>4</v>
      </c>
      <c r="Y569" s="5">
        <f t="shared" si="69"/>
        <v>2</v>
      </c>
      <c r="Z569" s="5">
        <f t="shared" si="70"/>
        <v>2024</v>
      </c>
      <c r="AA569" t="str">
        <f t="shared" si="71"/>
        <v>Clean</v>
      </c>
    </row>
    <row r="570" spans="1:27" x14ac:dyDescent="0.3">
      <c r="A570" t="str">
        <f>[1]raw_orders!A570</f>
        <v>ORD-2024-10569</v>
      </c>
      <c r="B570" s="4">
        <f>IFERROR(DATEVALUE([1]raw_orders!B570), "Invalid Date")</f>
        <v>45312</v>
      </c>
      <c r="C570" s="4">
        <f>IFERROR(DATEVALUE([1]raw_orders!C570), "Invalid Date")</f>
        <v>45315</v>
      </c>
      <c r="D570" t="str">
        <f>[1]raw_orders!D570</f>
        <v>CUST-4604</v>
      </c>
      <c r="E570" t="str">
        <f>PROPER(TRIM([1]raw_orders!E570))</f>
        <v>Kabir Singh</v>
      </c>
      <c r="F570" t="str">
        <f>PROPER(TRIM([1]raw_orders!F570))</f>
        <v>Corporate</v>
      </c>
      <c r="G570" t="str">
        <f>IF(TRIM([1]raw_orders!G570)="","Unknown",PROPER(TRIM([1]raw_orders!G570)))</f>
        <v>North</v>
      </c>
      <c r="H570" t="str">
        <f>PROPER(TRIM([1]raw_orders!H570))</f>
        <v>Punjab</v>
      </c>
      <c r="I570" t="str">
        <f>PROPER(TRIM([1]raw_orders!I570))</f>
        <v>Ludhiana</v>
      </c>
      <c r="J570" t="str">
        <f>PROPER(TRIM([1]raw_orders!J570))</f>
        <v>Technology</v>
      </c>
      <c r="K570" t="str">
        <f>PROPER(TRIM([1]raw_orders!K570))</f>
        <v>Machines</v>
      </c>
      <c r="L570" t="str">
        <f>[1]raw_orders!L570</f>
        <v>Classic Machines 522</v>
      </c>
      <c r="M570" t="str">
        <f>IF(TRIM([1]raw_orders!M570)="","Unknown",PROPER(TRIM([1]raw_orders!M570)))</f>
        <v>Same Day</v>
      </c>
      <c r="N570" s="5">
        <f>[1]raw_orders!N570</f>
        <v>1</v>
      </c>
      <c r="O570" s="5">
        <f>[1]raw_orders!O570</f>
        <v>3806.3</v>
      </c>
      <c r="P570" s="5">
        <f>[1]raw_orders!P570</f>
        <v>0.25</v>
      </c>
      <c r="Q570" t="str">
        <f>PROPER(TRIM([1]raw_orders!T570))</f>
        <v>Paid</v>
      </c>
      <c r="R570" t="str">
        <f>PROPER(TRIM([1]raw_orders!U570))</f>
        <v>Completed</v>
      </c>
      <c r="S570" s="5">
        <f>[1]raw_orders!S570</f>
        <v>886.61</v>
      </c>
      <c r="T570" s="5">
        <f t="shared" si="64"/>
        <v>8.8660999999999994</v>
      </c>
      <c r="U570" s="5">
        <f t="shared" si="65"/>
        <v>-29940.736430000001</v>
      </c>
      <c r="V570" s="5">
        <f t="shared" si="66"/>
        <v>-29940.986430000001</v>
      </c>
      <c r="W570" s="5">
        <f t="shared" si="67"/>
        <v>1.0000083498280206</v>
      </c>
      <c r="X570" s="5">
        <f t="shared" si="68"/>
        <v>3</v>
      </c>
      <c r="Y570" s="5">
        <f t="shared" si="69"/>
        <v>1</v>
      </c>
      <c r="Z570" s="5">
        <f t="shared" si="70"/>
        <v>2024</v>
      </c>
      <c r="AA570" t="str">
        <f t="shared" si="71"/>
        <v>Clean</v>
      </c>
    </row>
    <row r="571" spans="1:27" x14ac:dyDescent="0.3">
      <c r="A571" t="str">
        <f>[1]raw_orders!A571</f>
        <v>ORD-2025-10570</v>
      </c>
      <c r="B571" s="4">
        <f>IFERROR(DATEVALUE([1]raw_orders!B571), "Invalid Date")</f>
        <v>45878</v>
      </c>
      <c r="C571" s="4">
        <f>IFERROR(DATEVALUE([1]raw_orders!C571), "Invalid Date")</f>
        <v>45910</v>
      </c>
      <c r="D571" t="str">
        <f>[1]raw_orders!D571</f>
        <v>CUST-2586</v>
      </c>
      <c r="E571" t="str">
        <f>PROPER(TRIM([1]raw_orders!E571))</f>
        <v>Rahul Verma</v>
      </c>
      <c r="F571" t="str">
        <f>PROPER(TRIM([1]raw_orders!F571))</f>
        <v>Home Office</v>
      </c>
      <c r="G571" t="str">
        <f>IF(TRIM([1]raw_orders!G571)="","Unknown",PROPER(TRIM([1]raw_orders!G571)))</f>
        <v>West</v>
      </c>
      <c r="H571" t="str">
        <f>PROPER(TRIM([1]raw_orders!H571))</f>
        <v>Maharashtra</v>
      </c>
      <c r="I571" t="str">
        <f>PROPER(TRIM([1]raw_orders!I571))</f>
        <v>Mumbai</v>
      </c>
      <c r="J571" t="str">
        <f>PROPER(TRIM([1]raw_orders!J571))</f>
        <v>Furniture</v>
      </c>
      <c r="K571" t="str">
        <f>PROPER(TRIM([1]raw_orders!K571))</f>
        <v>Furnishings</v>
      </c>
      <c r="L571" t="str">
        <f>[1]raw_orders!L571</f>
        <v>Elite Furnishings 822</v>
      </c>
      <c r="M571" t="str">
        <f>IF(TRIM([1]raw_orders!M571)="","Unknown",PROPER(TRIM([1]raw_orders!M571)))</f>
        <v>Standard Class</v>
      </c>
      <c r="N571" s="5">
        <f>[1]raw_orders!N571</f>
        <v>6</v>
      </c>
      <c r="O571" s="5">
        <f>[1]raw_orders!O571</f>
        <v>3251.17</v>
      </c>
      <c r="P571" s="5">
        <f>[1]raw_orders!P571</f>
        <v>0.25</v>
      </c>
      <c r="Q571" t="str">
        <f>PROPER(TRIM([1]raw_orders!T571))</f>
        <v>Refunded</v>
      </c>
      <c r="R571" t="str">
        <f>PROPER(TRIM([1]raw_orders!U571))</f>
        <v>Returned</v>
      </c>
      <c r="S571" s="5">
        <f>[1]raw_orders!S571</f>
        <v>2723.9</v>
      </c>
      <c r="T571" s="5">
        <f t="shared" si="64"/>
        <v>27.239000000000001</v>
      </c>
      <c r="U571" s="5">
        <f t="shared" si="65"/>
        <v>-511844.69778000005</v>
      </c>
      <c r="V571" s="5">
        <f t="shared" si="66"/>
        <v>-511844.94778000005</v>
      </c>
      <c r="W571" s="5">
        <f t="shared" si="67"/>
        <v>1.0000004884294027</v>
      </c>
      <c r="X571" s="5">
        <f t="shared" si="68"/>
        <v>32</v>
      </c>
      <c r="Y571" s="5">
        <f t="shared" si="69"/>
        <v>8</v>
      </c>
      <c r="Z571" s="5">
        <f t="shared" si="70"/>
        <v>2025</v>
      </c>
      <c r="AA571" t="str">
        <f t="shared" si="71"/>
        <v>Clean</v>
      </c>
    </row>
    <row r="572" spans="1:27" x14ac:dyDescent="0.3">
      <c r="A572" t="str">
        <f>[1]raw_orders!A572</f>
        <v>ORD-2025-10571</v>
      </c>
      <c r="B572" s="4">
        <f>IFERROR(DATEVALUE([1]raw_orders!B572), "Invalid Date")</f>
        <v>45887</v>
      </c>
      <c r="C572" s="4" t="str">
        <f>IFERROR(DATEVALUE([1]raw_orders!C572), "Invalid Date")</f>
        <v>Invalid Date</v>
      </c>
      <c r="D572" t="str">
        <f>[1]raw_orders!D572</f>
        <v>CUST-6585</v>
      </c>
      <c r="E572" t="str">
        <f>PROPER(TRIM([1]raw_orders!E572))</f>
        <v>Arjun Bose</v>
      </c>
      <c r="F572" t="str">
        <f>PROPER(TRIM([1]raw_orders!F572))</f>
        <v>Consumer</v>
      </c>
      <c r="G572" t="str">
        <f>IF(TRIM([1]raw_orders!G572)="","Unknown",PROPER(TRIM([1]raw_orders!G572)))</f>
        <v>East</v>
      </c>
      <c r="H572" t="str">
        <f>PROPER(TRIM([1]raw_orders!H572))</f>
        <v>Jharkhand</v>
      </c>
      <c r="I572" t="str">
        <f>PROPER(TRIM([1]raw_orders!I572))</f>
        <v>Ranchi</v>
      </c>
      <c r="J572" t="str">
        <f>PROPER(TRIM([1]raw_orders!J572))</f>
        <v>Furniture</v>
      </c>
      <c r="K572" t="str">
        <f>PROPER(TRIM([1]raw_orders!K572))</f>
        <v>Furnishings</v>
      </c>
      <c r="L572" t="str">
        <f>[1]raw_orders!L572</f>
        <v>Max Furnishings 647</v>
      </c>
      <c r="M572" t="str">
        <f>IF(TRIM([1]raw_orders!M572)="","Unknown",PROPER(TRIM([1]raw_orders!M572)))</f>
        <v>Second Class</v>
      </c>
      <c r="N572" s="5">
        <f>[1]raw_orders!N572</f>
        <v>3</v>
      </c>
      <c r="O572" s="5">
        <f>[1]raw_orders!O572</f>
        <v>3946.44</v>
      </c>
      <c r="P572" s="5">
        <f>[1]raw_orders!P572</f>
        <v>0.25</v>
      </c>
      <c r="Q572" t="str">
        <f>PROPER(TRIM([1]raw_orders!T572))</f>
        <v>Failed</v>
      </c>
      <c r="R572" t="str">
        <f>PROPER(TRIM([1]raw_orders!U572))</f>
        <v>Returned</v>
      </c>
      <c r="S572" s="5">
        <f>[1]raw_orders!S572</f>
        <v>2534.92</v>
      </c>
      <c r="T572" s="5">
        <f t="shared" si="64"/>
        <v>25.3492</v>
      </c>
      <c r="U572" s="5">
        <f t="shared" si="65"/>
        <v>-288277.97054399998</v>
      </c>
      <c r="V572" s="5">
        <f t="shared" si="66"/>
        <v>-288278.22054399998</v>
      </c>
      <c r="W572" s="5">
        <f t="shared" si="67"/>
        <v>1.0000008672185374</v>
      </c>
      <c r="X572" s="5" t="str">
        <f t="shared" si="68"/>
        <v>Invalid Date</v>
      </c>
      <c r="Y572" s="5">
        <f t="shared" si="69"/>
        <v>8</v>
      </c>
      <c r="Z572" s="5">
        <f t="shared" si="70"/>
        <v>2025</v>
      </c>
      <c r="AA572" t="str">
        <f t="shared" si="71"/>
        <v>Clean</v>
      </c>
    </row>
    <row r="573" spans="1:27" x14ac:dyDescent="0.3">
      <c r="A573" t="str">
        <f>[1]raw_orders!A573</f>
        <v>ORD-2025-10572</v>
      </c>
      <c r="B573" s="4">
        <f>IFERROR(DATEVALUE([1]raw_orders!B573), "Invalid Date")</f>
        <v>45698</v>
      </c>
      <c r="C573" s="4">
        <f>IFERROR(DATEVALUE([1]raw_orders!C573), "Invalid Date")</f>
        <v>45702</v>
      </c>
      <c r="D573" t="str">
        <f>[1]raw_orders!D573</f>
        <v>CUST-3425</v>
      </c>
      <c r="E573" t="str">
        <f>PROPER(TRIM([1]raw_orders!E573))</f>
        <v>Priya Menon</v>
      </c>
      <c r="F573" t="str">
        <f>PROPER(TRIM([1]raw_orders!F573))</f>
        <v>Small Business</v>
      </c>
      <c r="G573" t="str">
        <f>IF(TRIM([1]raw_orders!G573)="","Unknown",PROPER(TRIM([1]raw_orders!G573)))</f>
        <v>North</v>
      </c>
      <c r="H573" t="str">
        <f>PROPER(TRIM([1]raw_orders!H573))</f>
        <v>Uttar Pradesh</v>
      </c>
      <c r="I573" t="str">
        <f>PROPER(TRIM([1]raw_orders!I573))</f>
        <v>Noida</v>
      </c>
      <c r="J573" t="str">
        <f>PROPER(TRIM([1]raw_orders!J573))</f>
        <v>Technology</v>
      </c>
      <c r="K573" t="str">
        <f>PROPER(TRIM([1]raw_orders!K573))</f>
        <v>Phones</v>
      </c>
      <c r="L573" t="str">
        <f>[1]raw_orders!L573</f>
        <v>Prime Phones 895</v>
      </c>
      <c r="M573" t="str">
        <f>IF(TRIM([1]raw_orders!M573)="","Unknown",PROPER(TRIM([1]raw_orders!M573)))</f>
        <v>Unknown</v>
      </c>
      <c r="N573" s="5">
        <f>[1]raw_orders!N573</f>
        <v>5</v>
      </c>
      <c r="O573" s="5">
        <f>[1]raw_orders!O573</f>
        <v>4276.29</v>
      </c>
      <c r="P573" s="5">
        <f>[1]raw_orders!P573</f>
        <v>0</v>
      </c>
      <c r="Q573" t="str">
        <f>PROPER(TRIM([1]raw_orders!T573))</f>
        <v>Failed</v>
      </c>
      <c r="R573" t="str">
        <f>PROPER(TRIM([1]raw_orders!U573))</f>
        <v>Returned</v>
      </c>
      <c r="S573" s="5">
        <f>[1]raw_orders!S573</f>
        <v>8141.24</v>
      </c>
      <c r="T573" s="5">
        <f t="shared" si="64"/>
        <v>81.412399999999991</v>
      </c>
      <c r="U573" s="5">
        <f t="shared" si="65"/>
        <v>-1719333.7099799998</v>
      </c>
      <c r="V573" s="5">
        <f t="shared" si="66"/>
        <v>-1719333.7099799998</v>
      </c>
      <c r="W573" s="5">
        <f t="shared" si="67"/>
        <v>1</v>
      </c>
      <c r="X573" s="5">
        <f t="shared" si="68"/>
        <v>4</v>
      </c>
      <c r="Y573" s="5">
        <f t="shared" si="69"/>
        <v>2</v>
      </c>
      <c r="Z573" s="5">
        <f t="shared" si="70"/>
        <v>2025</v>
      </c>
      <c r="AA573" t="str">
        <f t="shared" si="71"/>
        <v>Warning</v>
      </c>
    </row>
    <row r="574" spans="1:27" x14ac:dyDescent="0.3">
      <c r="A574" t="str">
        <f>[1]raw_orders!A574</f>
        <v>ORD-2024-10573</v>
      </c>
      <c r="B574" s="4">
        <f>IFERROR(DATEVALUE([1]raw_orders!B574), "Invalid Date")</f>
        <v>45323</v>
      </c>
      <c r="C574" s="4">
        <f>IFERROR(DATEVALUE([1]raw_orders!C574), "Invalid Date")</f>
        <v>45300</v>
      </c>
      <c r="D574" t="str">
        <f>[1]raw_orders!D574</f>
        <v>CUST-8633</v>
      </c>
      <c r="E574" t="str">
        <f>PROPER(TRIM([1]raw_orders!E574))</f>
        <v>Diya Patel</v>
      </c>
      <c r="F574" t="str">
        <f>PROPER(TRIM([1]raw_orders!F574))</f>
        <v>Corporate</v>
      </c>
      <c r="G574" t="str">
        <f>IF(TRIM([1]raw_orders!G574)="","Unknown",PROPER(TRIM([1]raw_orders!G574)))</f>
        <v>North</v>
      </c>
      <c r="H574" t="str">
        <f>PROPER(TRIM([1]raw_orders!H574))</f>
        <v>Delhi</v>
      </c>
      <c r="I574" t="str">
        <f>PROPER(TRIM([1]raw_orders!I574))</f>
        <v>New Delhi</v>
      </c>
      <c r="J574" t="str">
        <f>PROPER(TRIM([1]raw_orders!J574))</f>
        <v>Technology</v>
      </c>
      <c r="K574" t="str">
        <f>PROPER(TRIM([1]raw_orders!K574))</f>
        <v>Phones</v>
      </c>
      <c r="L574" t="str">
        <f>[1]raw_orders!L574</f>
        <v>Eco Phones 368</v>
      </c>
      <c r="M574" t="str">
        <f>IF(TRIM([1]raw_orders!M574)="","Unknown",PROPER(TRIM([1]raw_orders!M574)))</f>
        <v>Standard Class</v>
      </c>
      <c r="N574" s="5">
        <f>[1]raw_orders!N574</f>
        <v>3</v>
      </c>
      <c r="O574" s="5">
        <f>[1]raw_orders!O574</f>
        <v>739.56</v>
      </c>
      <c r="P574" s="5">
        <f>[1]raw_orders!P574</f>
        <v>0.2</v>
      </c>
      <c r="Q574" t="str">
        <f>PROPER(TRIM([1]raw_orders!T574))</f>
        <v>Paid</v>
      </c>
      <c r="R574" t="str">
        <f>PROPER(TRIM([1]raw_orders!U574))</f>
        <v>Completed</v>
      </c>
      <c r="S574" s="5">
        <f>[1]raw_orders!S574</f>
        <v>767.54</v>
      </c>
      <c r="T574" s="5">
        <f t="shared" si="64"/>
        <v>7.6753999999999998</v>
      </c>
      <c r="U574" s="5">
        <f t="shared" si="65"/>
        <v>-14810.576471999999</v>
      </c>
      <c r="V574" s="5">
        <f t="shared" si="66"/>
        <v>-14810.776472</v>
      </c>
      <c r="W574" s="5">
        <f t="shared" si="67"/>
        <v>1.0000135038632951</v>
      </c>
      <c r="X574" s="5">
        <f t="shared" si="68"/>
        <v>-23</v>
      </c>
      <c r="Y574" s="5">
        <f t="shared" si="69"/>
        <v>2</v>
      </c>
      <c r="Z574" s="5">
        <f t="shared" si="70"/>
        <v>2024</v>
      </c>
      <c r="AA574" t="str">
        <f t="shared" si="71"/>
        <v>Invalid</v>
      </c>
    </row>
    <row r="575" spans="1:27" x14ac:dyDescent="0.3">
      <c r="A575" t="str">
        <f>[1]raw_orders!A575</f>
        <v>ORD-2025-10574</v>
      </c>
      <c r="B575" s="4" t="str">
        <f>IFERROR(DATEVALUE([1]raw_orders!B575), "Invalid Date")</f>
        <v>Invalid Date</v>
      </c>
      <c r="C575" s="4" t="str">
        <f>IFERROR(DATEVALUE([1]raw_orders!C575), "Invalid Date")</f>
        <v>Invalid Date</v>
      </c>
      <c r="D575" t="str">
        <f>[1]raw_orders!D575</f>
        <v>CUST-8243</v>
      </c>
      <c r="E575" t="str">
        <f>PROPER(TRIM([1]raw_orders!E575))</f>
        <v>Isha Nair</v>
      </c>
      <c r="F575" t="str">
        <f>PROPER(TRIM([1]raw_orders!F575))</f>
        <v>Consumer</v>
      </c>
      <c r="G575" t="str">
        <f>IF(TRIM([1]raw_orders!G575)="","Unknown",PROPER(TRIM([1]raw_orders!G575)))</f>
        <v>South</v>
      </c>
      <c r="H575" t="str">
        <f>PROPER(TRIM([1]raw_orders!H575))</f>
        <v>Andhra Pradesh</v>
      </c>
      <c r="I575" t="str">
        <f>PROPER(TRIM([1]raw_orders!I575))</f>
        <v>Vijayawada</v>
      </c>
      <c r="J575" t="str">
        <f>PROPER(TRIM([1]raw_orders!J575))</f>
        <v>Technology</v>
      </c>
      <c r="K575" t="str">
        <f>PROPER(TRIM([1]raw_orders!K575))</f>
        <v>Phones</v>
      </c>
      <c r="L575" t="str">
        <f>[1]raw_orders!L575</f>
        <v>Pro Phones 644</v>
      </c>
      <c r="M575" t="str">
        <f>IF(TRIM([1]raw_orders!M575)="","Unknown",PROPER(TRIM([1]raw_orders!M575)))</f>
        <v>Standard Class</v>
      </c>
      <c r="N575" s="5">
        <f>[1]raw_orders!N575</f>
        <v>1</v>
      </c>
      <c r="O575" s="5">
        <f>[1]raw_orders!O575</f>
        <v>573.65</v>
      </c>
      <c r="P575" s="5">
        <f>[1]raw_orders!P575</f>
        <v>0</v>
      </c>
      <c r="Q575" t="str">
        <f>PROPER(TRIM([1]raw_orders!T575))</f>
        <v>Paid</v>
      </c>
      <c r="R575" t="str">
        <f>PROPER(TRIM([1]raw_orders!U575))</f>
        <v>Completed</v>
      </c>
      <c r="S575" s="5">
        <f>[1]raw_orders!S575</f>
        <v>250.98</v>
      </c>
      <c r="T575" s="5">
        <f t="shared" si="64"/>
        <v>2.5097999999999998</v>
      </c>
      <c r="U575" s="5">
        <f t="shared" si="65"/>
        <v>-866.09676999999988</v>
      </c>
      <c r="V575" s="5">
        <f t="shared" si="66"/>
        <v>-866.09676999999988</v>
      </c>
      <c r="W575" s="5">
        <f t="shared" si="67"/>
        <v>1</v>
      </c>
      <c r="X575" s="5" t="str">
        <f t="shared" si="68"/>
        <v>Invalid Date</v>
      </c>
      <c r="Y575" s="5" t="e">
        <f t="shared" si="69"/>
        <v>#VALUE!</v>
      </c>
      <c r="Z575" s="5" t="e">
        <f t="shared" si="70"/>
        <v>#VALUE!</v>
      </c>
      <c r="AA575" t="str">
        <f t="shared" si="71"/>
        <v>Clean</v>
      </c>
    </row>
    <row r="576" spans="1:27" x14ac:dyDescent="0.3">
      <c r="A576" t="str">
        <f>[1]raw_orders!A576</f>
        <v>ORD-2024-10575</v>
      </c>
      <c r="B576" s="4">
        <f>IFERROR(DATEVALUE([1]raw_orders!B576), "Invalid Date")</f>
        <v>45342</v>
      </c>
      <c r="C576" s="4">
        <f>IFERROR(DATEVALUE([1]raw_orders!C576), "Invalid Date")</f>
        <v>45347</v>
      </c>
      <c r="D576" t="str">
        <f>[1]raw_orders!D576</f>
        <v>CUST-9139</v>
      </c>
      <c r="E576" t="str">
        <f>PROPER(TRIM([1]raw_orders!E576))</f>
        <v>Diya Patel</v>
      </c>
      <c r="F576" t="str">
        <f>PROPER(TRIM([1]raw_orders!F576))</f>
        <v>Home Office</v>
      </c>
      <c r="G576" t="str">
        <f>IF(TRIM([1]raw_orders!G576)="","Unknown",PROPER(TRIM([1]raw_orders!G576)))</f>
        <v>North</v>
      </c>
      <c r="H576" t="str">
        <f>PROPER(TRIM([1]raw_orders!H576))</f>
        <v>Punjab</v>
      </c>
      <c r="I576" t="str">
        <f>PROPER(TRIM([1]raw_orders!I576))</f>
        <v>Ludhiana</v>
      </c>
      <c r="J576" t="str">
        <f>PROPER(TRIM([1]raw_orders!J576))</f>
        <v>Technology</v>
      </c>
      <c r="K576" t="str">
        <f>PROPER(TRIM([1]raw_orders!K576))</f>
        <v>Machines</v>
      </c>
      <c r="L576" t="str">
        <f>[1]raw_orders!L576</f>
        <v>Smart Machines 566</v>
      </c>
      <c r="M576" t="str">
        <f>IF(TRIM([1]raw_orders!M576)="","Unknown",PROPER(TRIM([1]raw_orders!M576)))</f>
        <v>Standard Class</v>
      </c>
      <c r="N576" s="5">
        <f>[1]raw_orders!N576</f>
        <v>4</v>
      </c>
      <c r="O576" s="5">
        <f>[1]raw_orders!O576</f>
        <v>1355.8</v>
      </c>
      <c r="P576" s="5">
        <f>[1]raw_orders!P576</f>
        <v>0</v>
      </c>
      <c r="Q576" t="str">
        <f>PROPER(TRIM([1]raw_orders!T576))</f>
        <v>Paid</v>
      </c>
      <c r="R576" t="str">
        <f>PROPER(TRIM([1]raw_orders!U576))</f>
        <v>Completed</v>
      </c>
      <c r="S576" s="5">
        <f>[1]raw_orders!S576</f>
        <v>1350.76</v>
      </c>
      <c r="T576" s="5">
        <f t="shared" si="64"/>
        <v>13.5076</v>
      </c>
      <c r="U576" s="5">
        <f t="shared" si="65"/>
        <v>-67831.216319999992</v>
      </c>
      <c r="V576" s="5">
        <f t="shared" si="66"/>
        <v>-67831.216319999992</v>
      </c>
      <c r="W576" s="5">
        <f t="shared" si="67"/>
        <v>1</v>
      </c>
      <c r="X576" s="5">
        <f t="shared" si="68"/>
        <v>5</v>
      </c>
      <c r="Y576" s="5">
        <f t="shared" si="69"/>
        <v>2</v>
      </c>
      <c r="Z576" s="5">
        <f t="shared" si="70"/>
        <v>2024</v>
      </c>
      <c r="AA576" t="str">
        <f t="shared" si="71"/>
        <v>Clean</v>
      </c>
    </row>
    <row r="577" spans="1:27" x14ac:dyDescent="0.3">
      <c r="A577" t="str">
        <f>[1]raw_orders!A577</f>
        <v>ORD-2025-10576</v>
      </c>
      <c r="B577" s="4">
        <f>IFERROR(DATEVALUE([1]raw_orders!B577), "Invalid Date")</f>
        <v>45727</v>
      </c>
      <c r="C577" s="4">
        <f>IFERROR(DATEVALUE([1]raw_orders!C577), "Invalid Date")</f>
        <v>45730</v>
      </c>
      <c r="D577" t="str">
        <f>[1]raw_orders!D577</f>
        <v>CUST-5496</v>
      </c>
      <c r="E577" t="str">
        <f>PROPER(TRIM([1]raw_orders!E577))</f>
        <v>Sneha Kapoor</v>
      </c>
      <c r="F577" t="str">
        <f>PROPER(TRIM([1]raw_orders!F577))</f>
        <v>Home Office</v>
      </c>
      <c r="G577" t="str">
        <f>IF(TRIM([1]raw_orders!G577)="","Unknown",PROPER(TRIM([1]raw_orders!G577)))</f>
        <v>South</v>
      </c>
      <c r="H577" t="str">
        <f>PROPER(TRIM([1]raw_orders!H577))</f>
        <v>Kerala</v>
      </c>
      <c r="I577" t="str">
        <f>PROPER(TRIM([1]raw_orders!I577))</f>
        <v>Kochi</v>
      </c>
      <c r="J577" t="str">
        <f>PROPER(TRIM([1]raw_orders!J577))</f>
        <v>Furniture</v>
      </c>
      <c r="K577" t="str">
        <f>PROPER(TRIM([1]raw_orders!K577))</f>
        <v>Furnishings</v>
      </c>
      <c r="L577" t="str">
        <f>[1]raw_orders!L577</f>
        <v>Elite Furnishings 173</v>
      </c>
      <c r="M577" t="str">
        <f>IF(TRIM([1]raw_orders!M577)="","Unknown",PROPER(TRIM([1]raw_orders!M577)))</f>
        <v>Same Day</v>
      </c>
      <c r="N577" s="5">
        <f>[1]raw_orders!N577</f>
        <v>4</v>
      </c>
      <c r="O577" s="5">
        <f>[1]raw_orders!O577</f>
        <v>1244.82</v>
      </c>
      <c r="P577" s="5">
        <f>[1]raw_orders!P577</f>
        <v>0.2</v>
      </c>
      <c r="Q577" t="str">
        <f>PROPER(TRIM([1]raw_orders!T577))</f>
        <v>Failed</v>
      </c>
      <c r="R577" t="str">
        <f>PROPER(TRIM([1]raw_orders!U577))</f>
        <v>Returned</v>
      </c>
      <c r="S577" s="5">
        <f>[1]raw_orders!S577</f>
        <v>808.51</v>
      </c>
      <c r="T577" s="5">
        <f t="shared" si="64"/>
        <v>8.0851000000000006</v>
      </c>
      <c r="U577" s="5">
        <f t="shared" si="65"/>
        <v>-35278.696728000003</v>
      </c>
      <c r="V577" s="5">
        <f t="shared" si="66"/>
        <v>-35278.896728</v>
      </c>
      <c r="W577" s="5">
        <f t="shared" si="67"/>
        <v>1.0000056691436632</v>
      </c>
      <c r="X577" s="5">
        <f t="shared" si="68"/>
        <v>3</v>
      </c>
      <c r="Y577" s="5">
        <f t="shared" si="69"/>
        <v>3</v>
      </c>
      <c r="Z577" s="5">
        <f t="shared" si="70"/>
        <v>2025</v>
      </c>
      <c r="AA577" t="str">
        <f t="shared" si="71"/>
        <v>Clean</v>
      </c>
    </row>
    <row r="578" spans="1:27" x14ac:dyDescent="0.3">
      <c r="A578" t="str">
        <f>[1]raw_orders!A578</f>
        <v>ORD-2024-10577</v>
      </c>
      <c r="B578" s="4">
        <f>IFERROR(DATEVALUE([1]raw_orders!B578), "Invalid Date")</f>
        <v>45339</v>
      </c>
      <c r="C578" s="4" t="str">
        <f>IFERROR(DATEVALUE([1]raw_orders!C578), "Invalid Date")</f>
        <v>Invalid Date</v>
      </c>
      <c r="D578" t="str">
        <f>[1]raw_orders!D578</f>
        <v>CUST-2228</v>
      </c>
      <c r="E578" t="str">
        <f>PROPER(TRIM([1]raw_orders!E578))</f>
        <v>Rohan Mehta</v>
      </c>
      <c r="F578" t="str">
        <f>PROPER(TRIM([1]raw_orders!F578))</f>
        <v>Home Office</v>
      </c>
      <c r="G578" t="str">
        <f>IF(TRIM([1]raw_orders!G578)="","Unknown",PROPER(TRIM([1]raw_orders!G578)))</f>
        <v>Unknown</v>
      </c>
      <c r="H578" t="str">
        <f>PROPER(TRIM([1]raw_orders!H578))</f>
        <v>Bihar</v>
      </c>
      <c r="I578" t="str">
        <f>PROPER(TRIM([1]raw_orders!I578))</f>
        <v>Patna</v>
      </c>
      <c r="J578" t="str">
        <f>PROPER(TRIM([1]raw_orders!J578))</f>
        <v>Office Supplies</v>
      </c>
      <c r="K578" t="str">
        <f>PROPER(TRIM([1]raw_orders!K578))</f>
        <v>Binders</v>
      </c>
      <c r="L578" t="str">
        <f>[1]raw_orders!L578</f>
        <v>Smart Binders 417</v>
      </c>
      <c r="M578" t="str">
        <f>IF(TRIM([1]raw_orders!M578)="","Unknown",PROPER(TRIM([1]raw_orders!M578)))</f>
        <v>Standard Class</v>
      </c>
      <c r="N578" s="5">
        <f>[1]raw_orders!N578</f>
        <v>9</v>
      </c>
      <c r="O578" s="5">
        <f>[1]raw_orders!O578</f>
        <v>2614.46</v>
      </c>
      <c r="P578" s="5">
        <f>[1]raw_orders!P578</f>
        <v>0</v>
      </c>
      <c r="Q578" t="str">
        <f>PROPER(TRIM([1]raw_orders!T578))</f>
        <v>Refunded</v>
      </c>
      <c r="R578" t="str">
        <f>PROPER(TRIM([1]raw_orders!U578))</f>
        <v>Returned</v>
      </c>
      <c r="S578" s="5">
        <f>[1]raw_orders!S578</f>
        <v>3992.35</v>
      </c>
      <c r="T578" s="5">
        <f t="shared" si="64"/>
        <v>39.923499999999997</v>
      </c>
      <c r="U578" s="5">
        <f t="shared" si="65"/>
        <v>-915875.40428999986</v>
      </c>
      <c r="V578" s="5">
        <f t="shared" si="66"/>
        <v>-915875.40428999986</v>
      </c>
      <c r="W578" s="5">
        <f t="shared" si="67"/>
        <v>1</v>
      </c>
      <c r="X578" s="5" t="str">
        <f t="shared" si="68"/>
        <v>Invalid Date</v>
      </c>
      <c r="Y578" s="5">
        <f t="shared" si="69"/>
        <v>2</v>
      </c>
      <c r="Z578" s="5">
        <f t="shared" si="70"/>
        <v>2024</v>
      </c>
      <c r="AA578" t="str">
        <f t="shared" si="71"/>
        <v>Warning</v>
      </c>
    </row>
    <row r="579" spans="1:27" x14ac:dyDescent="0.3">
      <c r="A579" t="str">
        <f>[1]raw_orders!A579</f>
        <v>ORD-2025-10578</v>
      </c>
      <c r="B579" s="4" t="str">
        <f>IFERROR(DATEVALUE([1]raw_orders!B579), "Invalid Date")</f>
        <v>Invalid Date</v>
      </c>
      <c r="C579" s="4">
        <f>IFERROR(DATEVALUE([1]raw_orders!C579), "Invalid Date")</f>
        <v>45903</v>
      </c>
      <c r="D579" t="str">
        <f>[1]raw_orders!D579</f>
        <v>CUST-4151</v>
      </c>
      <c r="E579" t="str">
        <f>PROPER(TRIM([1]raw_orders!E579))</f>
        <v>Priya Menon</v>
      </c>
      <c r="F579" t="str">
        <f>PROPER(TRIM([1]raw_orders!F579))</f>
        <v>Corporate</v>
      </c>
      <c r="G579" t="str">
        <f>IF(TRIM([1]raw_orders!G579)="","Unknown",PROPER(TRIM([1]raw_orders!G579)))</f>
        <v>West</v>
      </c>
      <c r="H579" t="str">
        <f>PROPER(TRIM([1]raw_orders!H579))</f>
        <v>Madhya Pradesh</v>
      </c>
      <c r="I579" t="str">
        <f>PROPER(TRIM([1]raw_orders!I579))</f>
        <v>Indore</v>
      </c>
      <c r="J579" t="str">
        <f>PROPER(TRIM([1]raw_orders!J579))</f>
        <v>Furniture</v>
      </c>
      <c r="K579" t="str">
        <f>PROPER(TRIM([1]raw_orders!K579))</f>
        <v>Furnishings</v>
      </c>
      <c r="L579" t="str">
        <f>[1]raw_orders!L579</f>
        <v>Smart Furnishings 714</v>
      </c>
      <c r="M579" t="str">
        <f>IF(TRIM([1]raw_orders!M579)="","Unknown",PROPER(TRIM([1]raw_orders!M579)))</f>
        <v>Standard Class</v>
      </c>
      <c r="N579" s="5">
        <f>[1]raw_orders!N579</f>
        <v>7</v>
      </c>
      <c r="O579" s="5">
        <f>[1]raw_orders!O579</f>
        <v>268.45</v>
      </c>
      <c r="P579" s="5">
        <f>[1]raw_orders!P579</f>
        <v>0</v>
      </c>
      <c r="Q579" t="str">
        <f>PROPER(TRIM([1]raw_orders!T579))</f>
        <v>Paid</v>
      </c>
      <c r="R579" t="str">
        <f>PROPER(TRIM([1]raw_orders!U579))</f>
        <v>Completed</v>
      </c>
      <c r="S579" s="5">
        <f>[1]raw_orders!S579</f>
        <v>744.25</v>
      </c>
      <c r="T579" s="5">
        <f t="shared" ref="T579:T642" si="72">IF(AND(ISNUMBER(S579),S579&gt;=0,S579&lt;=1),S579,IF(S579="",0,IF(S579&lt;0,"INVALID - Negative",IF(S579&gt;1,S579/100,"INVALID"))))</f>
        <v>7.4424999999999999</v>
      </c>
      <c r="U579" s="5">
        <f t="shared" ref="U579:U642" si="73">IF(AND(ISNUMBER(N579),ISNUMBER(O579),OR(ISNUMBER(T579),T579=0)),N579*O579*(1-IF(ISNUMBER(T579),T579,0)),"Calculation Error")</f>
        <v>-12106.423874999999</v>
      </c>
      <c r="V579" s="5">
        <f t="shared" ref="V579:V642" si="74">IF(AND(ISNUMBER(U579),ISNUMBER(P579)),U579-P579,"Calculation Error")</f>
        <v>-12106.423874999999</v>
      </c>
      <c r="W579" s="5">
        <f t="shared" ref="W579:W642" si="75">IF(AND(ISNUMBER(V579),ISNUMBER(U579),U579&lt;&gt;0),V579/U579,IF(U579=0,"N/A","Calculation Error"))</f>
        <v>1</v>
      </c>
      <c r="X579" s="5" t="str">
        <f t="shared" ref="X579:X642" si="76">IF(AND(ISNUMBER(B579),ISNUMBER(C579)),C579-B579,"Invalid Date")</f>
        <v>Invalid Date</v>
      </c>
      <c r="Y579" s="5" t="e">
        <f t="shared" ref="Y579:Y642" si="77">MONTH(B579)</f>
        <v>#VALUE!</v>
      </c>
      <c r="Z579" s="5" t="e">
        <f t="shared" ref="Z579:Z642" si="78">YEAR(B579)</f>
        <v>#VALUE!</v>
      </c>
      <c r="AA579" t="str">
        <f t="shared" ref="AA579:AA642" si="79">IF(OR(G579="Unknown",M579="Unknown",T579="INVALID - Negative",T579="INVALID",X579&lt;0,R579="Duplicate ID - Review Required"),IF(OR(T579="INVALID - Negative",T579="INVALID",X579&lt;0,R579="Duplicate ID - Review Required"),"Invalid","Warning"),"Clean")</f>
        <v>Clean</v>
      </c>
    </row>
    <row r="580" spans="1:27" x14ac:dyDescent="0.3">
      <c r="A580" t="str">
        <f>[1]raw_orders!A580</f>
        <v>ORD-2024-10579</v>
      </c>
      <c r="B580" s="4">
        <f>IFERROR(DATEVALUE([1]raw_orders!B580), "Invalid Date")</f>
        <v>45343</v>
      </c>
      <c r="C580" s="4">
        <f>IFERROR(DATEVALUE([1]raw_orders!C580), "Invalid Date")</f>
        <v>45345</v>
      </c>
      <c r="D580" t="str">
        <f>[1]raw_orders!D580</f>
        <v>CUST-4900</v>
      </c>
      <c r="E580" t="str">
        <f>PROPER(TRIM([1]raw_orders!E580))</f>
        <v>Neha Gupta</v>
      </c>
      <c r="F580" t="str">
        <f>PROPER(TRIM([1]raw_orders!F580))</f>
        <v>Small Business</v>
      </c>
      <c r="G580" t="str">
        <f>IF(TRIM([1]raw_orders!G580)="","Unknown",PROPER(TRIM([1]raw_orders!G580)))</f>
        <v>West</v>
      </c>
      <c r="H580" t="str">
        <f>PROPER(TRIM([1]raw_orders!H580))</f>
        <v>Gujarat</v>
      </c>
      <c r="I580" t="str">
        <f>PROPER(TRIM([1]raw_orders!I580))</f>
        <v>Ahmedabad</v>
      </c>
      <c r="J580" t="str">
        <f>PROPER(TRIM([1]raw_orders!J580))</f>
        <v>Technology</v>
      </c>
      <c r="K580" t="str">
        <f>PROPER(TRIM([1]raw_orders!K580))</f>
        <v>Copiers</v>
      </c>
      <c r="L580" t="str">
        <f>[1]raw_orders!L580</f>
        <v>Elite Copiers 682</v>
      </c>
      <c r="M580" t="str">
        <f>IF(TRIM([1]raw_orders!M580)="","Unknown",PROPER(TRIM([1]raw_orders!M580)))</f>
        <v>First Class</v>
      </c>
      <c r="N580" s="5">
        <f>[1]raw_orders!N580</f>
        <v>6</v>
      </c>
      <c r="O580" s="5">
        <f>[1]raw_orders!O580</f>
        <v>2633.65</v>
      </c>
      <c r="P580" s="5">
        <f>[1]raw_orders!P580</f>
        <v>0.05</v>
      </c>
      <c r="Q580" t="str">
        <f>PROPER(TRIM([1]raw_orders!T580))</f>
        <v>Paid</v>
      </c>
      <c r="R580" t="str">
        <f>PROPER(TRIM([1]raw_orders!U580))</f>
        <v>Completed</v>
      </c>
      <c r="S580" s="5">
        <f>[1]raw_orders!S580</f>
        <v>5351.45</v>
      </c>
      <c r="T580" s="5">
        <f t="shared" si="72"/>
        <v>53.514499999999998</v>
      </c>
      <c r="U580" s="5">
        <f t="shared" si="73"/>
        <v>-829828.87755000009</v>
      </c>
      <c r="V580" s="5">
        <f t="shared" si="74"/>
        <v>-829828.92755000014</v>
      </c>
      <c r="W580" s="5">
        <f t="shared" si="75"/>
        <v>1.0000000602533865</v>
      </c>
      <c r="X580" s="5">
        <f t="shared" si="76"/>
        <v>2</v>
      </c>
      <c r="Y580" s="5">
        <f t="shared" si="77"/>
        <v>2</v>
      </c>
      <c r="Z580" s="5">
        <f t="shared" si="78"/>
        <v>2024</v>
      </c>
      <c r="AA580" t="str">
        <f t="shared" si="79"/>
        <v>Clean</v>
      </c>
    </row>
    <row r="581" spans="1:27" x14ac:dyDescent="0.3">
      <c r="A581" t="str">
        <f>[1]raw_orders!A581</f>
        <v>ORD-2024-10580</v>
      </c>
      <c r="B581" s="4">
        <f>IFERROR(DATEVALUE([1]raw_orders!B581), "Invalid Date")</f>
        <v>45462</v>
      </c>
      <c r="C581" s="4">
        <f>IFERROR(DATEVALUE([1]raw_orders!C581), "Invalid Date")</f>
        <v>45467</v>
      </c>
      <c r="D581" t="str">
        <f>[1]raw_orders!D581</f>
        <v>CUST-9617</v>
      </c>
      <c r="E581" t="str">
        <f>PROPER(TRIM([1]raw_orders!E581))</f>
        <v>Aarav Sharma</v>
      </c>
      <c r="F581" t="str">
        <f>PROPER(TRIM([1]raw_orders!F581))</f>
        <v>Small Business</v>
      </c>
      <c r="G581" t="str">
        <f>IF(TRIM([1]raw_orders!G581)="","Unknown",PROPER(TRIM([1]raw_orders!G581)))</f>
        <v>South</v>
      </c>
      <c r="H581" t="str">
        <f>PROPER(TRIM([1]raw_orders!H581))</f>
        <v>Tamil Nadu</v>
      </c>
      <c r="I581" t="str">
        <f>PROPER(TRIM([1]raw_orders!I581))</f>
        <v>Chennai</v>
      </c>
      <c r="J581" t="str">
        <f>PROPER(TRIM([1]raw_orders!J581))</f>
        <v>Office Supplies</v>
      </c>
      <c r="K581" t="str">
        <f>PROPER(TRIM([1]raw_orders!K581))</f>
        <v>Storage</v>
      </c>
      <c r="L581" t="str">
        <f>[1]raw_orders!L581</f>
        <v>Pro Storage 482</v>
      </c>
      <c r="M581" t="str">
        <f>IF(TRIM([1]raw_orders!M581)="","Unknown",PROPER(TRIM([1]raw_orders!M581)))</f>
        <v>Same Day</v>
      </c>
      <c r="N581" s="5">
        <f>[1]raw_orders!N581</f>
        <v>1</v>
      </c>
      <c r="O581" s="5">
        <f>[1]raw_orders!O581</f>
        <v>3202.41</v>
      </c>
      <c r="P581" s="5">
        <f>[1]raw_orders!P581</f>
        <v>0</v>
      </c>
      <c r="Q581" t="str">
        <f>PROPER(TRIM([1]raw_orders!T581))</f>
        <v>Paid</v>
      </c>
      <c r="R581" t="str">
        <f>PROPER(TRIM([1]raw_orders!U581))</f>
        <v>Completed</v>
      </c>
      <c r="S581" s="5">
        <f>[1]raw_orders!S581</f>
        <v>593.97</v>
      </c>
      <c r="T581" s="5">
        <f t="shared" si="72"/>
        <v>5.9397000000000002</v>
      </c>
      <c r="U581" s="5">
        <f t="shared" si="73"/>
        <v>-15818.944677</v>
      </c>
      <c r="V581" s="5">
        <f t="shared" si="74"/>
        <v>-15818.944677</v>
      </c>
      <c r="W581" s="5">
        <f t="shared" si="75"/>
        <v>1</v>
      </c>
      <c r="X581" s="5">
        <f t="shared" si="76"/>
        <v>5</v>
      </c>
      <c r="Y581" s="5">
        <f t="shared" si="77"/>
        <v>6</v>
      </c>
      <c r="Z581" s="5">
        <f t="shared" si="78"/>
        <v>2024</v>
      </c>
      <c r="AA581" t="str">
        <f t="shared" si="79"/>
        <v>Clean</v>
      </c>
    </row>
    <row r="582" spans="1:27" x14ac:dyDescent="0.3">
      <c r="A582" t="str">
        <f>[1]raw_orders!A582</f>
        <v>ORD-2025-10581</v>
      </c>
      <c r="B582" s="4">
        <f>IFERROR(DATEVALUE([1]raw_orders!B582), "Invalid Date")</f>
        <v>45722</v>
      </c>
      <c r="C582" s="4" t="str">
        <f>IFERROR(DATEVALUE([1]raw_orders!C582), "Invalid Date")</f>
        <v>Invalid Date</v>
      </c>
      <c r="D582" t="str">
        <f>[1]raw_orders!D582</f>
        <v>CUST-7958</v>
      </c>
      <c r="E582" t="str">
        <f>PROPER(TRIM([1]raw_orders!E582))</f>
        <v>Kabir Singh</v>
      </c>
      <c r="F582" t="str">
        <f>PROPER(TRIM([1]raw_orders!F582))</f>
        <v>Consumer</v>
      </c>
      <c r="G582" t="str">
        <f>IF(TRIM([1]raw_orders!G582)="","Unknown",PROPER(TRIM([1]raw_orders!G582)))</f>
        <v>South</v>
      </c>
      <c r="H582" t="str">
        <f>PROPER(TRIM([1]raw_orders!H582))</f>
        <v>Kerala</v>
      </c>
      <c r="I582" t="str">
        <f>PROPER(TRIM([1]raw_orders!I582))</f>
        <v>Kochi</v>
      </c>
      <c r="J582" t="str">
        <f>PROPER(TRIM([1]raw_orders!J582))</f>
        <v>Furniture</v>
      </c>
      <c r="K582" t="str">
        <f>PROPER(TRIM([1]raw_orders!K582))</f>
        <v>Chairs</v>
      </c>
      <c r="L582" t="str">
        <f>[1]raw_orders!L582</f>
        <v>Pro Chairs 888</v>
      </c>
      <c r="M582" t="str">
        <f>IF(TRIM([1]raw_orders!M582)="","Unknown",PROPER(TRIM([1]raw_orders!M582)))</f>
        <v>Standard Class</v>
      </c>
      <c r="N582" s="5">
        <f>[1]raw_orders!N582</f>
        <v>3</v>
      </c>
      <c r="O582" s="5">
        <f>[1]raw_orders!O582</f>
        <v>163.72</v>
      </c>
      <c r="P582" s="5">
        <f>[1]raw_orders!P582</f>
        <v>0.15</v>
      </c>
      <c r="Q582" t="str">
        <f>PROPER(TRIM([1]raw_orders!T582))</f>
        <v>Failed</v>
      </c>
      <c r="R582" t="str">
        <f>PROPER(TRIM([1]raw_orders!U582))</f>
        <v>Returned</v>
      </c>
      <c r="S582" s="5">
        <f>[1]raw_orders!S582</f>
        <v>155.82</v>
      </c>
      <c r="T582" s="5">
        <f t="shared" si="72"/>
        <v>1.5582</v>
      </c>
      <c r="U582" s="5">
        <f t="shared" si="73"/>
        <v>-274.16551199999998</v>
      </c>
      <c r="V582" s="5">
        <f t="shared" si="74"/>
        <v>-274.31551199999996</v>
      </c>
      <c r="W582" s="5">
        <f t="shared" si="75"/>
        <v>1.0005471147662073</v>
      </c>
      <c r="X582" s="5" t="str">
        <f t="shared" si="76"/>
        <v>Invalid Date</v>
      </c>
      <c r="Y582" s="5">
        <f t="shared" si="77"/>
        <v>3</v>
      </c>
      <c r="Z582" s="5">
        <f t="shared" si="78"/>
        <v>2025</v>
      </c>
      <c r="AA582" t="str">
        <f t="shared" si="79"/>
        <v>Clean</v>
      </c>
    </row>
    <row r="583" spans="1:27" x14ac:dyDescent="0.3">
      <c r="A583" t="str">
        <f>[1]raw_orders!A583</f>
        <v>ORD-2025-10582</v>
      </c>
      <c r="B583" s="4">
        <f>IFERROR(DATEVALUE([1]raw_orders!B583), "Invalid Date")</f>
        <v>45878</v>
      </c>
      <c r="C583" s="4">
        <f>IFERROR(DATEVALUE([1]raw_orders!C583), "Invalid Date")</f>
        <v>45938</v>
      </c>
      <c r="D583" t="str">
        <f>[1]raw_orders!D583</f>
        <v>CUST-9931</v>
      </c>
      <c r="E583" t="str">
        <f>PROPER(TRIM([1]raw_orders!E583))</f>
        <v>Neha Gupta</v>
      </c>
      <c r="F583" t="str">
        <f>PROPER(TRIM([1]raw_orders!F583))</f>
        <v>Consumer</v>
      </c>
      <c r="G583" t="str">
        <f>IF(TRIM([1]raw_orders!G583)="","Unknown",PROPER(TRIM([1]raw_orders!G583)))</f>
        <v>North</v>
      </c>
      <c r="H583" t="str">
        <f>PROPER(TRIM([1]raw_orders!H583))</f>
        <v>Delhi</v>
      </c>
      <c r="I583" t="str">
        <f>PROPER(TRIM([1]raw_orders!I583))</f>
        <v>New Delhi</v>
      </c>
      <c r="J583" t="str">
        <f>PROPER(TRIM([1]raw_orders!J583))</f>
        <v>Office Supplies</v>
      </c>
      <c r="K583" t="str">
        <f>PROPER(TRIM([1]raw_orders!K583))</f>
        <v>Art</v>
      </c>
      <c r="L583" t="str">
        <f>[1]raw_orders!L583</f>
        <v>Classic Art 611</v>
      </c>
      <c r="M583" t="str">
        <f>IF(TRIM([1]raw_orders!M583)="","Unknown",PROPER(TRIM([1]raw_orders!M583)))</f>
        <v>Second Class</v>
      </c>
      <c r="N583" s="5">
        <f>[1]raw_orders!N583</f>
        <v>4</v>
      </c>
      <c r="O583" s="5">
        <f>[1]raw_orders!O583</f>
        <v>4080.95</v>
      </c>
      <c r="P583" s="5">
        <f>[1]raw_orders!P583</f>
        <v>0</v>
      </c>
      <c r="Q583" t="str">
        <f>PROPER(TRIM([1]raw_orders!T583))</f>
        <v>Refunded</v>
      </c>
      <c r="R583" t="str">
        <f>PROPER(TRIM([1]raw_orders!U583))</f>
        <v>Returned</v>
      </c>
      <c r="S583" s="5">
        <f>[1]raw_orders!S583</f>
        <v>6358.01</v>
      </c>
      <c r="T583" s="5">
        <f t="shared" si="72"/>
        <v>63.580100000000002</v>
      </c>
      <c r="U583" s="5">
        <f t="shared" si="73"/>
        <v>-1021545.0363799999</v>
      </c>
      <c r="V583" s="5">
        <f t="shared" si="74"/>
        <v>-1021545.0363799999</v>
      </c>
      <c r="W583" s="5">
        <f t="shared" si="75"/>
        <v>1</v>
      </c>
      <c r="X583" s="5">
        <f t="shared" si="76"/>
        <v>60</v>
      </c>
      <c r="Y583" s="5">
        <f t="shared" si="77"/>
        <v>8</v>
      </c>
      <c r="Z583" s="5">
        <f t="shared" si="78"/>
        <v>2025</v>
      </c>
      <c r="AA583" t="str">
        <f t="shared" si="79"/>
        <v>Clean</v>
      </c>
    </row>
    <row r="584" spans="1:27" x14ac:dyDescent="0.3">
      <c r="A584" t="str">
        <f>[1]raw_orders!A584</f>
        <v>ORD-2024-10583</v>
      </c>
      <c r="B584" s="4">
        <f>IFERROR(DATEVALUE([1]raw_orders!B584), "Invalid Date")</f>
        <v>45580</v>
      </c>
      <c r="C584" s="4" t="str">
        <f>IFERROR(DATEVALUE([1]raw_orders!C584), "Invalid Date")</f>
        <v>Invalid Date</v>
      </c>
      <c r="D584" t="str">
        <f>[1]raw_orders!D584</f>
        <v>CUST-2088</v>
      </c>
      <c r="E584" t="str">
        <f>PROPER(TRIM([1]raw_orders!E584))</f>
        <v>Ananya Rao</v>
      </c>
      <c r="F584" t="str">
        <f>PROPER(TRIM([1]raw_orders!F584))</f>
        <v>Consumer</v>
      </c>
      <c r="G584" t="str">
        <f>IF(TRIM([1]raw_orders!G584)="","Unknown",PROPER(TRIM([1]raw_orders!G584)))</f>
        <v>East</v>
      </c>
      <c r="H584" t="str">
        <f>PROPER(TRIM([1]raw_orders!H584))</f>
        <v>Odisha</v>
      </c>
      <c r="I584" t="str">
        <f>PROPER(TRIM([1]raw_orders!I584))</f>
        <v>Bhubaneswar</v>
      </c>
      <c r="J584" t="str">
        <f>PROPER(TRIM([1]raw_orders!J584))</f>
        <v>Office Supplies</v>
      </c>
      <c r="K584" t="str">
        <f>PROPER(TRIM([1]raw_orders!K584))</f>
        <v>Art</v>
      </c>
      <c r="L584" t="str">
        <f>[1]raw_orders!L584</f>
        <v>Basic Art 174</v>
      </c>
      <c r="M584" t="str">
        <f>IF(TRIM([1]raw_orders!M584)="","Unknown",PROPER(TRIM([1]raw_orders!M584)))</f>
        <v>First Class</v>
      </c>
      <c r="N584" s="5">
        <f>[1]raw_orders!N584</f>
        <v>5</v>
      </c>
      <c r="O584" s="5">
        <f>[1]raw_orders!O584</f>
        <v>671.24</v>
      </c>
      <c r="P584" s="5">
        <f>[1]raw_orders!P584</f>
        <v>0</v>
      </c>
      <c r="Q584" t="str">
        <f>PROPER(TRIM([1]raw_orders!T584))</f>
        <v>Pending</v>
      </c>
      <c r="R584" t="str">
        <f>PROPER(TRIM([1]raw_orders!U584))</f>
        <v>Returned</v>
      </c>
      <c r="S584" s="5">
        <f>[1]raw_orders!S584</f>
        <v>1150.48</v>
      </c>
      <c r="T584" s="5">
        <f t="shared" si="72"/>
        <v>11.504799999999999</v>
      </c>
      <c r="U584" s="5">
        <f t="shared" si="73"/>
        <v>-35256.209759999998</v>
      </c>
      <c r="V584" s="5">
        <f t="shared" si="74"/>
        <v>-35256.209759999998</v>
      </c>
      <c r="W584" s="5">
        <f t="shared" si="75"/>
        <v>1</v>
      </c>
      <c r="X584" s="5" t="str">
        <f t="shared" si="76"/>
        <v>Invalid Date</v>
      </c>
      <c r="Y584" s="5">
        <f t="shared" si="77"/>
        <v>10</v>
      </c>
      <c r="Z584" s="5">
        <f t="shared" si="78"/>
        <v>2024</v>
      </c>
      <c r="AA584" t="str">
        <f t="shared" si="79"/>
        <v>Clean</v>
      </c>
    </row>
    <row r="585" spans="1:27" x14ac:dyDescent="0.3">
      <c r="A585" t="str">
        <f>[1]raw_orders!A585</f>
        <v>ORD-2024-10584</v>
      </c>
      <c r="B585" s="4">
        <f>IFERROR(DATEVALUE([1]raw_orders!B585), "Invalid Date")</f>
        <v>45350</v>
      </c>
      <c r="C585" s="4" t="str">
        <f>IFERROR(DATEVALUE([1]raw_orders!C585), "Invalid Date")</f>
        <v>Invalid Date</v>
      </c>
      <c r="D585" t="str">
        <f>[1]raw_orders!D585</f>
        <v>CUST-1686</v>
      </c>
      <c r="E585" t="str">
        <f>PROPER(TRIM([1]raw_orders!E585))</f>
        <v>Rohan Mehta</v>
      </c>
      <c r="F585" t="str">
        <f>PROPER(TRIM([1]raw_orders!F585))</f>
        <v>Small Business</v>
      </c>
      <c r="G585" t="str">
        <f>IF(TRIM([1]raw_orders!G585)="","Unknown",PROPER(TRIM([1]raw_orders!G585)))</f>
        <v>East</v>
      </c>
      <c r="H585" t="str">
        <f>PROPER(TRIM([1]raw_orders!H585))</f>
        <v>West Bengal</v>
      </c>
      <c r="I585" t="str">
        <f>PROPER(TRIM([1]raw_orders!I585))</f>
        <v>Kolkata</v>
      </c>
      <c r="J585" t="str">
        <f>PROPER(TRIM([1]raw_orders!J585))</f>
        <v>Office Supplies</v>
      </c>
      <c r="K585" t="str">
        <f>PROPER(TRIM([1]raw_orders!K585))</f>
        <v>Storage</v>
      </c>
      <c r="L585" t="str">
        <f>[1]raw_orders!L585</f>
        <v>Classic Storage 451</v>
      </c>
      <c r="M585" t="str">
        <f>IF(TRIM([1]raw_orders!M585)="","Unknown",PROPER(TRIM([1]raw_orders!M585)))</f>
        <v>First Class</v>
      </c>
      <c r="N585" s="5">
        <f>[1]raw_orders!N585</f>
        <v>1</v>
      </c>
      <c r="O585" s="5">
        <f>[1]raw_orders!O585</f>
        <v>2626.84</v>
      </c>
      <c r="P585" s="5">
        <f>[1]raw_orders!P585</f>
        <v>0.2</v>
      </c>
      <c r="Q585" t="str">
        <f>PROPER(TRIM([1]raw_orders!T585))</f>
        <v>Failed</v>
      </c>
      <c r="R585" t="str">
        <f>PROPER(TRIM([1]raw_orders!U585))</f>
        <v>Returned</v>
      </c>
      <c r="S585" s="5">
        <f>[1]raw_orders!S585</f>
        <v>883.64</v>
      </c>
      <c r="T585" s="5">
        <f t="shared" si="72"/>
        <v>8.8363999999999994</v>
      </c>
      <c r="U585" s="5">
        <f t="shared" si="73"/>
        <v>-20584.968976</v>
      </c>
      <c r="V585" s="5">
        <f t="shared" si="74"/>
        <v>-20585.168976000001</v>
      </c>
      <c r="W585" s="5">
        <f t="shared" si="75"/>
        <v>1.0000097158271277</v>
      </c>
      <c r="X585" s="5" t="str">
        <f t="shared" si="76"/>
        <v>Invalid Date</v>
      </c>
      <c r="Y585" s="5">
        <f t="shared" si="77"/>
        <v>2</v>
      </c>
      <c r="Z585" s="5">
        <f t="shared" si="78"/>
        <v>2024</v>
      </c>
      <c r="AA585" t="str">
        <f t="shared" si="79"/>
        <v>Clean</v>
      </c>
    </row>
    <row r="586" spans="1:27" x14ac:dyDescent="0.3">
      <c r="A586" t="str">
        <f>[1]raw_orders!A586</f>
        <v>ORD-2024-10585</v>
      </c>
      <c r="B586" s="4">
        <f>IFERROR(DATEVALUE([1]raw_orders!B586), "Invalid Date")</f>
        <v>45390</v>
      </c>
      <c r="C586" s="4">
        <f>IFERROR(DATEVALUE([1]raw_orders!C586), "Invalid Date")</f>
        <v>45514</v>
      </c>
      <c r="D586" t="str">
        <f>[1]raw_orders!D586</f>
        <v>CUST-4894</v>
      </c>
      <c r="E586" t="str">
        <f>PROPER(TRIM([1]raw_orders!E586))</f>
        <v>Vikram Iyer</v>
      </c>
      <c r="F586" t="str">
        <f>PROPER(TRIM([1]raw_orders!F586))</f>
        <v>Consumer</v>
      </c>
      <c r="G586" t="str">
        <f>IF(TRIM([1]raw_orders!G586)="","Unknown",PROPER(TRIM([1]raw_orders!G586)))</f>
        <v>East</v>
      </c>
      <c r="H586" t="str">
        <f>PROPER(TRIM([1]raw_orders!H586))</f>
        <v>Bihar</v>
      </c>
      <c r="I586" t="str">
        <f>PROPER(TRIM([1]raw_orders!I586))</f>
        <v>Patna</v>
      </c>
      <c r="J586" t="str">
        <f>PROPER(TRIM([1]raw_orders!J586))</f>
        <v>Office Supplies</v>
      </c>
      <c r="K586" t="str">
        <f>PROPER(TRIM([1]raw_orders!K586))</f>
        <v>Art</v>
      </c>
      <c r="L586" t="str">
        <f>[1]raw_orders!L586</f>
        <v>Pro Art 172</v>
      </c>
      <c r="M586" t="str">
        <f>IF(TRIM([1]raw_orders!M586)="","Unknown",PROPER(TRIM([1]raw_orders!M586)))</f>
        <v>Same Day</v>
      </c>
      <c r="N586" s="5">
        <f>[1]raw_orders!N586</f>
        <v>1</v>
      </c>
      <c r="O586" s="5">
        <f>[1]raw_orders!O586</f>
        <v>984.93</v>
      </c>
      <c r="P586" s="5">
        <f>[1]raw_orders!P586</f>
        <v>0.15</v>
      </c>
      <c r="Q586" t="str">
        <f>PROPER(TRIM([1]raw_orders!T586))</f>
        <v>Pending</v>
      </c>
      <c r="R586" t="str">
        <f>PROPER(TRIM([1]raw_orders!U586))</f>
        <v>Returned</v>
      </c>
      <c r="S586" s="5">
        <f>[1]raw_orders!S586</f>
        <v>253.4</v>
      </c>
      <c r="T586" s="5">
        <f t="shared" si="72"/>
        <v>2.5340000000000003</v>
      </c>
      <c r="U586" s="5">
        <f t="shared" si="73"/>
        <v>-1510.8826200000001</v>
      </c>
      <c r="V586" s="5">
        <f t="shared" si="74"/>
        <v>-1511.0326200000002</v>
      </c>
      <c r="W586" s="5">
        <f t="shared" si="75"/>
        <v>1.0000992797177057</v>
      </c>
      <c r="X586" s="5">
        <f t="shared" si="76"/>
        <v>124</v>
      </c>
      <c r="Y586" s="5">
        <f t="shared" si="77"/>
        <v>4</v>
      </c>
      <c r="Z586" s="5">
        <f t="shared" si="78"/>
        <v>2024</v>
      </c>
      <c r="AA586" t="str">
        <f t="shared" si="79"/>
        <v>Clean</v>
      </c>
    </row>
    <row r="587" spans="1:27" x14ac:dyDescent="0.3">
      <c r="A587" t="str">
        <f>[1]raw_orders!A587</f>
        <v>ORD-2025-10586</v>
      </c>
      <c r="B587" s="4">
        <f>IFERROR(DATEVALUE([1]raw_orders!B587), "Invalid Date")</f>
        <v>45830</v>
      </c>
      <c r="C587" s="4">
        <f>IFERROR(DATEVALUE([1]raw_orders!C587), "Invalid Date")</f>
        <v>45833</v>
      </c>
      <c r="D587" t="str">
        <f>[1]raw_orders!D587</f>
        <v>CUST-5201</v>
      </c>
      <c r="E587" t="str">
        <f>PROPER(TRIM([1]raw_orders!E587))</f>
        <v>Diya Patel</v>
      </c>
      <c r="F587" t="str">
        <f>PROPER(TRIM([1]raw_orders!F587))</f>
        <v>Small Business</v>
      </c>
      <c r="G587" t="str">
        <f>IF(TRIM([1]raw_orders!G587)="","Unknown",PROPER(TRIM([1]raw_orders!G587)))</f>
        <v>West</v>
      </c>
      <c r="H587" t="str">
        <f>PROPER(TRIM([1]raw_orders!H587))</f>
        <v>Maharashtra</v>
      </c>
      <c r="I587" t="str">
        <f>PROPER(TRIM([1]raw_orders!I587))</f>
        <v>Mumbai</v>
      </c>
      <c r="J587" t="str">
        <f>PROPER(TRIM([1]raw_orders!J587))</f>
        <v>Technology</v>
      </c>
      <c r="K587" t="str">
        <f>PROPER(TRIM([1]raw_orders!K587))</f>
        <v>Phones</v>
      </c>
      <c r="L587" t="str">
        <f>[1]raw_orders!L587</f>
        <v>Prime Phones 744</v>
      </c>
      <c r="M587" t="str">
        <f>IF(TRIM([1]raw_orders!M587)="","Unknown",PROPER(TRIM([1]raw_orders!M587)))</f>
        <v>First Class</v>
      </c>
      <c r="N587" s="5">
        <f>[1]raw_orders!N587</f>
        <v>8</v>
      </c>
      <c r="O587" s="5">
        <f>[1]raw_orders!O587</f>
        <v>3453.66</v>
      </c>
      <c r="P587" s="5">
        <f>[1]raw_orders!P587</f>
        <v>0</v>
      </c>
      <c r="Q587" t="str">
        <f>PROPER(TRIM([1]raw_orders!T587))</f>
        <v>Paid</v>
      </c>
      <c r="R587" t="str">
        <f>PROPER(TRIM([1]raw_orders!U587))</f>
        <v>Completed</v>
      </c>
      <c r="S587" s="5">
        <f>[1]raw_orders!S587</f>
        <v>5602.8</v>
      </c>
      <c r="T587" s="5">
        <f t="shared" si="72"/>
        <v>56.027999999999999</v>
      </c>
      <c r="U587" s="5">
        <f t="shared" si="73"/>
        <v>-1520384.01984</v>
      </c>
      <c r="V587" s="5">
        <f t="shared" si="74"/>
        <v>-1520384.01984</v>
      </c>
      <c r="W587" s="5">
        <f t="shared" si="75"/>
        <v>1</v>
      </c>
      <c r="X587" s="5">
        <f t="shared" si="76"/>
        <v>3</v>
      </c>
      <c r="Y587" s="5">
        <f t="shared" si="77"/>
        <v>6</v>
      </c>
      <c r="Z587" s="5">
        <f t="shared" si="78"/>
        <v>2025</v>
      </c>
      <c r="AA587" t="str">
        <f t="shared" si="79"/>
        <v>Clean</v>
      </c>
    </row>
    <row r="588" spans="1:27" x14ac:dyDescent="0.3">
      <c r="A588" t="str">
        <f>[1]raw_orders!A588</f>
        <v>ORD-2025-10587</v>
      </c>
      <c r="B588" s="4">
        <f>IFERROR(DATEVALUE([1]raw_orders!B588), "Invalid Date")</f>
        <v>45759</v>
      </c>
      <c r="C588" s="4">
        <f>IFERROR(DATEVALUE([1]raw_orders!C588), "Invalid Date")</f>
        <v>45759</v>
      </c>
      <c r="D588" t="str">
        <f>[1]raw_orders!D588</f>
        <v>CUST-8626</v>
      </c>
      <c r="E588" t="str">
        <f>PROPER(TRIM([1]raw_orders!E588))</f>
        <v>Mira Das</v>
      </c>
      <c r="F588" t="str">
        <f>PROPER(TRIM([1]raw_orders!F588))</f>
        <v>Home Office</v>
      </c>
      <c r="G588" t="str">
        <f>IF(TRIM([1]raw_orders!G588)="","Unknown",PROPER(TRIM([1]raw_orders!G588)))</f>
        <v>North</v>
      </c>
      <c r="H588" t="str">
        <f>PROPER(TRIM([1]raw_orders!H588))</f>
        <v>Punjab</v>
      </c>
      <c r="I588" t="str">
        <f>PROPER(TRIM([1]raw_orders!I588))</f>
        <v>Ludhiana</v>
      </c>
      <c r="J588" t="str">
        <f>PROPER(TRIM([1]raw_orders!J588))</f>
        <v>Office Supplies</v>
      </c>
      <c r="K588" t="str">
        <f>PROPER(TRIM([1]raw_orders!K588))</f>
        <v>Binders</v>
      </c>
      <c r="L588" t="str">
        <f>[1]raw_orders!L588</f>
        <v>Prime Binders 249</v>
      </c>
      <c r="M588" t="str">
        <f>IF(TRIM([1]raw_orders!M588)="","Unknown",PROPER(TRIM([1]raw_orders!M588)))</f>
        <v>Second Class</v>
      </c>
      <c r="N588" s="5">
        <f>[1]raw_orders!N588</f>
        <v>7</v>
      </c>
      <c r="O588" s="5">
        <f>[1]raw_orders!O588</f>
        <v>1334.2</v>
      </c>
      <c r="P588" s="5">
        <f>[1]raw_orders!P588</f>
        <v>0.2</v>
      </c>
      <c r="Q588" t="str">
        <f>PROPER(TRIM([1]raw_orders!T588))</f>
        <v>Paid</v>
      </c>
      <c r="R588" t="str">
        <f>PROPER(TRIM([1]raw_orders!U588))</f>
        <v>Completed</v>
      </c>
      <c r="S588" s="5">
        <f>[1]raw_orders!S588</f>
        <v>1287.2</v>
      </c>
      <c r="T588" s="5">
        <f t="shared" si="72"/>
        <v>12.872</v>
      </c>
      <c r="U588" s="5">
        <f t="shared" si="73"/>
        <v>-110877.35679999999</v>
      </c>
      <c r="V588" s="5">
        <f t="shared" si="74"/>
        <v>-110877.55679999999</v>
      </c>
      <c r="W588" s="5">
        <f t="shared" si="75"/>
        <v>1.0000018037948033</v>
      </c>
      <c r="X588" s="5">
        <f t="shared" si="76"/>
        <v>0</v>
      </c>
      <c r="Y588" s="5">
        <f t="shared" si="77"/>
        <v>4</v>
      </c>
      <c r="Z588" s="5">
        <f t="shared" si="78"/>
        <v>2025</v>
      </c>
      <c r="AA588" t="str">
        <f t="shared" si="79"/>
        <v>Clean</v>
      </c>
    </row>
    <row r="589" spans="1:27" x14ac:dyDescent="0.3">
      <c r="A589" t="str">
        <f>[1]raw_orders!A589</f>
        <v>ORD-2025-10588</v>
      </c>
      <c r="B589" s="4">
        <f>IFERROR(DATEVALUE([1]raw_orders!B589), "Invalid Date")</f>
        <v>45861</v>
      </c>
      <c r="C589" s="4">
        <f>IFERROR(DATEVALUE([1]raw_orders!C589), "Invalid Date")</f>
        <v>45869</v>
      </c>
      <c r="D589" t="str">
        <f>[1]raw_orders!D589</f>
        <v>CUST-1013</v>
      </c>
      <c r="E589" t="str">
        <f>PROPER(TRIM([1]raw_orders!E589))</f>
        <v>Kabir Singh</v>
      </c>
      <c r="F589" t="str">
        <f>PROPER(TRIM([1]raw_orders!F589))</f>
        <v>Home Office</v>
      </c>
      <c r="G589" t="str">
        <f>IF(TRIM([1]raw_orders!G589)="","Unknown",PROPER(TRIM([1]raw_orders!G589)))</f>
        <v>West</v>
      </c>
      <c r="H589" t="str">
        <f>PROPER(TRIM([1]raw_orders!H589))</f>
        <v>Madhya Pradesh</v>
      </c>
      <c r="I589" t="str">
        <f>PROPER(TRIM([1]raw_orders!I589))</f>
        <v>Indore</v>
      </c>
      <c r="J589" t="str">
        <f>PROPER(TRIM([1]raw_orders!J589))</f>
        <v>Technology</v>
      </c>
      <c r="K589" t="str">
        <f>PROPER(TRIM([1]raw_orders!K589))</f>
        <v>Accessories</v>
      </c>
      <c r="L589" t="str">
        <f>[1]raw_orders!L589</f>
        <v>Eco Accessories 948</v>
      </c>
      <c r="M589" t="str">
        <f>IF(TRIM([1]raw_orders!M589)="","Unknown",PROPER(TRIM([1]raw_orders!M589)))</f>
        <v>First Class</v>
      </c>
      <c r="N589" s="5">
        <f>[1]raw_orders!N589</f>
        <v>1</v>
      </c>
      <c r="O589" s="5">
        <f>[1]raw_orders!O589</f>
        <v>4253.84</v>
      </c>
      <c r="P589" s="5">
        <f>[1]raw_orders!P589</f>
        <v>0.15</v>
      </c>
      <c r="Q589" t="str">
        <f>PROPER(TRIM([1]raw_orders!T589))</f>
        <v>Refunded</v>
      </c>
      <c r="R589" t="str">
        <f>PROPER(TRIM([1]raw_orders!U589))</f>
        <v>Cancelled</v>
      </c>
      <c r="S589" s="5">
        <f>[1]raw_orders!S589</f>
        <v>664.24</v>
      </c>
      <c r="T589" s="5">
        <f t="shared" si="72"/>
        <v>6.6424000000000003</v>
      </c>
      <c r="U589" s="5">
        <f t="shared" si="73"/>
        <v>-24001.866816000002</v>
      </c>
      <c r="V589" s="5">
        <f t="shared" si="74"/>
        <v>-24002.016816000003</v>
      </c>
      <c r="W589" s="5">
        <f t="shared" si="75"/>
        <v>1.0000062495138879</v>
      </c>
      <c r="X589" s="5">
        <f t="shared" si="76"/>
        <v>8</v>
      </c>
      <c r="Y589" s="5">
        <f t="shared" si="77"/>
        <v>7</v>
      </c>
      <c r="Z589" s="5">
        <f t="shared" si="78"/>
        <v>2025</v>
      </c>
      <c r="AA589" t="str">
        <f t="shared" si="79"/>
        <v>Clean</v>
      </c>
    </row>
    <row r="590" spans="1:27" x14ac:dyDescent="0.3">
      <c r="A590" t="str">
        <f>[1]raw_orders!A590</f>
        <v>ORD-2025-10589</v>
      </c>
      <c r="B590" s="4">
        <f>IFERROR(DATEVALUE([1]raw_orders!B590), "Invalid Date")</f>
        <v>45727</v>
      </c>
      <c r="C590" s="4">
        <f>IFERROR(DATEVALUE([1]raw_orders!C590), "Invalid Date")</f>
        <v>45731</v>
      </c>
      <c r="D590" t="str">
        <f>[1]raw_orders!D590</f>
        <v>CUST-3601</v>
      </c>
      <c r="E590" t="str">
        <f>PROPER(TRIM([1]raw_orders!E590))</f>
        <v>Aarav Sharma</v>
      </c>
      <c r="F590" t="str">
        <f>PROPER(TRIM([1]raw_orders!F590))</f>
        <v>Home Office</v>
      </c>
      <c r="G590" t="str">
        <f>IF(TRIM([1]raw_orders!G590)="","Unknown",PROPER(TRIM([1]raw_orders!G590)))</f>
        <v>South</v>
      </c>
      <c r="H590" t="str">
        <f>PROPER(TRIM([1]raw_orders!H590))</f>
        <v>Karnataka</v>
      </c>
      <c r="I590" t="str">
        <f>PROPER(TRIM([1]raw_orders!I590))</f>
        <v>Bengaluru</v>
      </c>
      <c r="J590" t="str">
        <f>PROPER(TRIM([1]raw_orders!J590))</f>
        <v>Technology</v>
      </c>
      <c r="K590" t="str">
        <f>PROPER(TRIM([1]raw_orders!K590))</f>
        <v>Accessories</v>
      </c>
      <c r="L590" t="str">
        <f>[1]raw_orders!L590</f>
        <v>Classic Accessories 458</v>
      </c>
      <c r="M590" t="str">
        <f>IF(TRIM([1]raw_orders!M590)="","Unknown",PROPER(TRIM([1]raw_orders!M590)))</f>
        <v>Second Class</v>
      </c>
      <c r="N590" s="5">
        <f>[1]raw_orders!N590</f>
        <v>8</v>
      </c>
      <c r="O590" s="5">
        <f>[1]raw_orders!O590</f>
        <v>4446.3599999999997</v>
      </c>
      <c r="P590" s="5">
        <f>[1]raw_orders!P590</f>
        <v>0.1</v>
      </c>
      <c r="Q590" t="str">
        <f>PROPER(TRIM([1]raw_orders!T590))</f>
        <v>Refunded</v>
      </c>
      <c r="R590" t="str">
        <f>PROPER(TRIM([1]raw_orders!U590))</f>
        <v>Cancelled</v>
      </c>
      <c r="S590" s="5">
        <f>[1]raw_orders!S590</f>
        <v>11116.91</v>
      </c>
      <c r="T590" s="5">
        <f t="shared" si="72"/>
        <v>111.1691</v>
      </c>
      <c r="U590" s="5">
        <f t="shared" si="73"/>
        <v>-3918811.8358079996</v>
      </c>
      <c r="V590" s="5">
        <f t="shared" si="74"/>
        <v>-3918811.9358079997</v>
      </c>
      <c r="W590" s="5">
        <f t="shared" si="75"/>
        <v>1.0000000255179387</v>
      </c>
      <c r="X590" s="5">
        <f t="shared" si="76"/>
        <v>4</v>
      </c>
      <c r="Y590" s="5">
        <f t="shared" si="77"/>
        <v>3</v>
      </c>
      <c r="Z590" s="5">
        <f t="shared" si="78"/>
        <v>2025</v>
      </c>
      <c r="AA590" t="str">
        <f t="shared" si="79"/>
        <v>Clean</v>
      </c>
    </row>
    <row r="591" spans="1:27" x14ac:dyDescent="0.3">
      <c r="A591" t="str">
        <f>[1]raw_orders!A591</f>
        <v>ORD-2024-10590</v>
      </c>
      <c r="B591" s="4">
        <f>IFERROR(DATEVALUE([1]raw_orders!B591), "Invalid Date")</f>
        <v>45632</v>
      </c>
      <c r="C591" s="4">
        <f>IFERROR(DATEVALUE([1]raw_orders!C591), "Invalid Date")</f>
        <v>45638</v>
      </c>
      <c r="D591" t="str">
        <f>[1]raw_orders!D591</f>
        <v>CUST-7846</v>
      </c>
      <c r="E591" t="str">
        <f>PROPER(TRIM([1]raw_orders!E591))</f>
        <v>Rohan Mehta</v>
      </c>
      <c r="F591" t="str">
        <f>PROPER(TRIM([1]raw_orders!F591))</f>
        <v>Corporate</v>
      </c>
      <c r="G591" t="str">
        <f>IF(TRIM([1]raw_orders!G591)="","Unknown",PROPER(TRIM([1]raw_orders!G591)))</f>
        <v>North</v>
      </c>
      <c r="H591" t="str">
        <f>PROPER(TRIM([1]raw_orders!H591))</f>
        <v>Uttar Pradesh</v>
      </c>
      <c r="I591" t="str">
        <f>PROPER(TRIM([1]raw_orders!I591))</f>
        <v>Noida</v>
      </c>
      <c r="J591" t="str">
        <f>PROPER(TRIM([1]raw_orders!J591))</f>
        <v>Technology</v>
      </c>
      <c r="K591" t="str">
        <f>PROPER(TRIM([1]raw_orders!K591))</f>
        <v>Phones</v>
      </c>
      <c r="L591" t="str">
        <f>[1]raw_orders!L591</f>
        <v>Max Phones 318</v>
      </c>
      <c r="M591" t="str">
        <f>IF(TRIM([1]raw_orders!M591)="","Unknown",PROPER(TRIM([1]raw_orders!M591)))</f>
        <v>First Class</v>
      </c>
      <c r="N591" s="5">
        <f>[1]raw_orders!N591</f>
        <v>3</v>
      </c>
      <c r="O591" s="5">
        <f>[1]raw_orders!O591</f>
        <v>524.75</v>
      </c>
      <c r="P591" s="5">
        <f>[1]raw_orders!P591</f>
        <v>0</v>
      </c>
      <c r="Q591" t="str">
        <f>PROPER(TRIM([1]raw_orders!T591))</f>
        <v>Paid</v>
      </c>
      <c r="R591" t="str">
        <f>PROPER(TRIM([1]raw_orders!U591))</f>
        <v>Completed</v>
      </c>
      <c r="S591" s="5">
        <f>[1]raw_orders!S591</f>
        <v>248.13</v>
      </c>
      <c r="T591" s="5">
        <f t="shared" si="72"/>
        <v>2.4813000000000001</v>
      </c>
      <c r="U591" s="5">
        <f t="shared" si="73"/>
        <v>-2331.9365250000001</v>
      </c>
      <c r="V591" s="5">
        <f t="shared" si="74"/>
        <v>-2331.9365250000001</v>
      </c>
      <c r="W591" s="5">
        <f t="shared" si="75"/>
        <v>1</v>
      </c>
      <c r="X591" s="5">
        <f t="shared" si="76"/>
        <v>6</v>
      </c>
      <c r="Y591" s="5">
        <f t="shared" si="77"/>
        <v>12</v>
      </c>
      <c r="Z591" s="5">
        <f t="shared" si="78"/>
        <v>2024</v>
      </c>
      <c r="AA591" t="str">
        <f t="shared" si="79"/>
        <v>Clean</v>
      </c>
    </row>
    <row r="592" spans="1:27" x14ac:dyDescent="0.3">
      <c r="A592" t="str">
        <f>[1]raw_orders!A592</f>
        <v>ORD-2024-10591</v>
      </c>
      <c r="B592" s="4">
        <f>IFERROR(DATEVALUE([1]raw_orders!B592), "Invalid Date")</f>
        <v>45441</v>
      </c>
      <c r="C592" s="4">
        <f>IFERROR(DATEVALUE([1]raw_orders!C592), "Invalid Date")</f>
        <v>45441</v>
      </c>
      <c r="D592" t="str">
        <f>[1]raw_orders!D592</f>
        <v>CUST-3433</v>
      </c>
      <c r="E592" t="str">
        <f>PROPER(TRIM([1]raw_orders!E592))</f>
        <v>Aarav Sharma</v>
      </c>
      <c r="F592" t="str">
        <f>PROPER(TRIM([1]raw_orders!F592))</f>
        <v>Home Office</v>
      </c>
      <c r="G592" t="str">
        <f>IF(TRIM([1]raw_orders!G592)="","Unknown",PROPER(TRIM([1]raw_orders!G592)))</f>
        <v>North</v>
      </c>
      <c r="H592" t="str">
        <f>PROPER(TRIM([1]raw_orders!H592))</f>
        <v>Delhi</v>
      </c>
      <c r="I592" t="str">
        <f>PROPER(TRIM([1]raw_orders!I592))</f>
        <v>New Delhi</v>
      </c>
      <c r="J592" t="str">
        <f>PROPER(TRIM([1]raw_orders!J592))</f>
        <v>Furniture</v>
      </c>
      <c r="K592" t="str">
        <f>PROPER(TRIM([1]raw_orders!K592))</f>
        <v>Chairs</v>
      </c>
      <c r="L592" t="str">
        <f>[1]raw_orders!L592</f>
        <v>Elite Chairs 372</v>
      </c>
      <c r="M592" t="str">
        <f>IF(TRIM([1]raw_orders!M592)="","Unknown",PROPER(TRIM([1]raw_orders!M592)))</f>
        <v>Same Day</v>
      </c>
      <c r="N592" s="5">
        <f>[1]raw_orders!N592</f>
        <v>6</v>
      </c>
      <c r="O592" s="5">
        <f>[1]raw_orders!O592</f>
        <v>3430.35</v>
      </c>
      <c r="P592" s="5">
        <f>[1]raw_orders!P592</f>
        <v>0</v>
      </c>
      <c r="Q592" t="str">
        <f>PROPER(TRIM([1]raw_orders!T592))</f>
        <v>Pending</v>
      </c>
      <c r="R592" t="str">
        <f>PROPER(TRIM([1]raw_orders!U592))</f>
        <v>Cancelled</v>
      </c>
      <c r="S592" s="5">
        <f>[1]raw_orders!S592</f>
        <v>4684.45</v>
      </c>
      <c r="T592" s="5">
        <f t="shared" si="72"/>
        <v>46.844499999999996</v>
      </c>
      <c r="U592" s="5">
        <f t="shared" si="73"/>
        <v>-943576.08344999992</v>
      </c>
      <c r="V592" s="5">
        <f t="shared" si="74"/>
        <v>-943576.08344999992</v>
      </c>
      <c r="W592" s="5">
        <f t="shared" si="75"/>
        <v>1</v>
      </c>
      <c r="X592" s="5">
        <f t="shared" si="76"/>
        <v>0</v>
      </c>
      <c r="Y592" s="5">
        <f t="shared" si="77"/>
        <v>5</v>
      </c>
      <c r="Z592" s="5">
        <f t="shared" si="78"/>
        <v>2024</v>
      </c>
      <c r="AA592" t="str">
        <f t="shared" si="79"/>
        <v>Clean</v>
      </c>
    </row>
    <row r="593" spans="1:27" x14ac:dyDescent="0.3">
      <c r="A593" t="str">
        <f>[1]raw_orders!A593</f>
        <v>ORD-2024-10592</v>
      </c>
      <c r="B593" s="4">
        <f>IFERROR(DATEVALUE([1]raw_orders!B593), "Invalid Date")</f>
        <v>45344</v>
      </c>
      <c r="C593" s="4">
        <f>IFERROR(DATEVALUE([1]raw_orders!C593), "Invalid Date")</f>
        <v>45346</v>
      </c>
      <c r="D593" t="str">
        <f>[1]raw_orders!D593</f>
        <v>CUST-2423</v>
      </c>
      <c r="E593" t="str">
        <f>PROPER(TRIM([1]raw_orders!E593))</f>
        <v>Sneha Kapoor</v>
      </c>
      <c r="F593" t="str">
        <f>PROPER(TRIM([1]raw_orders!F593))</f>
        <v>Consumer</v>
      </c>
      <c r="G593" t="str">
        <f>IF(TRIM([1]raw_orders!G593)="","Unknown",PROPER(TRIM([1]raw_orders!G593)))</f>
        <v>South</v>
      </c>
      <c r="H593" t="str">
        <f>PROPER(TRIM([1]raw_orders!H593))</f>
        <v>Karnataka</v>
      </c>
      <c r="I593" t="str">
        <f>PROPER(TRIM([1]raw_orders!I593))</f>
        <v>Bengaluru</v>
      </c>
      <c r="J593" t="str">
        <f>PROPER(TRIM([1]raw_orders!J593))</f>
        <v>Technology</v>
      </c>
      <c r="K593" t="str">
        <f>PROPER(TRIM([1]raw_orders!K593))</f>
        <v>Copiers</v>
      </c>
      <c r="L593" t="str">
        <f>[1]raw_orders!L593</f>
        <v>Eco Copiers 324</v>
      </c>
      <c r="M593" t="str">
        <f>IF(TRIM([1]raw_orders!M593)="","Unknown",PROPER(TRIM([1]raw_orders!M593)))</f>
        <v>First Class</v>
      </c>
      <c r="N593" s="5">
        <f>[1]raw_orders!N593</f>
        <v>3</v>
      </c>
      <c r="O593" s="5">
        <f>[1]raw_orders!O593</f>
        <v>3545.08</v>
      </c>
      <c r="P593" s="5">
        <f>[1]raw_orders!P593</f>
        <v>0</v>
      </c>
      <c r="Q593" t="str">
        <f>PROPER(TRIM([1]raw_orders!T593))</f>
        <v>Failed</v>
      </c>
      <c r="R593" t="str">
        <f>PROPER(TRIM([1]raw_orders!U593))</f>
        <v>Returned</v>
      </c>
      <c r="S593" s="5">
        <f>[1]raw_orders!S593</f>
        <v>4603.3599999999997</v>
      </c>
      <c r="T593" s="5">
        <f t="shared" si="72"/>
        <v>46.0336</v>
      </c>
      <c r="U593" s="5">
        <f t="shared" si="73"/>
        <v>-478943.14406399999</v>
      </c>
      <c r="V593" s="5">
        <f t="shared" si="74"/>
        <v>-478943.14406399999</v>
      </c>
      <c r="W593" s="5">
        <f t="shared" si="75"/>
        <v>1</v>
      </c>
      <c r="X593" s="5">
        <f t="shared" si="76"/>
        <v>2</v>
      </c>
      <c r="Y593" s="5">
        <f t="shared" si="77"/>
        <v>2</v>
      </c>
      <c r="Z593" s="5">
        <f t="shared" si="78"/>
        <v>2024</v>
      </c>
      <c r="AA593" t="str">
        <f t="shared" si="79"/>
        <v>Clean</v>
      </c>
    </row>
    <row r="594" spans="1:27" x14ac:dyDescent="0.3">
      <c r="A594" t="str">
        <f>[1]raw_orders!A594</f>
        <v>ORD-2024-10593</v>
      </c>
      <c r="B594" s="4">
        <f>IFERROR(DATEVALUE([1]raw_orders!B594), "Invalid Date")</f>
        <v>45355</v>
      </c>
      <c r="C594" s="4">
        <f>IFERROR(DATEVALUE([1]raw_orders!C594), "Invalid Date")</f>
        <v>45360</v>
      </c>
      <c r="D594" t="str">
        <f>[1]raw_orders!D594</f>
        <v>CUST-3559</v>
      </c>
      <c r="E594" t="str">
        <f>PROPER(TRIM([1]raw_orders!E594))</f>
        <v>Mira Das</v>
      </c>
      <c r="F594" t="str">
        <f>PROPER(TRIM([1]raw_orders!F594))</f>
        <v>Consumer</v>
      </c>
      <c r="G594" t="str">
        <f>IF(TRIM([1]raw_orders!G594)="","Unknown",PROPER(TRIM([1]raw_orders!G594)))</f>
        <v>East</v>
      </c>
      <c r="H594" t="str">
        <f>PROPER(TRIM([1]raw_orders!H594))</f>
        <v>West Bengal</v>
      </c>
      <c r="I594" t="str">
        <f>PROPER(TRIM([1]raw_orders!I594))</f>
        <v>Kolkata</v>
      </c>
      <c r="J594" t="str">
        <f>PROPER(TRIM([1]raw_orders!J594))</f>
        <v>Technology</v>
      </c>
      <c r="K594" t="str">
        <f>PROPER(TRIM([1]raw_orders!K594))</f>
        <v>Accessories</v>
      </c>
      <c r="L594" t="str">
        <f>[1]raw_orders!L594</f>
        <v>Classic Accessories 131</v>
      </c>
      <c r="M594" t="str">
        <f>IF(TRIM([1]raw_orders!M594)="","Unknown",PROPER(TRIM([1]raw_orders!M594)))</f>
        <v>Same Day</v>
      </c>
      <c r="N594" s="5">
        <f>[1]raw_orders!N594</f>
        <v>8</v>
      </c>
      <c r="O594" s="5">
        <f>[1]raw_orders!O594</f>
        <v>4401.41</v>
      </c>
      <c r="P594" s="5">
        <f>[1]raw_orders!P594</f>
        <v>0.15</v>
      </c>
      <c r="Q594" t="str">
        <f>PROPER(TRIM([1]raw_orders!T594))</f>
        <v>Paid</v>
      </c>
      <c r="R594" t="str">
        <f>PROPER(TRIM([1]raw_orders!U594))</f>
        <v>Completed</v>
      </c>
      <c r="S594" s="5">
        <f>[1]raw_orders!S594</f>
        <v>7493.56</v>
      </c>
      <c r="T594" s="5">
        <f t="shared" si="72"/>
        <v>74.935600000000008</v>
      </c>
      <c r="U594" s="5">
        <f t="shared" si="73"/>
        <v>-2603367.113568</v>
      </c>
      <c r="V594" s="5">
        <f t="shared" si="74"/>
        <v>-2603367.2635679999</v>
      </c>
      <c r="W594" s="5">
        <f t="shared" si="75"/>
        <v>1.0000000576176902</v>
      </c>
      <c r="X594" s="5">
        <f t="shared" si="76"/>
        <v>5</v>
      </c>
      <c r="Y594" s="5">
        <f t="shared" si="77"/>
        <v>3</v>
      </c>
      <c r="Z594" s="5">
        <f t="shared" si="78"/>
        <v>2024</v>
      </c>
      <c r="AA594" t="str">
        <f t="shared" si="79"/>
        <v>Clean</v>
      </c>
    </row>
    <row r="595" spans="1:27" x14ac:dyDescent="0.3">
      <c r="A595" t="str">
        <f>[1]raw_orders!A595</f>
        <v>ORD-2025-10594</v>
      </c>
      <c r="B595" s="4" t="str">
        <f>IFERROR(DATEVALUE([1]raw_orders!B595), "Invalid Date")</f>
        <v>Invalid Date</v>
      </c>
      <c r="C595" s="4">
        <f>IFERROR(DATEVALUE([1]raw_orders!C595), "Invalid Date")</f>
        <v>45929</v>
      </c>
      <c r="D595" t="str">
        <f>[1]raw_orders!D595</f>
        <v>CUST-2917</v>
      </c>
      <c r="E595" t="str">
        <f>PROPER(TRIM([1]raw_orders!E595))</f>
        <v>Arjun Bose</v>
      </c>
      <c r="F595" t="str">
        <f>PROPER(TRIM([1]raw_orders!F595))</f>
        <v>Home Office</v>
      </c>
      <c r="G595" t="str">
        <f>IF(TRIM([1]raw_orders!G595)="","Unknown",PROPER(TRIM([1]raw_orders!G595)))</f>
        <v>North</v>
      </c>
      <c r="H595" t="str">
        <f>PROPER(TRIM([1]raw_orders!H595))</f>
        <v>Uttar Pradesh</v>
      </c>
      <c r="I595" t="str">
        <f>PROPER(TRIM([1]raw_orders!I595))</f>
        <v>Noida</v>
      </c>
      <c r="J595" t="str">
        <f>PROPER(TRIM([1]raw_orders!J595))</f>
        <v>Furniture</v>
      </c>
      <c r="K595" t="str">
        <f>PROPER(TRIM([1]raw_orders!K595))</f>
        <v>Tables</v>
      </c>
      <c r="L595" t="str">
        <f>[1]raw_orders!L595</f>
        <v>Eco Tables 550</v>
      </c>
      <c r="M595" t="str">
        <f>IF(TRIM([1]raw_orders!M595)="","Unknown",PROPER(TRIM([1]raw_orders!M595)))</f>
        <v>Second Class</v>
      </c>
      <c r="N595" s="5">
        <f>[1]raw_orders!N595</f>
        <v>9</v>
      </c>
      <c r="O595" s="5">
        <f>[1]raw_orders!O595</f>
        <v>4100.1099999999997</v>
      </c>
      <c r="P595" s="5">
        <f>[1]raw_orders!P595</f>
        <v>0.25</v>
      </c>
      <c r="Q595" t="str">
        <f>PROPER(TRIM([1]raw_orders!T595))</f>
        <v>Paid</v>
      </c>
      <c r="R595" t="str">
        <f>PROPER(TRIM([1]raw_orders!U595))</f>
        <v>Completed</v>
      </c>
      <c r="S595" s="5">
        <f>[1]raw_orders!S595</f>
        <v>12104.66</v>
      </c>
      <c r="T595" s="5">
        <f t="shared" si="72"/>
        <v>121.0466</v>
      </c>
      <c r="U595" s="5">
        <f t="shared" si="73"/>
        <v>-4429838.3861339996</v>
      </c>
      <c r="V595" s="5">
        <f t="shared" si="74"/>
        <v>-4429838.6361339996</v>
      </c>
      <c r="W595" s="5">
        <f t="shared" si="75"/>
        <v>1.0000000564354674</v>
      </c>
      <c r="X595" s="5" t="str">
        <f t="shared" si="76"/>
        <v>Invalid Date</v>
      </c>
      <c r="Y595" s="5" t="e">
        <f t="shared" si="77"/>
        <v>#VALUE!</v>
      </c>
      <c r="Z595" s="5" t="e">
        <f t="shared" si="78"/>
        <v>#VALUE!</v>
      </c>
      <c r="AA595" t="str">
        <f t="shared" si="79"/>
        <v>Clean</v>
      </c>
    </row>
    <row r="596" spans="1:27" x14ac:dyDescent="0.3">
      <c r="A596" t="str">
        <f>[1]raw_orders!A596</f>
        <v>ORD-2024-10595</v>
      </c>
      <c r="B596" s="4">
        <f>IFERROR(DATEVALUE([1]raw_orders!B596), "Invalid Date")</f>
        <v>45554</v>
      </c>
      <c r="C596" s="4">
        <f>IFERROR(DATEVALUE([1]raw_orders!C596), "Invalid Date")</f>
        <v>45556</v>
      </c>
      <c r="D596" t="str">
        <f>[1]raw_orders!D596</f>
        <v>CUST-6850</v>
      </c>
      <c r="E596" t="str">
        <f>PROPER(TRIM([1]raw_orders!E596))</f>
        <v>Karan Malhotra</v>
      </c>
      <c r="F596" t="str">
        <f>PROPER(TRIM([1]raw_orders!F596))</f>
        <v>Small Business</v>
      </c>
      <c r="G596" t="str">
        <f>IF(TRIM([1]raw_orders!G596)="","Unknown",PROPER(TRIM([1]raw_orders!G596)))</f>
        <v>East</v>
      </c>
      <c r="H596" t="str">
        <f>PROPER(TRIM([1]raw_orders!H596))</f>
        <v>West Bengal</v>
      </c>
      <c r="I596" t="str">
        <f>PROPER(TRIM([1]raw_orders!I596))</f>
        <v>Kolkata</v>
      </c>
      <c r="J596" t="str">
        <f>PROPER(TRIM([1]raw_orders!J596))</f>
        <v>Furniture</v>
      </c>
      <c r="K596" t="str">
        <f>PROPER(TRIM([1]raw_orders!K596))</f>
        <v>Chairs</v>
      </c>
      <c r="L596" t="str">
        <f>[1]raw_orders!L596</f>
        <v>Basic Chairs 932</v>
      </c>
      <c r="M596" t="str">
        <f>IF(TRIM([1]raw_orders!M596)="","Unknown",PROPER(TRIM([1]raw_orders!M596)))</f>
        <v>First Class</v>
      </c>
      <c r="N596" s="5">
        <f>[1]raw_orders!N596</f>
        <v>3</v>
      </c>
      <c r="O596" s="5">
        <f>[1]raw_orders!O596</f>
        <v>3981.76</v>
      </c>
      <c r="P596" s="5">
        <f>[1]raw_orders!P596</f>
        <v>0</v>
      </c>
      <c r="Q596" t="str">
        <f>PROPER(TRIM([1]raw_orders!T596))</f>
        <v>Paid</v>
      </c>
      <c r="R596" t="str">
        <f>PROPER(TRIM([1]raw_orders!U596))</f>
        <v>Completed</v>
      </c>
      <c r="S596" s="5">
        <f>[1]raw_orders!S596</f>
        <v>2244.9699999999998</v>
      </c>
      <c r="T596" s="5">
        <f t="shared" si="72"/>
        <v>22.449699999999996</v>
      </c>
      <c r="U596" s="5">
        <f t="shared" si="73"/>
        <v>-256222.67241599996</v>
      </c>
      <c r="V596" s="5">
        <f t="shared" si="74"/>
        <v>-256222.67241599996</v>
      </c>
      <c r="W596" s="5">
        <f t="shared" si="75"/>
        <v>1</v>
      </c>
      <c r="X596" s="5">
        <f t="shared" si="76"/>
        <v>2</v>
      </c>
      <c r="Y596" s="5">
        <f t="shared" si="77"/>
        <v>9</v>
      </c>
      <c r="Z596" s="5">
        <f t="shared" si="78"/>
        <v>2024</v>
      </c>
      <c r="AA596" t="str">
        <f t="shared" si="79"/>
        <v>Clean</v>
      </c>
    </row>
    <row r="597" spans="1:27" x14ac:dyDescent="0.3">
      <c r="A597" t="str">
        <f>[1]raw_orders!A597</f>
        <v>ORD-2025-10596</v>
      </c>
      <c r="B597" s="4">
        <f>IFERROR(DATEVALUE([1]raw_orders!B597), "Invalid Date")</f>
        <v>45963</v>
      </c>
      <c r="C597" s="4">
        <f>IFERROR(DATEVALUE([1]raw_orders!C597), "Invalid Date")</f>
        <v>45704</v>
      </c>
      <c r="D597" t="str">
        <f>[1]raw_orders!D597</f>
        <v>CUST-5566</v>
      </c>
      <c r="E597" t="str">
        <f>PROPER(TRIM([1]raw_orders!E597))</f>
        <v>Mira Das</v>
      </c>
      <c r="F597" t="str">
        <f>PROPER(TRIM([1]raw_orders!F597))</f>
        <v>Corporate</v>
      </c>
      <c r="G597" t="str">
        <f>IF(TRIM([1]raw_orders!G597)="","Unknown",PROPER(TRIM([1]raw_orders!G597)))</f>
        <v>North</v>
      </c>
      <c r="H597" t="str">
        <f>PROPER(TRIM([1]raw_orders!H597))</f>
        <v>Uttar Pradesh</v>
      </c>
      <c r="I597" t="str">
        <f>PROPER(TRIM([1]raw_orders!I597))</f>
        <v>Noida</v>
      </c>
      <c r="J597" t="str">
        <f>PROPER(TRIM([1]raw_orders!J597))</f>
        <v>Technology</v>
      </c>
      <c r="K597" t="str">
        <f>PROPER(TRIM([1]raw_orders!K597))</f>
        <v>Phones</v>
      </c>
      <c r="L597" t="str">
        <f>[1]raw_orders!L597</f>
        <v>Classic Phones 294</v>
      </c>
      <c r="M597" t="str">
        <f>IF(TRIM([1]raw_orders!M597)="","Unknown",PROPER(TRIM([1]raw_orders!M597)))</f>
        <v>First Class</v>
      </c>
      <c r="N597" s="5">
        <f>[1]raw_orders!N597</f>
        <v>8</v>
      </c>
      <c r="O597" s="5">
        <f>[1]raw_orders!O597</f>
        <v>1825.56</v>
      </c>
      <c r="P597" s="5">
        <f>[1]raw_orders!P597</f>
        <v>0.1</v>
      </c>
      <c r="Q597" t="str">
        <f>PROPER(TRIM([1]raw_orders!T597))</f>
        <v>Paid</v>
      </c>
      <c r="R597" t="str">
        <f>PROPER(TRIM([1]raw_orders!U597))</f>
        <v>Completed</v>
      </c>
      <c r="S597" s="5">
        <f>[1]raw_orders!S597</f>
        <v>3380.03</v>
      </c>
      <c r="T597" s="5">
        <f t="shared" si="72"/>
        <v>33.8003</v>
      </c>
      <c r="U597" s="5">
        <f t="shared" si="73"/>
        <v>-479031.32534400001</v>
      </c>
      <c r="V597" s="5">
        <f t="shared" si="74"/>
        <v>-479031.42534399999</v>
      </c>
      <c r="W597" s="5">
        <f t="shared" si="75"/>
        <v>1.0000002087546151</v>
      </c>
      <c r="X597" s="5">
        <f t="shared" si="76"/>
        <v>-259</v>
      </c>
      <c r="Y597" s="5">
        <f t="shared" si="77"/>
        <v>11</v>
      </c>
      <c r="Z597" s="5">
        <f t="shared" si="78"/>
        <v>2025</v>
      </c>
      <c r="AA597" t="str">
        <f t="shared" si="79"/>
        <v>Invalid</v>
      </c>
    </row>
    <row r="598" spans="1:27" x14ac:dyDescent="0.3">
      <c r="A598" t="str">
        <f>[1]raw_orders!A598</f>
        <v>ORD-2024-10597</v>
      </c>
      <c r="B598" s="4">
        <f>IFERROR(DATEVALUE([1]raw_orders!B598), "Invalid Date")</f>
        <v>45392</v>
      </c>
      <c r="C598" s="4" t="str">
        <f>IFERROR(DATEVALUE([1]raw_orders!C598), "Invalid Date")</f>
        <v>Invalid Date</v>
      </c>
      <c r="D598" t="str">
        <f>[1]raw_orders!D598</f>
        <v>CUST-2593</v>
      </c>
      <c r="E598" t="str">
        <f>PROPER(TRIM([1]raw_orders!E598))</f>
        <v>Aditi Sen</v>
      </c>
      <c r="F598" t="str">
        <f>PROPER(TRIM([1]raw_orders!F598))</f>
        <v>Consumer</v>
      </c>
      <c r="G598" t="str">
        <f>IF(TRIM([1]raw_orders!G598)="","Unknown",PROPER(TRIM([1]raw_orders!G598)))</f>
        <v>South</v>
      </c>
      <c r="H598" t="str">
        <f>PROPER(TRIM([1]raw_orders!H598))</f>
        <v>Kerala</v>
      </c>
      <c r="I598" t="str">
        <f>PROPER(TRIM([1]raw_orders!I598))</f>
        <v>Kochi</v>
      </c>
      <c r="J598" t="str">
        <f>PROPER(TRIM([1]raw_orders!J598))</f>
        <v>Furniture</v>
      </c>
      <c r="K598" t="str">
        <f>PROPER(TRIM([1]raw_orders!K598))</f>
        <v>Chairs</v>
      </c>
      <c r="L598" t="str">
        <f>[1]raw_orders!L598</f>
        <v>Elite Chairs 700</v>
      </c>
      <c r="M598" t="str">
        <f>IF(TRIM([1]raw_orders!M598)="","Unknown",PROPER(TRIM([1]raw_orders!M598)))</f>
        <v>Second Class</v>
      </c>
      <c r="N598" s="5">
        <f>[1]raw_orders!N598</f>
        <v>9</v>
      </c>
      <c r="O598" s="5">
        <f>[1]raw_orders!O598</f>
        <v>2723.26</v>
      </c>
      <c r="P598" s="5">
        <f>[1]raw_orders!P598</f>
        <v>0.25</v>
      </c>
      <c r="Q598" t="str">
        <f>PROPER(TRIM([1]raw_orders!T598))</f>
        <v>Paid</v>
      </c>
      <c r="R598" t="str">
        <f>PROPER(TRIM([1]raw_orders!U598))</f>
        <v>Completed</v>
      </c>
      <c r="S598" s="5">
        <f>[1]raw_orders!S598</f>
        <v>5273.81</v>
      </c>
      <c r="T598" s="5">
        <f t="shared" si="72"/>
        <v>52.738100000000003</v>
      </c>
      <c r="U598" s="5">
        <f t="shared" si="73"/>
        <v>-1268066.6838540002</v>
      </c>
      <c r="V598" s="5">
        <f t="shared" si="74"/>
        <v>-1268066.9338540002</v>
      </c>
      <c r="W598" s="5">
        <f t="shared" si="75"/>
        <v>1.0000001971505152</v>
      </c>
      <c r="X598" s="5" t="str">
        <f t="shared" si="76"/>
        <v>Invalid Date</v>
      </c>
      <c r="Y598" s="5">
        <f t="shared" si="77"/>
        <v>4</v>
      </c>
      <c r="Z598" s="5">
        <f t="shared" si="78"/>
        <v>2024</v>
      </c>
      <c r="AA598" t="str">
        <f t="shared" si="79"/>
        <v>Clean</v>
      </c>
    </row>
    <row r="599" spans="1:27" x14ac:dyDescent="0.3">
      <c r="A599" t="str">
        <f>[1]raw_orders!A599</f>
        <v>ORD-2025-10598</v>
      </c>
      <c r="B599" s="4">
        <f>IFERROR(DATEVALUE([1]raw_orders!B599), "Invalid Date")</f>
        <v>45846</v>
      </c>
      <c r="C599" s="4">
        <f>IFERROR(DATEVALUE([1]raw_orders!C599), "Invalid Date")</f>
        <v>45876</v>
      </c>
      <c r="D599" t="str">
        <f>[1]raw_orders!D599</f>
        <v>CUST-6957</v>
      </c>
      <c r="E599" t="str">
        <f>PROPER(TRIM([1]raw_orders!E599))</f>
        <v>Aditi Sen</v>
      </c>
      <c r="F599" t="str">
        <f>PROPER(TRIM([1]raw_orders!F599))</f>
        <v>Consumer</v>
      </c>
      <c r="G599" t="str">
        <f>IF(TRIM([1]raw_orders!G599)="","Unknown",PROPER(TRIM([1]raw_orders!G599)))</f>
        <v>South</v>
      </c>
      <c r="H599" t="str">
        <f>PROPER(TRIM([1]raw_orders!H599))</f>
        <v>Telangana</v>
      </c>
      <c r="I599" t="str">
        <f>PROPER(TRIM([1]raw_orders!I599))</f>
        <v>Hyderabad</v>
      </c>
      <c r="J599" t="str">
        <f>PROPER(TRIM([1]raw_orders!J599))</f>
        <v>Technology</v>
      </c>
      <c r="K599" t="str">
        <f>PROPER(TRIM([1]raw_orders!K599))</f>
        <v>Copiers</v>
      </c>
      <c r="L599" t="str">
        <f>[1]raw_orders!L599</f>
        <v>Prime Copiers 969</v>
      </c>
      <c r="M599" t="str">
        <f>IF(TRIM([1]raw_orders!M599)="","Unknown",PROPER(TRIM([1]raw_orders!M599)))</f>
        <v>Same Day</v>
      </c>
      <c r="N599" s="5">
        <f>[1]raw_orders!N599</f>
        <v>9</v>
      </c>
      <c r="O599" s="5">
        <f>[1]raw_orders!O599</f>
        <v>274.88</v>
      </c>
      <c r="P599" s="5">
        <f>[1]raw_orders!P599</f>
        <v>0.25</v>
      </c>
      <c r="Q599" t="str">
        <f>PROPER(TRIM([1]raw_orders!T599))</f>
        <v>Paid</v>
      </c>
      <c r="R599" t="str">
        <f>PROPER(TRIM([1]raw_orders!U599))</f>
        <v>Completed</v>
      </c>
      <c r="S599" s="5">
        <f>[1]raw_orders!S599</f>
        <v>592.70000000000005</v>
      </c>
      <c r="T599" s="5">
        <f t="shared" si="72"/>
        <v>5.9270000000000005</v>
      </c>
      <c r="U599" s="5">
        <f t="shared" si="73"/>
        <v>-12189.003840000001</v>
      </c>
      <c r="V599" s="5">
        <f t="shared" si="74"/>
        <v>-12189.253840000001</v>
      </c>
      <c r="W599" s="5">
        <f t="shared" si="75"/>
        <v>1.0000205102897071</v>
      </c>
      <c r="X599" s="5">
        <f t="shared" si="76"/>
        <v>30</v>
      </c>
      <c r="Y599" s="5">
        <f t="shared" si="77"/>
        <v>7</v>
      </c>
      <c r="Z599" s="5">
        <f t="shared" si="78"/>
        <v>2025</v>
      </c>
      <c r="AA599" t="str">
        <f t="shared" si="79"/>
        <v>Clean</v>
      </c>
    </row>
    <row r="600" spans="1:27" x14ac:dyDescent="0.3">
      <c r="A600" t="str">
        <f>[1]raw_orders!A600</f>
        <v>ORD-2024-10599</v>
      </c>
      <c r="B600" s="4" t="str">
        <f>IFERROR(DATEVALUE([1]raw_orders!B600), "Invalid Date")</f>
        <v>Invalid Date</v>
      </c>
      <c r="C600" s="4" t="str">
        <f>IFERROR(DATEVALUE([1]raw_orders!C600), "Invalid Date")</f>
        <v>Invalid Date</v>
      </c>
      <c r="D600" t="str">
        <f>[1]raw_orders!D600</f>
        <v>CUST-8498</v>
      </c>
      <c r="E600" t="str">
        <f>PROPER(TRIM([1]raw_orders!E600))</f>
        <v>Ananya Rao</v>
      </c>
      <c r="F600" t="str">
        <f>PROPER(TRIM([1]raw_orders!F600))</f>
        <v>Corporate</v>
      </c>
      <c r="G600" t="str">
        <f>IF(TRIM([1]raw_orders!G600)="","Unknown",PROPER(TRIM([1]raw_orders!G600)))</f>
        <v>East</v>
      </c>
      <c r="H600" t="str">
        <f>PROPER(TRIM([1]raw_orders!H600))</f>
        <v>West Bengal</v>
      </c>
      <c r="I600" t="str">
        <f>PROPER(TRIM([1]raw_orders!I600))</f>
        <v>Kolkata</v>
      </c>
      <c r="J600" t="str">
        <f>PROPER(TRIM([1]raw_orders!J600))</f>
        <v>Technology</v>
      </c>
      <c r="K600" t="str">
        <f>PROPER(TRIM([1]raw_orders!K600))</f>
        <v>Copiers</v>
      </c>
      <c r="L600" t="str">
        <f>[1]raw_orders!L600</f>
        <v>Eco Copiers 268</v>
      </c>
      <c r="M600" t="str">
        <f>IF(TRIM([1]raw_orders!M600)="","Unknown",PROPER(TRIM([1]raw_orders!M600)))</f>
        <v>Same Day</v>
      </c>
      <c r="N600" s="5">
        <f>[1]raw_orders!N600</f>
        <v>3</v>
      </c>
      <c r="O600" s="5">
        <f>[1]raw_orders!O600</f>
        <v>1490.69</v>
      </c>
      <c r="P600" s="5">
        <f>[1]raw_orders!P600</f>
        <v>0.25</v>
      </c>
      <c r="Q600" t="str">
        <f>PROPER(TRIM([1]raw_orders!T600))</f>
        <v>Paid</v>
      </c>
      <c r="R600" t="str">
        <f>PROPER(TRIM([1]raw_orders!U600))</f>
        <v>Completed</v>
      </c>
      <c r="S600" s="5">
        <f>[1]raw_orders!S600</f>
        <v>681.38</v>
      </c>
      <c r="T600" s="5">
        <f t="shared" si="72"/>
        <v>6.8137999999999996</v>
      </c>
      <c r="U600" s="5">
        <f t="shared" si="73"/>
        <v>-25999.720565999996</v>
      </c>
      <c r="V600" s="5">
        <f t="shared" si="74"/>
        <v>-25999.970565999996</v>
      </c>
      <c r="W600" s="5">
        <f t="shared" si="75"/>
        <v>1.0000096154879574</v>
      </c>
      <c r="X600" s="5" t="str">
        <f t="shared" si="76"/>
        <v>Invalid Date</v>
      </c>
      <c r="Y600" s="5" t="e">
        <f t="shared" si="77"/>
        <v>#VALUE!</v>
      </c>
      <c r="Z600" s="5" t="e">
        <f t="shared" si="78"/>
        <v>#VALUE!</v>
      </c>
      <c r="AA600" t="str">
        <f t="shared" si="79"/>
        <v>Clean</v>
      </c>
    </row>
    <row r="601" spans="1:27" x14ac:dyDescent="0.3">
      <c r="A601" t="str">
        <f>[1]raw_orders!A601</f>
        <v>ORD-2024-10600</v>
      </c>
      <c r="B601" s="4">
        <f>IFERROR(DATEVALUE([1]raw_orders!B601), "Invalid Date")</f>
        <v>45523</v>
      </c>
      <c r="C601" s="4">
        <f>IFERROR(DATEVALUE([1]raw_orders!C601), "Invalid Date")</f>
        <v>45525</v>
      </c>
      <c r="D601" t="str">
        <f>[1]raw_orders!D601</f>
        <v>CUST-2612</v>
      </c>
      <c r="E601" t="str">
        <f>PROPER(TRIM([1]raw_orders!E601))</f>
        <v>Arjun Bose</v>
      </c>
      <c r="F601" t="str">
        <f>PROPER(TRIM([1]raw_orders!F601))</f>
        <v>Consumer</v>
      </c>
      <c r="G601" t="str">
        <f>IF(TRIM([1]raw_orders!G601)="","Unknown",PROPER(TRIM([1]raw_orders!G601)))</f>
        <v>North</v>
      </c>
      <c r="H601" t="str">
        <f>PROPER(TRIM([1]raw_orders!H601))</f>
        <v>Punjab</v>
      </c>
      <c r="I601" t="str">
        <f>PROPER(TRIM([1]raw_orders!I601))</f>
        <v>Ludhiana</v>
      </c>
      <c r="J601" t="str">
        <f>PROPER(TRIM([1]raw_orders!J601))</f>
        <v>Technology</v>
      </c>
      <c r="K601" t="str">
        <f>PROPER(TRIM([1]raw_orders!K601))</f>
        <v>Phones</v>
      </c>
      <c r="L601" t="str">
        <f>[1]raw_orders!L601</f>
        <v>Pro Phones 588</v>
      </c>
      <c r="M601" t="str">
        <f>IF(TRIM([1]raw_orders!M601)="","Unknown",PROPER(TRIM([1]raw_orders!M601)))</f>
        <v>First Class</v>
      </c>
      <c r="N601" s="5">
        <f>[1]raw_orders!N601</f>
        <v>3</v>
      </c>
      <c r="O601" s="5">
        <f>[1]raw_orders!O601</f>
        <v>1103.54</v>
      </c>
      <c r="P601" s="5">
        <f>[1]raw_orders!P601</f>
        <v>0.25</v>
      </c>
      <c r="Q601" t="str">
        <f>PROPER(TRIM([1]raw_orders!T601))</f>
        <v>Paid</v>
      </c>
      <c r="R601" t="str">
        <f>PROPER(TRIM([1]raw_orders!U601))</f>
        <v>Completed</v>
      </c>
      <c r="S601" s="5">
        <f>[1]raw_orders!S601</f>
        <v>861.25</v>
      </c>
      <c r="T601" s="5">
        <f t="shared" si="72"/>
        <v>8.6125000000000007</v>
      </c>
      <c r="U601" s="5">
        <f t="shared" si="73"/>
        <v>-25202.09475</v>
      </c>
      <c r="V601" s="5">
        <f t="shared" si="74"/>
        <v>-25202.34475</v>
      </c>
      <c r="W601" s="5">
        <f t="shared" si="75"/>
        <v>1.0000099198103365</v>
      </c>
      <c r="X601" s="5">
        <f t="shared" si="76"/>
        <v>2</v>
      </c>
      <c r="Y601" s="5">
        <f t="shared" si="77"/>
        <v>8</v>
      </c>
      <c r="Z601" s="5">
        <f t="shared" si="78"/>
        <v>2024</v>
      </c>
      <c r="AA601" t="str">
        <f t="shared" si="79"/>
        <v>Clean</v>
      </c>
    </row>
    <row r="602" spans="1:27" x14ac:dyDescent="0.3">
      <c r="A602" t="str">
        <f>[1]raw_orders!A602</f>
        <v>ORD-2025-10601</v>
      </c>
      <c r="B602" s="4">
        <f>IFERROR(DATEVALUE([1]raw_orders!B602), "Invalid Date")</f>
        <v>45721</v>
      </c>
      <c r="C602" s="4">
        <f>IFERROR(DATEVALUE([1]raw_orders!C602), "Invalid Date")</f>
        <v>45728</v>
      </c>
      <c r="D602" t="str">
        <f>[1]raw_orders!D602</f>
        <v>CUST-6013</v>
      </c>
      <c r="E602" t="str">
        <f>PROPER(TRIM([1]raw_orders!E602))</f>
        <v>Ananya Rao</v>
      </c>
      <c r="F602" t="str">
        <f>PROPER(TRIM([1]raw_orders!F602))</f>
        <v>Corporate</v>
      </c>
      <c r="G602" t="str">
        <f>IF(TRIM([1]raw_orders!G602)="","Unknown",PROPER(TRIM([1]raw_orders!G602)))</f>
        <v>West</v>
      </c>
      <c r="H602" t="str">
        <f>PROPER(TRIM([1]raw_orders!H602))</f>
        <v>Madhya Pradesh</v>
      </c>
      <c r="I602" t="str">
        <f>PROPER(TRIM([1]raw_orders!I602))</f>
        <v>Indore</v>
      </c>
      <c r="J602" t="str">
        <f>PROPER(TRIM([1]raw_orders!J602))</f>
        <v>Office Supplies</v>
      </c>
      <c r="K602" t="str">
        <f>PROPER(TRIM([1]raw_orders!K602))</f>
        <v>Storage</v>
      </c>
      <c r="L602" t="str">
        <f>[1]raw_orders!L602</f>
        <v>Prime Storage 432</v>
      </c>
      <c r="M602" t="str">
        <f>IF(TRIM([1]raw_orders!M602)="","Unknown",PROPER(TRIM([1]raw_orders!M602)))</f>
        <v>Same Day</v>
      </c>
      <c r="N602" s="5">
        <f>[1]raw_orders!N602</f>
        <v>3</v>
      </c>
      <c r="O602" s="5">
        <f>[1]raw_orders!O602</f>
        <v>3682.75</v>
      </c>
      <c r="P602" s="5">
        <f>[1]raw_orders!P602</f>
        <v>0</v>
      </c>
      <c r="Q602" t="str">
        <f>PROPER(TRIM([1]raw_orders!T602))</f>
        <v>Paid</v>
      </c>
      <c r="R602" t="str">
        <f>PROPER(TRIM([1]raw_orders!U602))</f>
        <v>Completed</v>
      </c>
      <c r="S602" s="5">
        <f>[1]raw_orders!S602</f>
        <v>1985.53</v>
      </c>
      <c r="T602" s="5">
        <f t="shared" si="72"/>
        <v>19.8553</v>
      </c>
      <c r="U602" s="5">
        <f t="shared" si="73"/>
        <v>-208318.068225</v>
      </c>
      <c r="V602" s="5">
        <f t="shared" si="74"/>
        <v>-208318.068225</v>
      </c>
      <c r="W602" s="5">
        <f t="shared" si="75"/>
        <v>1</v>
      </c>
      <c r="X602" s="5">
        <f t="shared" si="76"/>
        <v>7</v>
      </c>
      <c r="Y602" s="5">
        <f t="shared" si="77"/>
        <v>3</v>
      </c>
      <c r="Z602" s="5">
        <f t="shared" si="78"/>
        <v>2025</v>
      </c>
      <c r="AA602" t="str">
        <f t="shared" si="79"/>
        <v>Clean</v>
      </c>
    </row>
    <row r="603" spans="1:27" x14ac:dyDescent="0.3">
      <c r="A603" t="str">
        <f>[1]raw_orders!A603</f>
        <v>ORD-2024-10602</v>
      </c>
      <c r="B603" s="4">
        <f>IFERROR(DATEVALUE([1]raw_orders!B603), "Invalid Date")</f>
        <v>45317</v>
      </c>
      <c r="C603" s="4" t="str">
        <f>IFERROR(DATEVALUE([1]raw_orders!C603), "Invalid Date")</f>
        <v>Invalid Date</v>
      </c>
      <c r="D603" t="str">
        <f>[1]raw_orders!D603</f>
        <v>CUST-8289</v>
      </c>
      <c r="E603" t="str">
        <f>PROPER(TRIM([1]raw_orders!E603))</f>
        <v>Ananya Rao</v>
      </c>
      <c r="F603" t="str">
        <f>PROPER(TRIM([1]raw_orders!F603))</f>
        <v>Home Office</v>
      </c>
      <c r="G603" t="str">
        <f>IF(TRIM([1]raw_orders!G603)="","Unknown",PROPER(TRIM([1]raw_orders!G603)))</f>
        <v>East</v>
      </c>
      <c r="H603" t="str">
        <f>PROPER(TRIM([1]raw_orders!H603))</f>
        <v>West Bengal</v>
      </c>
      <c r="I603" t="str">
        <f>PROPER(TRIM([1]raw_orders!I603))</f>
        <v>Kolkata</v>
      </c>
      <c r="J603" t="str">
        <f>PROPER(TRIM([1]raw_orders!J603))</f>
        <v>Office Supplies</v>
      </c>
      <c r="K603" t="str">
        <f>PROPER(TRIM([1]raw_orders!K603))</f>
        <v>Paper</v>
      </c>
      <c r="L603" t="str">
        <f>[1]raw_orders!L603</f>
        <v>Basic Paper 452</v>
      </c>
      <c r="M603" t="str">
        <f>IF(TRIM([1]raw_orders!M603)="","Unknown",PROPER(TRIM([1]raw_orders!M603)))</f>
        <v>Second Class</v>
      </c>
      <c r="N603" s="5">
        <f>[1]raw_orders!N603</f>
        <v>5</v>
      </c>
      <c r="O603" s="5">
        <f>[1]raw_orders!O603</f>
        <v>1615.03</v>
      </c>
      <c r="P603" s="5">
        <f>[1]raw_orders!P603</f>
        <v>0.2</v>
      </c>
      <c r="Q603" t="str">
        <f>PROPER(TRIM([1]raw_orders!T603))</f>
        <v>Paid</v>
      </c>
      <c r="R603" t="str">
        <f>PROPER(TRIM([1]raw_orders!U603))</f>
        <v>Completed</v>
      </c>
      <c r="S603" s="5">
        <f>[1]raw_orders!S603</f>
        <v>2856.09</v>
      </c>
      <c r="T603" s="5">
        <f t="shared" si="72"/>
        <v>28.5609</v>
      </c>
      <c r="U603" s="5">
        <f t="shared" si="73"/>
        <v>-222558.40163499999</v>
      </c>
      <c r="V603" s="5">
        <f t="shared" si="74"/>
        <v>-222558.601635</v>
      </c>
      <c r="W603" s="5">
        <f t="shared" si="75"/>
        <v>1.00000089864053</v>
      </c>
      <c r="X603" s="5" t="str">
        <f t="shared" si="76"/>
        <v>Invalid Date</v>
      </c>
      <c r="Y603" s="5">
        <f t="shared" si="77"/>
        <v>1</v>
      </c>
      <c r="Z603" s="5">
        <f t="shared" si="78"/>
        <v>2024</v>
      </c>
      <c r="AA603" t="str">
        <f t="shared" si="79"/>
        <v>Clean</v>
      </c>
    </row>
    <row r="604" spans="1:27" x14ac:dyDescent="0.3">
      <c r="A604" t="str">
        <f>[1]raw_orders!A604</f>
        <v>ORD-2024-10603</v>
      </c>
      <c r="B604" s="4">
        <f>IFERROR(DATEVALUE([1]raw_orders!B604), "Invalid Date")</f>
        <v>45588</v>
      </c>
      <c r="C604" s="4">
        <f>IFERROR(DATEVALUE([1]raw_orders!C604), "Invalid Date")</f>
        <v>45595</v>
      </c>
      <c r="D604" t="str">
        <f>[1]raw_orders!D604</f>
        <v>CUST-5668</v>
      </c>
      <c r="E604" t="str">
        <f>PROPER(TRIM([1]raw_orders!E604))</f>
        <v>Aarav Sharma</v>
      </c>
      <c r="F604" t="str">
        <f>PROPER(TRIM([1]raw_orders!F604))</f>
        <v>Consumer</v>
      </c>
      <c r="G604" t="str">
        <f>IF(TRIM([1]raw_orders!G604)="","Unknown",PROPER(TRIM([1]raw_orders!G604)))</f>
        <v>East</v>
      </c>
      <c r="H604" t="str">
        <f>PROPER(TRIM([1]raw_orders!H604))</f>
        <v>Jharkhand</v>
      </c>
      <c r="I604" t="str">
        <f>PROPER(TRIM([1]raw_orders!I604))</f>
        <v>Ranchi</v>
      </c>
      <c r="J604" t="str">
        <f>PROPER(TRIM([1]raw_orders!J604))</f>
        <v>Technology</v>
      </c>
      <c r="K604" t="str">
        <f>PROPER(TRIM([1]raw_orders!K604))</f>
        <v>Copiers</v>
      </c>
      <c r="L604" t="str">
        <f>[1]raw_orders!L604</f>
        <v>Max Copiers 477</v>
      </c>
      <c r="M604" t="str">
        <f>IF(TRIM([1]raw_orders!M604)="","Unknown",PROPER(TRIM([1]raw_orders!M604)))</f>
        <v>Second Class</v>
      </c>
      <c r="N604" s="5">
        <f>[1]raw_orders!N604</f>
        <v>9</v>
      </c>
      <c r="O604" s="5">
        <f>[1]raw_orders!O604</f>
        <v>3423.82</v>
      </c>
      <c r="P604" s="5">
        <f>[1]raw_orders!P604</f>
        <v>0.15</v>
      </c>
      <c r="Q604" t="str">
        <f>PROPER(TRIM([1]raw_orders!T604))</f>
        <v>Paid</v>
      </c>
      <c r="R604" t="str">
        <f>PROPER(TRIM([1]raw_orders!U604))</f>
        <v>Completed</v>
      </c>
      <c r="S604" s="5">
        <f>[1]raw_orders!S604</f>
        <v>5396.67</v>
      </c>
      <c r="T604" s="5">
        <f t="shared" si="72"/>
        <v>53.966700000000003</v>
      </c>
      <c r="U604" s="5">
        <f t="shared" si="73"/>
        <v>-1632136.0211460001</v>
      </c>
      <c r="V604" s="5">
        <f t="shared" si="74"/>
        <v>-1632136.171146</v>
      </c>
      <c r="W604" s="5">
        <f t="shared" si="75"/>
        <v>1.0000000919041048</v>
      </c>
      <c r="X604" s="5">
        <f t="shared" si="76"/>
        <v>7</v>
      </c>
      <c r="Y604" s="5">
        <f t="shared" si="77"/>
        <v>10</v>
      </c>
      <c r="Z604" s="5">
        <f t="shared" si="78"/>
        <v>2024</v>
      </c>
      <c r="AA604" t="str">
        <f t="shared" si="79"/>
        <v>Clean</v>
      </c>
    </row>
    <row r="605" spans="1:27" x14ac:dyDescent="0.3">
      <c r="A605" t="str">
        <f>[1]raw_orders!A605</f>
        <v>ORD-2025-10604</v>
      </c>
      <c r="B605" s="4">
        <f>IFERROR(DATEVALUE([1]raw_orders!B605), "Invalid Date")</f>
        <v>45717</v>
      </c>
      <c r="C605" s="4">
        <f>IFERROR(DATEVALUE([1]raw_orders!C605), "Invalid Date")</f>
        <v>45668</v>
      </c>
      <c r="D605" t="str">
        <f>[1]raw_orders!D605</f>
        <v>CUST-5808</v>
      </c>
      <c r="E605" t="str">
        <f>PROPER(TRIM([1]raw_orders!E605))</f>
        <v>Vikram Iyer</v>
      </c>
      <c r="F605" t="str">
        <f>PROPER(TRIM([1]raw_orders!F605))</f>
        <v>Corporate</v>
      </c>
      <c r="G605" t="str">
        <f>IF(TRIM([1]raw_orders!G605)="","Unknown",PROPER(TRIM([1]raw_orders!G605)))</f>
        <v>East</v>
      </c>
      <c r="H605" t="str">
        <f>PROPER(TRIM([1]raw_orders!H605))</f>
        <v>Bihar</v>
      </c>
      <c r="I605" t="str">
        <f>PROPER(TRIM([1]raw_orders!I605))</f>
        <v>Patna</v>
      </c>
      <c r="J605" t="str">
        <f>PROPER(TRIM([1]raw_orders!J605))</f>
        <v>Technology</v>
      </c>
      <c r="K605" t="str">
        <f>PROPER(TRIM([1]raw_orders!K605))</f>
        <v>Accessories</v>
      </c>
      <c r="L605" t="str">
        <f>[1]raw_orders!L605</f>
        <v>Prime Accessories 300</v>
      </c>
      <c r="M605" t="str">
        <f>IF(TRIM([1]raw_orders!M605)="","Unknown",PROPER(TRIM([1]raw_orders!M605)))</f>
        <v>First Class</v>
      </c>
      <c r="N605" s="5">
        <f>[1]raw_orders!N605</f>
        <v>8</v>
      </c>
      <c r="O605" s="5">
        <f>[1]raw_orders!O605</f>
        <v>2574.29</v>
      </c>
      <c r="P605" s="5">
        <f>[1]raw_orders!P605</f>
        <v>0.05</v>
      </c>
      <c r="Q605" t="str">
        <f>PROPER(TRIM([1]raw_orders!T605))</f>
        <v>Pending</v>
      </c>
      <c r="R605" t="str">
        <f>PROPER(TRIM([1]raw_orders!U605))</f>
        <v>Cancelled</v>
      </c>
      <c r="S605" s="5">
        <f>[1]raw_orders!S605</f>
        <v>8410.01</v>
      </c>
      <c r="T605" s="5">
        <f t="shared" si="72"/>
        <v>84.100099999999998</v>
      </c>
      <c r="U605" s="5">
        <f t="shared" si="73"/>
        <v>-1711390.051432</v>
      </c>
      <c r="V605" s="5">
        <f t="shared" si="74"/>
        <v>-1711390.1014320001</v>
      </c>
      <c r="W605" s="5">
        <f t="shared" si="75"/>
        <v>1.0000000292160165</v>
      </c>
      <c r="X605" s="5">
        <f t="shared" si="76"/>
        <v>-49</v>
      </c>
      <c r="Y605" s="5">
        <f t="shared" si="77"/>
        <v>3</v>
      </c>
      <c r="Z605" s="5">
        <f t="shared" si="78"/>
        <v>2025</v>
      </c>
      <c r="AA605" t="str">
        <f t="shared" si="79"/>
        <v>Invalid</v>
      </c>
    </row>
    <row r="606" spans="1:27" x14ac:dyDescent="0.3">
      <c r="A606" t="str">
        <f>[1]raw_orders!A606</f>
        <v>ORD-2025-10605</v>
      </c>
      <c r="B606" s="4">
        <f>IFERROR(DATEVALUE([1]raw_orders!B606), "Invalid Date")</f>
        <v>45693</v>
      </c>
      <c r="C606" s="4">
        <f>IFERROR(DATEVALUE([1]raw_orders!C606), "Invalid Date")</f>
        <v>45810</v>
      </c>
      <c r="D606" t="str">
        <f>[1]raw_orders!D606</f>
        <v>CUST-4526</v>
      </c>
      <c r="E606" t="str">
        <f>PROPER(TRIM([1]raw_orders!E606))</f>
        <v>Ananya Rao</v>
      </c>
      <c r="F606" t="str">
        <f>PROPER(TRIM([1]raw_orders!F606))</f>
        <v>Consumer</v>
      </c>
      <c r="G606" t="str">
        <f>IF(TRIM([1]raw_orders!G606)="","Unknown",PROPER(TRIM([1]raw_orders!G606)))</f>
        <v>West</v>
      </c>
      <c r="H606" t="str">
        <f>PROPER(TRIM([1]raw_orders!H606))</f>
        <v>Madhya Pradesh</v>
      </c>
      <c r="I606" t="str">
        <f>PROPER(TRIM([1]raw_orders!I606))</f>
        <v>Indore</v>
      </c>
      <c r="J606" t="str">
        <f>PROPER(TRIM([1]raw_orders!J606))</f>
        <v>Office Supplies</v>
      </c>
      <c r="K606" t="str">
        <f>PROPER(TRIM([1]raw_orders!K606))</f>
        <v>Binders</v>
      </c>
      <c r="L606" t="str">
        <f>[1]raw_orders!L606</f>
        <v>Max Binders 547</v>
      </c>
      <c r="M606" t="str">
        <f>IF(TRIM([1]raw_orders!M606)="","Unknown",PROPER(TRIM([1]raw_orders!M606)))</f>
        <v>Same Day</v>
      </c>
      <c r="N606" s="5">
        <f>[1]raw_orders!N606</f>
        <v>3</v>
      </c>
      <c r="O606" s="5">
        <f>[1]raw_orders!O606</f>
        <v>1076.3</v>
      </c>
      <c r="P606" s="5">
        <f>[1]raw_orders!P606</f>
        <v>0</v>
      </c>
      <c r="Q606" t="str">
        <f>PROPER(TRIM([1]raw_orders!T606))</f>
        <v>Paid</v>
      </c>
      <c r="R606" t="str">
        <f>PROPER(TRIM([1]raw_orders!U606))</f>
        <v>Completed</v>
      </c>
      <c r="S606" s="5">
        <f>[1]raw_orders!S606</f>
        <v>1375.67</v>
      </c>
      <c r="T606" s="5">
        <f t="shared" si="72"/>
        <v>13.7567</v>
      </c>
      <c r="U606" s="5">
        <f t="shared" si="73"/>
        <v>-41190.108629999995</v>
      </c>
      <c r="V606" s="5">
        <f t="shared" si="74"/>
        <v>-41190.108629999995</v>
      </c>
      <c r="W606" s="5">
        <f t="shared" si="75"/>
        <v>1</v>
      </c>
      <c r="X606" s="5">
        <f t="shared" si="76"/>
        <v>117</v>
      </c>
      <c r="Y606" s="5">
        <f t="shared" si="77"/>
        <v>2</v>
      </c>
      <c r="Z606" s="5">
        <f t="shared" si="78"/>
        <v>2025</v>
      </c>
      <c r="AA606" t="str">
        <f t="shared" si="79"/>
        <v>Clean</v>
      </c>
    </row>
    <row r="607" spans="1:27" x14ac:dyDescent="0.3">
      <c r="A607" t="str">
        <f>[1]raw_orders!A607</f>
        <v>ORD-2025-10606</v>
      </c>
      <c r="B607" s="4">
        <f>IFERROR(DATEVALUE([1]raw_orders!B607), "Invalid Date")</f>
        <v>45847</v>
      </c>
      <c r="C607" s="4">
        <f>IFERROR(DATEVALUE([1]raw_orders!C607), "Invalid Date")</f>
        <v>45851</v>
      </c>
      <c r="D607" t="str">
        <f>[1]raw_orders!D607</f>
        <v>CUST-4447</v>
      </c>
      <c r="E607" t="str">
        <f>PROPER(TRIM([1]raw_orders!E607))</f>
        <v>Kabir Singh</v>
      </c>
      <c r="F607" t="str">
        <f>PROPER(TRIM([1]raw_orders!F607))</f>
        <v>Corporate</v>
      </c>
      <c r="G607" t="str">
        <f>IF(TRIM([1]raw_orders!G607)="","Unknown",PROPER(TRIM([1]raw_orders!G607)))</f>
        <v>West</v>
      </c>
      <c r="H607" t="str">
        <f>PROPER(TRIM([1]raw_orders!H607))</f>
        <v>Goa</v>
      </c>
      <c r="I607" t="str">
        <f>PROPER(TRIM([1]raw_orders!I607))</f>
        <v>Panaji</v>
      </c>
      <c r="J607" t="str">
        <f>PROPER(TRIM([1]raw_orders!J607))</f>
        <v>Furniture</v>
      </c>
      <c r="K607" t="str">
        <f>PROPER(TRIM([1]raw_orders!K607))</f>
        <v>Furnishings</v>
      </c>
      <c r="L607" t="str">
        <f>[1]raw_orders!L607</f>
        <v>Pro Furnishings 267</v>
      </c>
      <c r="M607" t="str">
        <f>IF(TRIM([1]raw_orders!M607)="","Unknown",PROPER(TRIM([1]raw_orders!M607)))</f>
        <v>Second Class</v>
      </c>
      <c r="N607" s="5">
        <f>[1]raw_orders!N607</f>
        <v>5</v>
      </c>
      <c r="O607" s="5">
        <f>[1]raw_orders!O607</f>
        <v>1680.01</v>
      </c>
      <c r="P607" s="5" t="str">
        <f>[1]raw_orders!P607</f>
        <v>85%</v>
      </c>
      <c r="Q607" t="str">
        <f>PROPER(TRIM([1]raw_orders!T607))</f>
        <v>Paid</v>
      </c>
      <c r="R607" t="str">
        <f>PROPER(TRIM([1]raw_orders!U607))</f>
        <v>Cancelled</v>
      </c>
      <c r="S607" s="5">
        <f>[1]raw_orders!S607</f>
        <v>1111.99</v>
      </c>
      <c r="T607" s="5">
        <f t="shared" si="72"/>
        <v>11.119899999999999</v>
      </c>
      <c r="U607" s="5">
        <f t="shared" si="73"/>
        <v>-85007.665994999988</v>
      </c>
      <c r="V607" s="5" t="str">
        <f t="shared" si="74"/>
        <v>Calculation Error</v>
      </c>
      <c r="W607" s="5" t="str">
        <f t="shared" si="75"/>
        <v>Calculation Error</v>
      </c>
      <c r="X607" s="5">
        <f t="shared" si="76"/>
        <v>4</v>
      </c>
      <c r="Y607" s="5">
        <f t="shared" si="77"/>
        <v>7</v>
      </c>
      <c r="Z607" s="5">
        <f t="shared" si="78"/>
        <v>2025</v>
      </c>
      <c r="AA607" t="str">
        <f t="shared" si="79"/>
        <v>Clean</v>
      </c>
    </row>
    <row r="608" spans="1:27" x14ac:dyDescent="0.3">
      <c r="A608" t="str">
        <f>[1]raw_orders!A608</f>
        <v>ORD-2025-10607</v>
      </c>
      <c r="B608" s="4">
        <f>IFERROR(DATEVALUE([1]raw_orders!B608), "Invalid Date")</f>
        <v>45710</v>
      </c>
      <c r="C608" s="4" t="str">
        <f>IFERROR(DATEVALUE([1]raw_orders!C608), "Invalid Date")</f>
        <v>Invalid Date</v>
      </c>
      <c r="D608" t="str">
        <f>[1]raw_orders!D608</f>
        <v>CUST-2698</v>
      </c>
      <c r="E608" t="str">
        <f>PROPER(TRIM([1]raw_orders!E608))</f>
        <v>Rahul Verma</v>
      </c>
      <c r="F608" t="str">
        <f>PROPER(TRIM([1]raw_orders!F608))</f>
        <v>Home Office</v>
      </c>
      <c r="G608" t="str">
        <f>IF(TRIM([1]raw_orders!G608)="","Unknown",PROPER(TRIM([1]raw_orders!G608)))</f>
        <v>West</v>
      </c>
      <c r="H608" t="str">
        <f>PROPER(TRIM([1]raw_orders!H608))</f>
        <v>Madhya Pradesh</v>
      </c>
      <c r="I608" t="str">
        <f>PROPER(TRIM([1]raw_orders!I608))</f>
        <v>Indore</v>
      </c>
      <c r="J608" t="str">
        <f>PROPER(TRIM([1]raw_orders!J608))</f>
        <v>Technology</v>
      </c>
      <c r="K608" t="str">
        <f>PROPER(TRIM([1]raw_orders!K608))</f>
        <v>Copiers</v>
      </c>
      <c r="L608" t="str">
        <f>[1]raw_orders!L608</f>
        <v>Max Copiers 520</v>
      </c>
      <c r="M608" t="str">
        <f>IF(TRIM([1]raw_orders!M608)="","Unknown",PROPER(TRIM([1]raw_orders!M608)))</f>
        <v>Same Day</v>
      </c>
      <c r="N608" s="5">
        <f>[1]raw_orders!N608</f>
        <v>3</v>
      </c>
      <c r="O608" s="5">
        <f>[1]raw_orders!O608</f>
        <v>3890.81</v>
      </c>
      <c r="P608" s="5">
        <f>[1]raw_orders!P608</f>
        <v>0.25</v>
      </c>
      <c r="Q608" t="str">
        <f>PROPER(TRIM([1]raw_orders!T608))</f>
        <v>Paid</v>
      </c>
      <c r="R608" t="str">
        <f>PROPER(TRIM([1]raw_orders!U608))</f>
        <v>Completed</v>
      </c>
      <c r="S608" s="5">
        <f>[1]raw_orders!S608</f>
        <v>2515.42</v>
      </c>
      <c r="T608" s="5">
        <f t="shared" si="72"/>
        <v>25.154199999999999</v>
      </c>
      <c r="U608" s="5">
        <f t="shared" si="73"/>
        <v>-281938.208706</v>
      </c>
      <c r="V608" s="5">
        <f t="shared" si="74"/>
        <v>-281938.458706</v>
      </c>
      <c r="W608" s="5">
        <f t="shared" si="75"/>
        <v>1.0000008867191188</v>
      </c>
      <c r="X608" s="5" t="str">
        <f t="shared" si="76"/>
        <v>Invalid Date</v>
      </c>
      <c r="Y608" s="5">
        <f t="shared" si="77"/>
        <v>2</v>
      </c>
      <c r="Z608" s="5">
        <f t="shared" si="78"/>
        <v>2025</v>
      </c>
      <c r="AA608" t="str">
        <f t="shared" si="79"/>
        <v>Clean</v>
      </c>
    </row>
    <row r="609" spans="1:27" x14ac:dyDescent="0.3">
      <c r="A609" t="str">
        <f>[1]raw_orders!A609</f>
        <v>ORD-2025-10608</v>
      </c>
      <c r="B609" s="4">
        <f>IFERROR(DATEVALUE([1]raw_orders!B609), "Invalid Date")</f>
        <v>45704</v>
      </c>
      <c r="C609" s="4">
        <f>IFERROR(DATEVALUE([1]raw_orders!C609), "Invalid Date")</f>
        <v>45710</v>
      </c>
      <c r="D609" t="str">
        <f>[1]raw_orders!D609</f>
        <v>CUST-6297</v>
      </c>
      <c r="E609" t="str">
        <f>PROPER(TRIM([1]raw_orders!E609))</f>
        <v>Sneha Kapoor</v>
      </c>
      <c r="F609" t="str">
        <f>PROPER(TRIM([1]raw_orders!F609))</f>
        <v>Home Office</v>
      </c>
      <c r="G609" t="str">
        <f>IF(TRIM([1]raw_orders!G609)="","Unknown",PROPER(TRIM([1]raw_orders!G609)))</f>
        <v>East</v>
      </c>
      <c r="H609" t="str">
        <f>PROPER(TRIM([1]raw_orders!H609))</f>
        <v>Bihar</v>
      </c>
      <c r="I609" t="str">
        <f>PROPER(TRIM([1]raw_orders!I609))</f>
        <v>Patna</v>
      </c>
      <c r="J609" t="str">
        <f>PROPER(TRIM([1]raw_orders!J609))</f>
        <v>Office Supplies</v>
      </c>
      <c r="K609" t="str">
        <f>PROPER(TRIM([1]raw_orders!K609))</f>
        <v>Storage</v>
      </c>
      <c r="L609" t="str">
        <f>[1]raw_orders!L609</f>
        <v>Max Storage 424</v>
      </c>
      <c r="M609" t="str">
        <f>IF(TRIM([1]raw_orders!M609)="","Unknown",PROPER(TRIM([1]raw_orders!M609)))</f>
        <v>Same Day</v>
      </c>
      <c r="N609" s="5">
        <f>[1]raw_orders!N609</f>
        <v>5</v>
      </c>
      <c r="O609" s="5">
        <f>[1]raw_orders!O609</f>
        <v>954.67</v>
      </c>
      <c r="P609" s="5">
        <f>[1]raw_orders!P609</f>
        <v>0.15</v>
      </c>
      <c r="Q609" t="str">
        <f>PROPER(TRIM([1]raw_orders!T609))</f>
        <v>Paid</v>
      </c>
      <c r="R609" t="str">
        <f>PROPER(TRIM([1]raw_orders!U609))</f>
        <v>Completed</v>
      </c>
      <c r="S609" s="5">
        <f>[1]raw_orders!S609</f>
        <v>1195.32</v>
      </c>
      <c r="T609" s="5">
        <f t="shared" si="72"/>
        <v>11.953199999999999</v>
      </c>
      <c r="U609" s="5">
        <f t="shared" si="73"/>
        <v>-52283.457219999989</v>
      </c>
      <c r="V609" s="5">
        <f t="shared" si="74"/>
        <v>-52283.607219999991</v>
      </c>
      <c r="W609" s="5">
        <f t="shared" si="75"/>
        <v>1.0000028689763067</v>
      </c>
      <c r="X609" s="5">
        <f t="shared" si="76"/>
        <v>6</v>
      </c>
      <c r="Y609" s="5">
        <f t="shared" si="77"/>
        <v>2</v>
      </c>
      <c r="Z609" s="5">
        <f t="shared" si="78"/>
        <v>2025</v>
      </c>
      <c r="AA609" t="str">
        <f t="shared" si="79"/>
        <v>Clean</v>
      </c>
    </row>
    <row r="610" spans="1:27" x14ac:dyDescent="0.3">
      <c r="A610" t="str">
        <f>[1]raw_orders!A610</f>
        <v>ORD-2024-10609</v>
      </c>
      <c r="B610" s="4">
        <f>IFERROR(DATEVALUE([1]raw_orders!B610), "Invalid Date")</f>
        <v>45464</v>
      </c>
      <c r="C610" s="4">
        <f>IFERROR(DATEVALUE([1]raw_orders!C610), "Invalid Date")</f>
        <v>45466</v>
      </c>
      <c r="D610" t="str">
        <f>[1]raw_orders!D610</f>
        <v>CUST-7690</v>
      </c>
      <c r="E610" t="str">
        <f>PROPER(TRIM([1]raw_orders!E610))</f>
        <v>Karan Malhotra</v>
      </c>
      <c r="F610" t="str">
        <f>PROPER(TRIM([1]raw_orders!F610))</f>
        <v>Home Office</v>
      </c>
      <c r="G610" t="str">
        <f>IF(TRIM([1]raw_orders!G610)="","Unknown",PROPER(TRIM([1]raw_orders!G610)))</f>
        <v>West</v>
      </c>
      <c r="H610" t="str">
        <f>PROPER(TRIM([1]raw_orders!H610))</f>
        <v>Goa</v>
      </c>
      <c r="I610" t="str">
        <f>PROPER(TRIM([1]raw_orders!I610))</f>
        <v>Panaji</v>
      </c>
      <c r="J610" t="str">
        <f>PROPER(TRIM([1]raw_orders!J610))</f>
        <v>Furniture</v>
      </c>
      <c r="K610" t="str">
        <f>PROPER(TRIM([1]raw_orders!K610))</f>
        <v>Furnishings</v>
      </c>
      <c r="L610" t="str">
        <f>[1]raw_orders!L610</f>
        <v>Elite Furnishings 706</v>
      </c>
      <c r="M610" t="str">
        <f>IF(TRIM([1]raw_orders!M610)="","Unknown",PROPER(TRIM([1]raw_orders!M610)))</f>
        <v>Second Class</v>
      </c>
      <c r="N610" s="5">
        <f>[1]raw_orders!N610</f>
        <v>9</v>
      </c>
      <c r="O610" s="5">
        <f>[1]raw_orders!O610</f>
        <v>2153.75</v>
      </c>
      <c r="P610" s="5">
        <f>[1]raw_orders!P610</f>
        <v>0</v>
      </c>
      <c r="Q610" t="str">
        <f>PROPER(TRIM([1]raw_orders!T610))</f>
        <v>Paid</v>
      </c>
      <c r="R610" t="str">
        <f>PROPER(TRIM([1]raw_orders!U610))</f>
        <v>Completed</v>
      </c>
      <c r="S610" s="5">
        <f>[1]raw_orders!S610</f>
        <v>7716.32</v>
      </c>
      <c r="T610" s="5">
        <f t="shared" si="72"/>
        <v>77.163200000000003</v>
      </c>
      <c r="U610" s="5">
        <f t="shared" si="73"/>
        <v>-1476328.4280000001</v>
      </c>
      <c r="V610" s="5">
        <f t="shared" si="74"/>
        <v>-1476328.4280000001</v>
      </c>
      <c r="W610" s="5">
        <f t="shared" si="75"/>
        <v>1</v>
      </c>
      <c r="X610" s="5">
        <f t="shared" si="76"/>
        <v>2</v>
      </c>
      <c r="Y610" s="5">
        <f t="shared" si="77"/>
        <v>6</v>
      </c>
      <c r="Z610" s="5">
        <f t="shared" si="78"/>
        <v>2024</v>
      </c>
      <c r="AA610" t="str">
        <f t="shared" si="79"/>
        <v>Clean</v>
      </c>
    </row>
    <row r="611" spans="1:27" x14ac:dyDescent="0.3">
      <c r="A611" t="str">
        <f>[1]raw_orders!A611</f>
        <v>ORD-2025-10610</v>
      </c>
      <c r="B611" s="4">
        <f>IFERROR(DATEVALUE([1]raw_orders!B611), "Invalid Date")</f>
        <v>45665</v>
      </c>
      <c r="C611" s="4">
        <f>IFERROR(DATEVALUE([1]raw_orders!C611), "Invalid Date")</f>
        <v>45669</v>
      </c>
      <c r="D611" t="str">
        <f>[1]raw_orders!D611</f>
        <v>CUST-4380</v>
      </c>
      <c r="E611" t="str">
        <f>PROPER(TRIM([1]raw_orders!E611))</f>
        <v>Sneha Kapoor</v>
      </c>
      <c r="F611" t="str">
        <f>PROPER(TRIM([1]raw_orders!F611))</f>
        <v>Home Office</v>
      </c>
      <c r="G611" t="str">
        <f>IF(TRIM([1]raw_orders!G611)="","Unknown",PROPER(TRIM([1]raw_orders!G611)))</f>
        <v>South</v>
      </c>
      <c r="H611" t="str">
        <f>PROPER(TRIM([1]raw_orders!H611))</f>
        <v>Karnataka</v>
      </c>
      <c r="I611" t="str">
        <f>PROPER(TRIM([1]raw_orders!I611))</f>
        <v>Bengaluru</v>
      </c>
      <c r="J611" t="str">
        <f>PROPER(TRIM([1]raw_orders!J611))</f>
        <v>Furniture</v>
      </c>
      <c r="K611" t="str">
        <f>PROPER(TRIM([1]raw_orders!K611))</f>
        <v>Chairs</v>
      </c>
      <c r="L611" t="str">
        <f>[1]raw_orders!L611</f>
        <v>Pro Chairs 908</v>
      </c>
      <c r="M611" t="str">
        <f>IF(TRIM([1]raw_orders!M611)="","Unknown",PROPER(TRIM([1]raw_orders!M611)))</f>
        <v>Standard Class</v>
      </c>
      <c r="N611" s="5">
        <f>[1]raw_orders!N611</f>
        <v>7</v>
      </c>
      <c r="O611" s="5">
        <f>[1]raw_orders!O611</f>
        <v>4337.4799999999996</v>
      </c>
      <c r="P611" s="5">
        <f>[1]raw_orders!P611</f>
        <v>0</v>
      </c>
      <c r="Q611" t="str">
        <f>PROPER(TRIM([1]raw_orders!T611))</f>
        <v>Paid</v>
      </c>
      <c r="R611" t="str">
        <f>PROPER(TRIM([1]raw_orders!U611))</f>
        <v>Completed</v>
      </c>
      <c r="S611" s="5">
        <f>[1]raw_orders!S611</f>
        <v>5296.96</v>
      </c>
      <c r="T611" s="5">
        <f t="shared" si="72"/>
        <v>52.9696</v>
      </c>
      <c r="U611" s="5">
        <f t="shared" si="73"/>
        <v>-1577919.7042559998</v>
      </c>
      <c r="V611" s="5">
        <f t="shared" si="74"/>
        <v>-1577919.7042559998</v>
      </c>
      <c r="W611" s="5">
        <f t="shared" si="75"/>
        <v>1</v>
      </c>
      <c r="X611" s="5">
        <f t="shared" si="76"/>
        <v>4</v>
      </c>
      <c r="Y611" s="5">
        <f t="shared" si="77"/>
        <v>1</v>
      </c>
      <c r="Z611" s="5">
        <f t="shared" si="78"/>
        <v>2025</v>
      </c>
      <c r="AA611" t="str">
        <f t="shared" si="79"/>
        <v>Clean</v>
      </c>
    </row>
    <row r="612" spans="1:27" x14ac:dyDescent="0.3">
      <c r="A612" t="str">
        <f>[1]raw_orders!A612</f>
        <v>ORD-2024-10611</v>
      </c>
      <c r="B612" s="4">
        <f>IFERROR(DATEVALUE([1]raw_orders!B612), "Invalid Date")</f>
        <v>45432</v>
      </c>
      <c r="C612" s="4" t="str">
        <f>IFERROR(DATEVALUE([1]raw_orders!C612), "Invalid Date")</f>
        <v>Invalid Date</v>
      </c>
      <c r="D612" t="str">
        <f>[1]raw_orders!D612</f>
        <v>CUST-2779</v>
      </c>
      <c r="E612" t="str">
        <f>PROPER(TRIM([1]raw_orders!E612))</f>
        <v>Karan Malhotra</v>
      </c>
      <c r="F612" t="str">
        <f>PROPER(TRIM([1]raw_orders!F612))</f>
        <v>Home Office</v>
      </c>
      <c r="G612" t="str">
        <f>IF(TRIM([1]raw_orders!G612)="","Unknown",PROPER(TRIM([1]raw_orders!G612)))</f>
        <v>West</v>
      </c>
      <c r="H612" t="str">
        <f>PROPER(TRIM([1]raw_orders!H612))</f>
        <v>Madhya Pradesh</v>
      </c>
      <c r="I612" t="str">
        <f>PROPER(TRIM([1]raw_orders!I612))</f>
        <v>Indore</v>
      </c>
      <c r="J612" t="str">
        <f>PROPER(TRIM([1]raw_orders!J612))</f>
        <v>Furniture</v>
      </c>
      <c r="K612" t="str">
        <f>PROPER(TRIM([1]raw_orders!K612))</f>
        <v>Chairs</v>
      </c>
      <c r="L612" t="str">
        <f>[1]raw_orders!L612</f>
        <v>Pro Chairs 712</v>
      </c>
      <c r="M612" t="str">
        <f>IF(TRIM([1]raw_orders!M612)="","Unknown",PROPER(TRIM([1]raw_orders!M612)))</f>
        <v>Standard Class</v>
      </c>
      <c r="N612" s="5">
        <f>[1]raw_orders!N612</f>
        <v>1</v>
      </c>
      <c r="O612" s="5">
        <f>[1]raw_orders!O612</f>
        <v>3032.95</v>
      </c>
      <c r="P612" s="5">
        <f>[1]raw_orders!P612</f>
        <v>0.1</v>
      </c>
      <c r="Q612" t="str">
        <f>PROPER(TRIM([1]raw_orders!T612))</f>
        <v>Paid</v>
      </c>
      <c r="R612" t="str">
        <f>PROPER(TRIM([1]raw_orders!U612))</f>
        <v>Completed</v>
      </c>
      <c r="S612" s="5">
        <f>[1]raw_orders!S612</f>
        <v>1014.29</v>
      </c>
      <c r="T612" s="5">
        <f t="shared" si="72"/>
        <v>10.142899999999999</v>
      </c>
      <c r="U612" s="5">
        <f t="shared" si="73"/>
        <v>-27729.958554999997</v>
      </c>
      <c r="V612" s="5">
        <f t="shared" si="74"/>
        <v>-27730.058554999996</v>
      </c>
      <c r="W612" s="5">
        <f t="shared" si="75"/>
        <v>1.0000036062080584</v>
      </c>
      <c r="X612" s="5" t="str">
        <f t="shared" si="76"/>
        <v>Invalid Date</v>
      </c>
      <c r="Y612" s="5">
        <f t="shared" si="77"/>
        <v>5</v>
      </c>
      <c r="Z612" s="5">
        <f t="shared" si="78"/>
        <v>2024</v>
      </c>
      <c r="AA612" t="str">
        <f t="shared" si="79"/>
        <v>Clean</v>
      </c>
    </row>
    <row r="613" spans="1:27" x14ac:dyDescent="0.3">
      <c r="A613" t="str">
        <f>[1]raw_orders!A613</f>
        <v>ORD-2025-10612</v>
      </c>
      <c r="B613" s="4">
        <f>IFERROR(DATEVALUE([1]raw_orders!B613), "Invalid Date")</f>
        <v>45846</v>
      </c>
      <c r="C613" s="4">
        <f>IFERROR(DATEVALUE([1]raw_orders!C613), "Invalid Date")</f>
        <v>45853</v>
      </c>
      <c r="D613" t="str">
        <f>[1]raw_orders!D613</f>
        <v>CUST-6108</v>
      </c>
      <c r="E613" t="str">
        <f>PROPER(TRIM([1]raw_orders!E613))</f>
        <v>Ananya Rao</v>
      </c>
      <c r="F613" t="str">
        <f>PROPER(TRIM([1]raw_orders!F613))</f>
        <v>Small Business</v>
      </c>
      <c r="G613" t="str">
        <f>IF(TRIM([1]raw_orders!G613)="","Unknown",PROPER(TRIM([1]raw_orders!G613)))</f>
        <v>North</v>
      </c>
      <c r="H613" t="str">
        <f>PROPER(TRIM([1]raw_orders!H613))</f>
        <v>Rajasthan</v>
      </c>
      <c r="I613" t="str">
        <f>PROPER(TRIM([1]raw_orders!I613))</f>
        <v>Jaipur</v>
      </c>
      <c r="J613" t="str">
        <f>PROPER(TRIM([1]raw_orders!J613))</f>
        <v>Office Supplies</v>
      </c>
      <c r="K613" t="str">
        <f>PROPER(TRIM([1]raw_orders!K613))</f>
        <v>Binders</v>
      </c>
      <c r="L613" t="str">
        <f>[1]raw_orders!L613</f>
        <v>Max Binders 785</v>
      </c>
      <c r="M613" t="str">
        <f>IF(TRIM([1]raw_orders!M613)="","Unknown",PROPER(TRIM([1]raw_orders!M613)))</f>
        <v>Same Day</v>
      </c>
      <c r="N613" s="5">
        <f>[1]raw_orders!N613</f>
        <v>8</v>
      </c>
      <c r="O613" s="5">
        <f>[1]raw_orders!O613</f>
        <v>655.28</v>
      </c>
      <c r="P613" s="5">
        <f>[1]raw_orders!P613</f>
        <v>0.1</v>
      </c>
      <c r="Q613" t="str">
        <f>PROPER(TRIM([1]raw_orders!T613))</f>
        <v>Paid</v>
      </c>
      <c r="R613" t="str">
        <f>PROPER(TRIM([1]raw_orders!U613))</f>
        <v>Completed</v>
      </c>
      <c r="S613" s="5">
        <f>[1]raw_orders!S613</f>
        <v>809.79</v>
      </c>
      <c r="T613" s="5">
        <f t="shared" si="72"/>
        <v>8.0978999999999992</v>
      </c>
      <c r="U613" s="5">
        <f t="shared" si="73"/>
        <v>-37208.895295999995</v>
      </c>
      <c r="V613" s="5">
        <f t="shared" si="74"/>
        <v>-37208.995295999994</v>
      </c>
      <c r="W613" s="5">
        <f t="shared" si="75"/>
        <v>1.0000026875293986</v>
      </c>
      <c r="X613" s="5">
        <f t="shared" si="76"/>
        <v>7</v>
      </c>
      <c r="Y613" s="5">
        <f t="shared" si="77"/>
        <v>7</v>
      </c>
      <c r="Z613" s="5">
        <f t="shared" si="78"/>
        <v>2025</v>
      </c>
      <c r="AA613" t="str">
        <f t="shared" si="79"/>
        <v>Clean</v>
      </c>
    </row>
    <row r="614" spans="1:27" x14ac:dyDescent="0.3">
      <c r="A614" t="str">
        <f>[1]raw_orders!A614</f>
        <v>ORD-2025-10613</v>
      </c>
      <c r="B614" s="4">
        <f>IFERROR(DATEVALUE([1]raw_orders!B614), "Invalid Date")</f>
        <v>45753</v>
      </c>
      <c r="C614" s="4">
        <f>IFERROR(DATEVALUE([1]raw_orders!C614), "Invalid Date")</f>
        <v>45760</v>
      </c>
      <c r="D614" t="str">
        <f>[1]raw_orders!D614</f>
        <v>CUST-5663</v>
      </c>
      <c r="E614" t="str">
        <f>PROPER(TRIM([1]raw_orders!E614))</f>
        <v>Aditi Sen</v>
      </c>
      <c r="F614" t="str">
        <f>PROPER(TRIM([1]raw_orders!F614))</f>
        <v>Consumer</v>
      </c>
      <c r="G614" t="str">
        <f>IF(TRIM([1]raw_orders!G614)="","Unknown",PROPER(TRIM([1]raw_orders!G614)))</f>
        <v>Unknown</v>
      </c>
      <c r="H614" t="str">
        <f>PROPER(TRIM([1]raw_orders!H614))</f>
        <v>Odisha</v>
      </c>
      <c r="I614" t="str">
        <f>PROPER(TRIM([1]raw_orders!I614))</f>
        <v>Bhubaneswar</v>
      </c>
      <c r="J614" t="str">
        <f>PROPER(TRIM([1]raw_orders!J614))</f>
        <v>Technology</v>
      </c>
      <c r="K614" t="str">
        <f>PROPER(TRIM([1]raw_orders!K614))</f>
        <v>Phones</v>
      </c>
      <c r="L614" t="str">
        <f>[1]raw_orders!L614</f>
        <v>Elite Phones 239</v>
      </c>
      <c r="M614" t="str">
        <f>IF(TRIM([1]raw_orders!M614)="","Unknown",PROPER(TRIM([1]raw_orders!M614)))</f>
        <v>Standard Class</v>
      </c>
      <c r="N614" s="5">
        <f>[1]raw_orders!N614</f>
        <v>1</v>
      </c>
      <c r="O614" s="5">
        <f>[1]raw_orders!O614</f>
        <v>3844.01</v>
      </c>
      <c r="P614" s="5">
        <f>[1]raw_orders!P614</f>
        <v>0</v>
      </c>
      <c r="Q614" t="str">
        <f>PROPER(TRIM([1]raw_orders!T614))</f>
        <v>Paid</v>
      </c>
      <c r="R614" t="str">
        <f>PROPER(TRIM([1]raw_orders!U614))</f>
        <v>Completed</v>
      </c>
      <c r="S614" s="5">
        <f>[1]raw_orders!S614</f>
        <v>1648.22</v>
      </c>
      <c r="T614" s="5">
        <f t="shared" si="72"/>
        <v>16.482199999999999</v>
      </c>
      <c r="U614" s="5">
        <f t="shared" si="73"/>
        <v>-59513.731621999999</v>
      </c>
      <c r="V614" s="5">
        <f t="shared" si="74"/>
        <v>-59513.731621999999</v>
      </c>
      <c r="W614" s="5">
        <f t="shared" si="75"/>
        <v>1</v>
      </c>
      <c r="X614" s="5">
        <f t="shared" si="76"/>
        <v>7</v>
      </c>
      <c r="Y614" s="5">
        <f t="shared" si="77"/>
        <v>4</v>
      </c>
      <c r="Z614" s="5">
        <f t="shared" si="78"/>
        <v>2025</v>
      </c>
      <c r="AA614" t="str">
        <f t="shared" si="79"/>
        <v>Warning</v>
      </c>
    </row>
    <row r="615" spans="1:27" x14ac:dyDescent="0.3">
      <c r="A615" t="str">
        <f>[1]raw_orders!A615</f>
        <v>ORD-2024-10614</v>
      </c>
      <c r="B615" s="4">
        <f>IFERROR(DATEVALUE([1]raw_orders!B615), "Invalid Date")</f>
        <v>45570</v>
      </c>
      <c r="C615" s="4">
        <f>IFERROR(DATEVALUE([1]raw_orders!C615), "Invalid Date")</f>
        <v>45575</v>
      </c>
      <c r="D615" t="str">
        <f>[1]raw_orders!D615</f>
        <v>CUST-9311</v>
      </c>
      <c r="E615" t="str">
        <f>PROPER(TRIM([1]raw_orders!E615))</f>
        <v>Diya Patel</v>
      </c>
      <c r="F615" t="str">
        <f>PROPER(TRIM([1]raw_orders!F615))</f>
        <v>Home Office</v>
      </c>
      <c r="G615" t="str">
        <f>IF(TRIM([1]raw_orders!G615)="","Unknown",PROPER(TRIM([1]raw_orders!G615)))</f>
        <v>West</v>
      </c>
      <c r="H615" t="str">
        <f>PROPER(TRIM([1]raw_orders!H615))</f>
        <v>Gujarat</v>
      </c>
      <c r="I615" t="str">
        <f>PROPER(TRIM([1]raw_orders!I615))</f>
        <v>Ahmedabad</v>
      </c>
      <c r="J615" t="str">
        <f>PROPER(TRIM([1]raw_orders!J615))</f>
        <v>Technology</v>
      </c>
      <c r="K615" t="str">
        <f>PROPER(TRIM([1]raw_orders!K615))</f>
        <v>Machines</v>
      </c>
      <c r="L615" t="str">
        <f>[1]raw_orders!L615</f>
        <v>Basic Machines 413</v>
      </c>
      <c r="M615" t="str">
        <f>IF(TRIM([1]raw_orders!M615)="","Unknown",PROPER(TRIM([1]raw_orders!M615)))</f>
        <v>Same Day</v>
      </c>
      <c r="N615" s="5">
        <f>[1]raw_orders!N615</f>
        <v>9</v>
      </c>
      <c r="O615" s="5">
        <f>[1]raw_orders!O615</f>
        <v>3361.3</v>
      </c>
      <c r="P615" s="5">
        <f>[1]raw_orders!P615</f>
        <v>0.25</v>
      </c>
      <c r="Q615" t="str">
        <f>PROPER(TRIM([1]raw_orders!T615))</f>
        <v>Paid</v>
      </c>
      <c r="R615" t="str">
        <f>PROPER(TRIM([1]raw_orders!U615))</f>
        <v>Completed</v>
      </c>
      <c r="S615" s="5">
        <f>[1]raw_orders!S615</f>
        <v>8016.37</v>
      </c>
      <c r="T615" s="5">
        <f t="shared" si="72"/>
        <v>80.163700000000006</v>
      </c>
      <c r="U615" s="5">
        <f t="shared" si="73"/>
        <v>-2394836.5032900004</v>
      </c>
      <c r="V615" s="5">
        <f t="shared" si="74"/>
        <v>-2394836.7532900004</v>
      </c>
      <c r="W615" s="5">
        <f t="shared" si="75"/>
        <v>1.0000001043912601</v>
      </c>
      <c r="X615" s="5">
        <f t="shared" si="76"/>
        <v>5</v>
      </c>
      <c r="Y615" s="5">
        <f t="shared" si="77"/>
        <v>10</v>
      </c>
      <c r="Z615" s="5">
        <f t="shared" si="78"/>
        <v>2024</v>
      </c>
      <c r="AA615" t="str">
        <f t="shared" si="79"/>
        <v>Clean</v>
      </c>
    </row>
    <row r="616" spans="1:27" x14ac:dyDescent="0.3">
      <c r="A616" t="str">
        <f>[1]raw_orders!A616</f>
        <v>ORD-2024-10615</v>
      </c>
      <c r="B616" s="4">
        <f>IFERROR(DATEVALUE([1]raw_orders!B616), "Invalid Date")</f>
        <v>45333</v>
      </c>
      <c r="C616" s="4">
        <f>IFERROR(DATEVALUE([1]raw_orders!C616), "Invalid Date")</f>
        <v>45341</v>
      </c>
      <c r="D616" t="str">
        <f>[1]raw_orders!D616</f>
        <v>CUST-8154</v>
      </c>
      <c r="E616" t="str">
        <f>PROPER(TRIM([1]raw_orders!E616))</f>
        <v>Ananya Rao</v>
      </c>
      <c r="F616" t="str">
        <f>PROPER(TRIM([1]raw_orders!F616))</f>
        <v>Home Office</v>
      </c>
      <c r="G616" t="str">
        <f>IF(TRIM([1]raw_orders!G616)="","Unknown",PROPER(TRIM([1]raw_orders!G616)))</f>
        <v>South</v>
      </c>
      <c r="H616" t="str">
        <f>PROPER(TRIM([1]raw_orders!H616))</f>
        <v>Telangana</v>
      </c>
      <c r="I616" t="str">
        <f>PROPER(TRIM([1]raw_orders!I616))</f>
        <v>Hyderabad</v>
      </c>
      <c r="J616" t="str">
        <f>PROPER(TRIM([1]raw_orders!J616))</f>
        <v>Furniture</v>
      </c>
      <c r="K616" t="str">
        <f>PROPER(TRIM([1]raw_orders!K616))</f>
        <v>Chairs</v>
      </c>
      <c r="L616" t="str">
        <f>[1]raw_orders!L616</f>
        <v>Elite Chairs 140</v>
      </c>
      <c r="M616" t="str">
        <f>IF(TRIM([1]raw_orders!M616)="","Unknown",PROPER(TRIM([1]raw_orders!M616)))</f>
        <v>Standard Class</v>
      </c>
      <c r="N616" s="5">
        <f>[1]raw_orders!N616</f>
        <v>8</v>
      </c>
      <c r="O616" s="5">
        <f>[1]raw_orders!O616</f>
        <v>3398.32</v>
      </c>
      <c r="P616" s="5">
        <f>[1]raw_orders!P616</f>
        <v>0.25</v>
      </c>
      <c r="Q616" t="str">
        <f>PROPER(TRIM([1]raw_orders!T616))</f>
        <v>Refunded</v>
      </c>
      <c r="R616" t="str">
        <f>PROPER(TRIM([1]raw_orders!U616))</f>
        <v>Cancelled</v>
      </c>
      <c r="S616" s="5">
        <f>[1]raw_orders!S616</f>
        <v>3728.84</v>
      </c>
      <c r="T616" s="5">
        <f t="shared" si="72"/>
        <v>37.288400000000003</v>
      </c>
      <c r="U616" s="5">
        <f t="shared" si="73"/>
        <v>-986556.76390400017</v>
      </c>
      <c r="V616" s="5">
        <f t="shared" si="74"/>
        <v>-986557.01390400017</v>
      </c>
      <c r="W616" s="5">
        <f t="shared" si="75"/>
        <v>1.0000002534066048</v>
      </c>
      <c r="X616" s="5">
        <f t="shared" si="76"/>
        <v>8</v>
      </c>
      <c r="Y616" s="5">
        <f t="shared" si="77"/>
        <v>2</v>
      </c>
      <c r="Z616" s="5">
        <f t="shared" si="78"/>
        <v>2024</v>
      </c>
      <c r="AA616" t="str">
        <f t="shared" si="79"/>
        <v>Clean</v>
      </c>
    </row>
    <row r="617" spans="1:27" x14ac:dyDescent="0.3">
      <c r="A617" t="str">
        <f>[1]raw_orders!A617</f>
        <v>ORD-2024-10616</v>
      </c>
      <c r="B617" s="4">
        <f>IFERROR(DATEVALUE([1]raw_orders!B617), "Invalid Date")</f>
        <v>45569</v>
      </c>
      <c r="C617" s="4">
        <f>IFERROR(DATEVALUE([1]raw_orders!C617), "Invalid Date")</f>
        <v>45483</v>
      </c>
      <c r="D617" t="str">
        <f>[1]raw_orders!D617</f>
        <v>CUST-4462</v>
      </c>
      <c r="E617" t="str">
        <f>PROPER(TRIM([1]raw_orders!E617))</f>
        <v>Rahul Verma</v>
      </c>
      <c r="F617" t="str">
        <f>PROPER(TRIM([1]raw_orders!F617))</f>
        <v>Corporate</v>
      </c>
      <c r="G617" t="str">
        <f>IF(TRIM([1]raw_orders!G617)="","Unknown",PROPER(TRIM([1]raw_orders!G617)))</f>
        <v>South</v>
      </c>
      <c r="H617" t="str">
        <f>PROPER(TRIM([1]raw_orders!H617))</f>
        <v>Kerala</v>
      </c>
      <c r="I617" t="str">
        <f>PROPER(TRIM([1]raw_orders!I617))</f>
        <v>Kochi</v>
      </c>
      <c r="J617" t="str">
        <f>PROPER(TRIM([1]raw_orders!J617))</f>
        <v>Office Supplies</v>
      </c>
      <c r="K617" t="str">
        <f>PROPER(TRIM([1]raw_orders!K617))</f>
        <v>Art</v>
      </c>
      <c r="L617" t="str">
        <f>[1]raw_orders!L617</f>
        <v>Basic Art 771</v>
      </c>
      <c r="M617" t="str">
        <f>IF(TRIM([1]raw_orders!M617)="","Unknown",PROPER(TRIM([1]raw_orders!M617)))</f>
        <v>Second Class</v>
      </c>
      <c r="N617" s="5">
        <f>[1]raw_orders!N617</f>
        <v>2</v>
      </c>
      <c r="O617" s="5">
        <f>[1]raw_orders!O617</f>
        <v>3144.38</v>
      </c>
      <c r="P617" s="5">
        <f>[1]raw_orders!P617</f>
        <v>0.1</v>
      </c>
      <c r="Q617" t="str">
        <f>PROPER(TRIM([1]raw_orders!T617))</f>
        <v>Paid</v>
      </c>
      <c r="R617" t="str">
        <f>PROPER(TRIM([1]raw_orders!U617))</f>
        <v>Completed</v>
      </c>
      <c r="S617" s="5">
        <f>[1]raw_orders!S617</f>
        <v>1322.09</v>
      </c>
      <c r="T617" s="5">
        <f t="shared" si="72"/>
        <v>13.220899999999999</v>
      </c>
      <c r="U617" s="5">
        <f t="shared" si="73"/>
        <v>-76854.307084</v>
      </c>
      <c r="V617" s="5">
        <f t="shared" si="74"/>
        <v>-76854.407084000006</v>
      </c>
      <c r="W617" s="5">
        <f t="shared" si="75"/>
        <v>1.0000013011632503</v>
      </c>
      <c r="X617" s="5">
        <f t="shared" si="76"/>
        <v>-86</v>
      </c>
      <c r="Y617" s="5">
        <f t="shared" si="77"/>
        <v>10</v>
      </c>
      <c r="Z617" s="5">
        <f t="shared" si="78"/>
        <v>2024</v>
      </c>
      <c r="AA617" t="str">
        <f t="shared" si="79"/>
        <v>Invalid</v>
      </c>
    </row>
    <row r="618" spans="1:27" x14ac:dyDescent="0.3">
      <c r="A618" t="str">
        <f>[1]raw_orders!A618</f>
        <v>ORD-2024-10617</v>
      </c>
      <c r="B618" s="4">
        <f>IFERROR(DATEVALUE([1]raw_orders!B618), "Invalid Date")</f>
        <v>45520</v>
      </c>
      <c r="C618" s="4">
        <f>IFERROR(DATEVALUE([1]raw_orders!C618), "Invalid Date")</f>
        <v>45523</v>
      </c>
      <c r="D618" t="str">
        <f>[1]raw_orders!D618</f>
        <v>CUST-4660</v>
      </c>
      <c r="E618" t="str">
        <f>PROPER(TRIM([1]raw_orders!E618))</f>
        <v>Kabir Singh</v>
      </c>
      <c r="F618" t="str">
        <f>PROPER(TRIM([1]raw_orders!F618))</f>
        <v>Consumer</v>
      </c>
      <c r="G618" t="str">
        <f>IF(TRIM([1]raw_orders!G618)="","Unknown",PROPER(TRIM([1]raw_orders!G618)))</f>
        <v>South</v>
      </c>
      <c r="H618" t="str">
        <f>PROPER(TRIM([1]raw_orders!H618))</f>
        <v>Telangana</v>
      </c>
      <c r="I618" t="str">
        <f>PROPER(TRIM([1]raw_orders!I618))</f>
        <v>Hyderabad</v>
      </c>
      <c r="J618" t="str">
        <f>PROPER(TRIM([1]raw_orders!J618))</f>
        <v>Office Supplies</v>
      </c>
      <c r="K618" t="str">
        <f>PROPER(TRIM([1]raw_orders!K618))</f>
        <v>Paper</v>
      </c>
      <c r="L618" t="str">
        <f>[1]raw_orders!L618</f>
        <v>Prime Paper 664</v>
      </c>
      <c r="M618" t="str">
        <f>IF(TRIM([1]raw_orders!M618)="","Unknown",PROPER(TRIM([1]raw_orders!M618)))</f>
        <v>Standard Class</v>
      </c>
      <c r="N618" s="5">
        <f>[1]raw_orders!N618</f>
        <v>6</v>
      </c>
      <c r="O618" s="5">
        <f>[1]raw_orders!O618</f>
        <v>3925.55</v>
      </c>
      <c r="P618" s="5">
        <f>[1]raw_orders!P618</f>
        <v>0.2</v>
      </c>
      <c r="Q618" t="str">
        <f>PROPER(TRIM([1]raw_orders!T618))</f>
        <v>Paid</v>
      </c>
      <c r="R618" t="str">
        <f>PROPER(TRIM([1]raw_orders!U618))</f>
        <v>Completed</v>
      </c>
      <c r="S618" s="5">
        <f>[1]raw_orders!S618</f>
        <v>7002.06</v>
      </c>
      <c r="T618" s="5">
        <f t="shared" si="72"/>
        <v>70.020600000000002</v>
      </c>
      <c r="U618" s="5">
        <f t="shared" si="73"/>
        <v>-1625662.8979800001</v>
      </c>
      <c r="V618" s="5">
        <f t="shared" si="74"/>
        <v>-1625663.0979800001</v>
      </c>
      <c r="W618" s="5">
        <f t="shared" si="75"/>
        <v>1.0000001230267359</v>
      </c>
      <c r="X618" s="5">
        <f t="shared" si="76"/>
        <v>3</v>
      </c>
      <c r="Y618" s="5">
        <f t="shared" si="77"/>
        <v>8</v>
      </c>
      <c r="Z618" s="5">
        <f t="shared" si="78"/>
        <v>2024</v>
      </c>
      <c r="AA618" t="str">
        <f t="shared" si="79"/>
        <v>Clean</v>
      </c>
    </row>
    <row r="619" spans="1:27" x14ac:dyDescent="0.3">
      <c r="A619" t="str">
        <f>[1]raw_orders!A619</f>
        <v>ORD-2024-10618</v>
      </c>
      <c r="B619" s="4" t="str">
        <f>IFERROR(DATEVALUE([1]raw_orders!B619), "Invalid Date")</f>
        <v>Invalid Date</v>
      </c>
      <c r="C619" s="4">
        <f>IFERROR(DATEVALUE([1]raw_orders!C619), "Invalid Date")</f>
        <v>45565</v>
      </c>
      <c r="D619" t="str">
        <f>[1]raw_orders!D619</f>
        <v>CUST-9002</v>
      </c>
      <c r="E619" t="str">
        <f>PROPER(TRIM([1]raw_orders!E619))</f>
        <v>Mira Das</v>
      </c>
      <c r="F619" t="str">
        <f>PROPER(TRIM([1]raw_orders!F619))</f>
        <v>Home Office</v>
      </c>
      <c r="G619" t="str">
        <f>IF(TRIM([1]raw_orders!G619)="","Unknown",PROPER(TRIM([1]raw_orders!G619)))</f>
        <v>South</v>
      </c>
      <c r="H619" t="str">
        <f>PROPER(TRIM([1]raw_orders!H619))</f>
        <v>Telangana</v>
      </c>
      <c r="I619" t="str">
        <f>PROPER(TRIM([1]raw_orders!I619))</f>
        <v>Hyderabad</v>
      </c>
      <c r="J619" t="str">
        <f>PROPER(TRIM([1]raw_orders!J619))</f>
        <v>Technology</v>
      </c>
      <c r="K619" t="str">
        <f>PROPER(TRIM([1]raw_orders!K619))</f>
        <v>Phones</v>
      </c>
      <c r="L619" t="str">
        <f>[1]raw_orders!L619</f>
        <v>Pro Phones 226</v>
      </c>
      <c r="M619" t="str">
        <f>IF(TRIM([1]raw_orders!M619)="","Unknown",PROPER(TRIM([1]raw_orders!M619)))</f>
        <v>Standard Class</v>
      </c>
      <c r="N619" s="5">
        <f>[1]raw_orders!N619</f>
        <v>9</v>
      </c>
      <c r="O619" s="5">
        <f>[1]raw_orders!O619</f>
        <v>2741.91</v>
      </c>
      <c r="P619" s="5">
        <f>[1]raw_orders!P619</f>
        <v>0</v>
      </c>
      <c r="Q619" t="str">
        <f>PROPER(TRIM([1]raw_orders!T619))</f>
        <v>Paid</v>
      </c>
      <c r="R619" t="str">
        <f>PROPER(TRIM([1]raw_orders!U619))</f>
        <v>Completed</v>
      </c>
      <c r="S619" s="5">
        <f>[1]raw_orders!S619</f>
        <v>4326.34</v>
      </c>
      <c r="T619" s="5">
        <f t="shared" si="72"/>
        <v>43.263400000000004</v>
      </c>
      <c r="U619" s="5">
        <f t="shared" si="73"/>
        <v>-1042941.951846</v>
      </c>
      <c r="V619" s="5">
        <f t="shared" si="74"/>
        <v>-1042941.951846</v>
      </c>
      <c r="W619" s="5">
        <f t="shared" si="75"/>
        <v>1</v>
      </c>
      <c r="X619" s="5" t="str">
        <f t="shared" si="76"/>
        <v>Invalid Date</v>
      </c>
      <c r="Y619" s="5" t="e">
        <f t="shared" si="77"/>
        <v>#VALUE!</v>
      </c>
      <c r="Z619" s="5" t="e">
        <f t="shared" si="78"/>
        <v>#VALUE!</v>
      </c>
      <c r="AA619" t="str">
        <f t="shared" si="79"/>
        <v>Clean</v>
      </c>
    </row>
    <row r="620" spans="1:27" x14ac:dyDescent="0.3">
      <c r="A620" t="str">
        <f>[1]raw_orders!A620</f>
        <v>ORD-2024-10619</v>
      </c>
      <c r="B620" s="4">
        <f>IFERROR(DATEVALUE([1]raw_orders!B620), "Invalid Date")</f>
        <v>45496</v>
      </c>
      <c r="C620" s="4">
        <f>IFERROR(DATEVALUE([1]raw_orders!C620), "Invalid Date")</f>
        <v>45503</v>
      </c>
      <c r="D620" t="str">
        <f>[1]raw_orders!D620</f>
        <v>CUST-1057</v>
      </c>
      <c r="E620" t="str">
        <f>PROPER(TRIM([1]raw_orders!E620))</f>
        <v>Kabir Singh</v>
      </c>
      <c r="F620" t="str">
        <f>PROPER(TRIM([1]raw_orders!F620))</f>
        <v>Corporate</v>
      </c>
      <c r="G620" t="str">
        <f>IF(TRIM([1]raw_orders!G620)="","Unknown",PROPER(TRIM([1]raw_orders!G620)))</f>
        <v>North</v>
      </c>
      <c r="H620" t="str">
        <f>PROPER(TRIM([1]raw_orders!H620))</f>
        <v>Rajasthan</v>
      </c>
      <c r="I620" t="str">
        <f>PROPER(TRIM([1]raw_orders!I620))</f>
        <v>Jaipur</v>
      </c>
      <c r="J620" t="str">
        <f>PROPER(TRIM([1]raw_orders!J620))</f>
        <v>Furniture</v>
      </c>
      <c r="K620" t="str">
        <f>PROPER(TRIM([1]raw_orders!K620))</f>
        <v>Tables</v>
      </c>
      <c r="L620" t="str">
        <f>[1]raw_orders!L620</f>
        <v>Basic Tables 684</v>
      </c>
      <c r="M620" t="str">
        <f>IF(TRIM([1]raw_orders!M620)="","Unknown",PROPER(TRIM([1]raw_orders!M620)))</f>
        <v>Same Day</v>
      </c>
      <c r="N620" s="5">
        <f>[1]raw_orders!N620</f>
        <v>9</v>
      </c>
      <c r="O620" s="5">
        <f>[1]raw_orders!O620</f>
        <v>1870.11</v>
      </c>
      <c r="P620" s="5">
        <f>[1]raw_orders!P620</f>
        <v>0.25</v>
      </c>
      <c r="Q620" t="str">
        <f>PROPER(TRIM([1]raw_orders!T620))</f>
        <v>Failed</v>
      </c>
      <c r="R620" t="str">
        <f>PROPER(TRIM([1]raw_orders!U620))</f>
        <v>Cancelled</v>
      </c>
      <c r="S620" s="5">
        <f>[1]raw_orders!S620</f>
        <v>2082.44</v>
      </c>
      <c r="T620" s="5">
        <f t="shared" si="72"/>
        <v>20.824400000000001</v>
      </c>
      <c r="U620" s="5">
        <f t="shared" si="73"/>
        <v>-333664.27815599996</v>
      </c>
      <c r="V620" s="5">
        <f t="shared" si="74"/>
        <v>-333664.52815599996</v>
      </c>
      <c r="W620" s="5">
        <f t="shared" si="75"/>
        <v>1.0000007492561127</v>
      </c>
      <c r="X620" s="5">
        <f t="shared" si="76"/>
        <v>7</v>
      </c>
      <c r="Y620" s="5">
        <f t="shared" si="77"/>
        <v>7</v>
      </c>
      <c r="Z620" s="5">
        <f t="shared" si="78"/>
        <v>2024</v>
      </c>
      <c r="AA620" t="str">
        <f t="shared" si="79"/>
        <v>Clean</v>
      </c>
    </row>
    <row r="621" spans="1:27" x14ac:dyDescent="0.3">
      <c r="A621" t="str">
        <f>[1]raw_orders!A621</f>
        <v>ORD-2024-10620</v>
      </c>
      <c r="B621" s="4" t="str">
        <f>IFERROR(DATEVALUE([1]raw_orders!B621), "Invalid Date")</f>
        <v>Invalid Date</v>
      </c>
      <c r="C621" s="4">
        <f>IFERROR(DATEVALUE([1]raw_orders!C621), "Invalid Date")</f>
        <v>45623</v>
      </c>
      <c r="D621" t="str">
        <f>[1]raw_orders!D621</f>
        <v>CUST-9596</v>
      </c>
      <c r="E621" t="str">
        <f>PROPER(TRIM([1]raw_orders!E621))</f>
        <v>Priya Menon</v>
      </c>
      <c r="F621" t="str">
        <f>PROPER(TRIM([1]raw_orders!F621))</f>
        <v>Corporate</v>
      </c>
      <c r="G621" t="str">
        <f>IF(TRIM([1]raw_orders!G621)="","Unknown",PROPER(TRIM([1]raw_orders!G621)))</f>
        <v>South</v>
      </c>
      <c r="H621" t="str">
        <f>PROPER(TRIM([1]raw_orders!H621))</f>
        <v>Tamil Nadu</v>
      </c>
      <c r="I621" t="str">
        <f>PROPER(TRIM([1]raw_orders!I621))</f>
        <v>Chennai</v>
      </c>
      <c r="J621" t="str">
        <f>PROPER(TRIM([1]raw_orders!J621))</f>
        <v>Office Supplies</v>
      </c>
      <c r="K621" t="str">
        <f>PROPER(TRIM([1]raw_orders!K621))</f>
        <v>Binders</v>
      </c>
      <c r="L621" t="str">
        <f>[1]raw_orders!L621</f>
        <v>Prime Binders 938</v>
      </c>
      <c r="M621" t="str">
        <f>IF(TRIM([1]raw_orders!M621)="","Unknown",PROPER(TRIM([1]raw_orders!M621)))</f>
        <v>First Class</v>
      </c>
      <c r="N621" s="5">
        <f>[1]raw_orders!N621</f>
        <v>1</v>
      </c>
      <c r="O621" s="5">
        <f>[1]raw_orders!O621</f>
        <v>4251.26</v>
      </c>
      <c r="P621" s="5">
        <f>[1]raw_orders!P621</f>
        <v>0.2</v>
      </c>
      <c r="Q621" t="str">
        <f>PROPER(TRIM([1]raw_orders!T621))</f>
        <v>Refunded</v>
      </c>
      <c r="R621" t="str">
        <f>PROPER(TRIM([1]raw_orders!U621))</f>
        <v>Returned</v>
      </c>
      <c r="S621" s="5">
        <f>[1]raw_orders!S621</f>
        <v>483.47</v>
      </c>
      <c r="T621" s="5">
        <f t="shared" si="72"/>
        <v>4.8347000000000007</v>
      </c>
      <c r="U621" s="5">
        <f t="shared" si="73"/>
        <v>-16302.306722000003</v>
      </c>
      <c r="V621" s="5">
        <f t="shared" si="74"/>
        <v>-16302.506722000004</v>
      </c>
      <c r="W621" s="5">
        <f t="shared" si="75"/>
        <v>1.000012268202495</v>
      </c>
      <c r="X621" s="5" t="str">
        <f t="shared" si="76"/>
        <v>Invalid Date</v>
      </c>
      <c r="Y621" s="5" t="e">
        <f t="shared" si="77"/>
        <v>#VALUE!</v>
      </c>
      <c r="Z621" s="5" t="e">
        <f t="shared" si="78"/>
        <v>#VALUE!</v>
      </c>
      <c r="AA621" t="str">
        <f t="shared" si="79"/>
        <v>Clean</v>
      </c>
    </row>
    <row r="622" spans="1:27" x14ac:dyDescent="0.3">
      <c r="A622" t="str">
        <f>[1]raw_orders!A622</f>
        <v>ORD-2024-10621</v>
      </c>
      <c r="B622" s="4">
        <f>IFERROR(DATEVALUE([1]raw_orders!B622), "Invalid Date")</f>
        <v>45522</v>
      </c>
      <c r="C622" s="4" t="str">
        <f>IFERROR(DATEVALUE([1]raw_orders!C622), "Invalid Date")</f>
        <v>Invalid Date</v>
      </c>
      <c r="D622" t="str">
        <f>[1]raw_orders!D622</f>
        <v>CUST-6947</v>
      </c>
      <c r="E622" t="str">
        <f>PROPER(TRIM([1]raw_orders!E622))</f>
        <v>Vikram Iyer</v>
      </c>
      <c r="F622" t="str">
        <f>PROPER(TRIM([1]raw_orders!F622))</f>
        <v>Consumer</v>
      </c>
      <c r="G622" t="str">
        <f>IF(TRIM([1]raw_orders!G622)="","Unknown",PROPER(TRIM([1]raw_orders!G622)))</f>
        <v>North</v>
      </c>
      <c r="H622" t="str">
        <f>PROPER(TRIM([1]raw_orders!H622))</f>
        <v>Uttar Pradesh</v>
      </c>
      <c r="I622" t="str">
        <f>PROPER(TRIM([1]raw_orders!I622))</f>
        <v>Noida</v>
      </c>
      <c r="J622" t="str">
        <f>PROPER(TRIM([1]raw_orders!J622))</f>
        <v>Technology</v>
      </c>
      <c r="K622" t="str">
        <f>PROPER(TRIM([1]raw_orders!K622))</f>
        <v>Machines</v>
      </c>
      <c r="L622" t="str">
        <f>[1]raw_orders!L622</f>
        <v>Classic Machines 337</v>
      </c>
      <c r="M622" t="str">
        <f>IF(TRIM([1]raw_orders!M622)="","Unknown",PROPER(TRIM([1]raw_orders!M622)))</f>
        <v>Standard Class</v>
      </c>
      <c r="N622" s="5">
        <f>[1]raw_orders!N622</f>
        <v>9</v>
      </c>
      <c r="O622" s="5">
        <f>[1]raw_orders!O622</f>
        <v>734.34</v>
      </c>
      <c r="P622" s="5">
        <f>[1]raw_orders!P622</f>
        <v>0</v>
      </c>
      <c r="Q622" t="str">
        <f>PROPER(TRIM([1]raw_orders!T622))</f>
        <v>Paid</v>
      </c>
      <c r="R622" t="str">
        <f>PROPER(TRIM([1]raw_orders!U622))</f>
        <v>Completed</v>
      </c>
      <c r="S622" s="5">
        <f>[1]raw_orders!S622</f>
        <v>1662.28</v>
      </c>
      <c r="T622" s="5">
        <f t="shared" si="72"/>
        <v>16.622799999999998</v>
      </c>
      <c r="U622" s="5">
        <f t="shared" si="73"/>
        <v>-103252.022568</v>
      </c>
      <c r="V622" s="5">
        <f t="shared" si="74"/>
        <v>-103252.022568</v>
      </c>
      <c r="W622" s="5">
        <f t="shared" si="75"/>
        <v>1</v>
      </c>
      <c r="X622" s="5" t="str">
        <f t="shared" si="76"/>
        <v>Invalid Date</v>
      </c>
      <c r="Y622" s="5">
        <f t="shared" si="77"/>
        <v>8</v>
      </c>
      <c r="Z622" s="5">
        <f t="shared" si="78"/>
        <v>2024</v>
      </c>
      <c r="AA622" t="str">
        <f t="shared" si="79"/>
        <v>Clean</v>
      </c>
    </row>
    <row r="623" spans="1:27" x14ac:dyDescent="0.3">
      <c r="A623" t="str">
        <f>[1]raw_orders!A623</f>
        <v>ORD-2024-10622</v>
      </c>
      <c r="B623" s="4">
        <f>IFERROR(DATEVALUE([1]raw_orders!B623), "Invalid Date")</f>
        <v>45624</v>
      </c>
      <c r="C623" s="4">
        <f>IFERROR(DATEVALUE([1]raw_orders!C623), "Invalid Date")</f>
        <v>45632</v>
      </c>
      <c r="D623" t="str">
        <f>[1]raw_orders!D623</f>
        <v>CUST-7236</v>
      </c>
      <c r="E623" t="str">
        <f>PROPER(TRIM([1]raw_orders!E623))</f>
        <v>Aditi Sen</v>
      </c>
      <c r="F623" t="str">
        <f>PROPER(TRIM([1]raw_orders!F623))</f>
        <v>Consumer</v>
      </c>
      <c r="G623" t="str">
        <f>IF(TRIM([1]raw_orders!G623)="","Unknown",PROPER(TRIM([1]raw_orders!G623)))</f>
        <v>West</v>
      </c>
      <c r="H623" t="str">
        <f>PROPER(TRIM([1]raw_orders!H623))</f>
        <v>Maharashtra</v>
      </c>
      <c r="I623" t="str">
        <f>PROPER(TRIM([1]raw_orders!I623))</f>
        <v>Mumbai</v>
      </c>
      <c r="J623" t="str">
        <f>PROPER(TRIM([1]raw_orders!J623))</f>
        <v>Furniture</v>
      </c>
      <c r="K623" t="str">
        <f>PROPER(TRIM([1]raw_orders!K623))</f>
        <v>Chairs</v>
      </c>
      <c r="L623" t="str">
        <f>[1]raw_orders!L623</f>
        <v>Max Chairs 748</v>
      </c>
      <c r="M623" t="str">
        <f>IF(TRIM([1]raw_orders!M623)="","Unknown",PROPER(TRIM([1]raw_orders!M623)))</f>
        <v>Same Day</v>
      </c>
      <c r="N623" s="5">
        <f>[1]raw_orders!N623</f>
        <v>5</v>
      </c>
      <c r="O623" s="5">
        <f>[1]raw_orders!O623</f>
        <v>1092.8399999999999</v>
      </c>
      <c r="P623" s="5">
        <f>[1]raw_orders!P623</f>
        <v>0</v>
      </c>
      <c r="Q623" t="str">
        <f>PROPER(TRIM([1]raw_orders!T623))</f>
        <v>Paid</v>
      </c>
      <c r="R623" t="str">
        <f>PROPER(TRIM([1]raw_orders!U623))</f>
        <v>Completed</v>
      </c>
      <c r="S623" s="5">
        <f>[1]raw_orders!S623</f>
        <v>2146.11</v>
      </c>
      <c r="T623" s="5">
        <f t="shared" si="72"/>
        <v>21.461100000000002</v>
      </c>
      <c r="U623" s="5">
        <f t="shared" si="73"/>
        <v>-111803.54262000001</v>
      </c>
      <c r="V623" s="5">
        <f t="shared" si="74"/>
        <v>-111803.54262000001</v>
      </c>
      <c r="W623" s="5">
        <f t="shared" si="75"/>
        <v>1</v>
      </c>
      <c r="X623" s="5">
        <f t="shared" si="76"/>
        <v>8</v>
      </c>
      <c r="Y623" s="5">
        <f t="shared" si="77"/>
        <v>11</v>
      </c>
      <c r="Z623" s="5">
        <f t="shared" si="78"/>
        <v>2024</v>
      </c>
      <c r="AA623" t="str">
        <f t="shared" si="79"/>
        <v>Clean</v>
      </c>
    </row>
    <row r="624" spans="1:27" x14ac:dyDescent="0.3">
      <c r="A624" t="str">
        <f>[1]raw_orders!A624</f>
        <v>ORD-2025-10623</v>
      </c>
      <c r="B624" s="4">
        <f>IFERROR(DATEVALUE([1]raw_orders!B624), "Invalid Date")</f>
        <v>45686</v>
      </c>
      <c r="C624" s="4">
        <f>IFERROR(DATEVALUE([1]raw_orders!C624), "Invalid Date")</f>
        <v>45694</v>
      </c>
      <c r="D624" t="str">
        <f>[1]raw_orders!D624</f>
        <v>CUST-1127</v>
      </c>
      <c r="E624" t="str">
        <f>PROPER(TRIM([1]raw_orders!E624))</f>
        <v>Vikram Iyer</v>
      </c>
      <c r="F624" t="str">
        <f>PROPER(TRIM([1]raw_orders!F624))</f>
        <v>Consumer</v>
      </c>
      <c r="G624" t="str">
        <f>IF(TRIM([1]raw_orders!G624)="","Unknown",PROPER(TRIM([1]raw_orders!G624)))</f>
        <v>East</v>
      </c>
      <c r="H624" t="str">
        <f>PROPER(TRIM([1]raw_orders!H624))</f>
        <v>Bihar</v>
      </c>
      <c r="I624" t="str">
        <f>PROPER(TRIM([1]raw_orders!I624))</f>
        <v>Patna</v>
      </c>
      <c r="J624" t="str">
        <f>PROPER(TRIM([1]raw_orders!J624))</f>
        <v>Office Supplies</v>
      </c>
      <c r="K624" t="str">
        <f>PROPER(TRIM([1]raw_orders!K624))</f>
        <v>Storage</v>
      </c>
      <c r="L624" t="str">
        <f>[1]raw_orders!L624</f>
        <v>Basic Storage 934</v>
      </c>
      <c r="M624" t="str">
        <f>IF(TRIM([1]raw_orders!M624)="","Unknown",PROPER(TRIM([1]raw_orders!M624)))</f>
        <v>Standard Class</v>
      </c>
      <c r="N624" s="5">
        <f>[1]raw_orders!N624</f>
        <v>4</v>
      </c>
      <c r="O624" s="5">
        <f>[1]raw_orders!O624</f>
        <v>2759.01</v>
      </c>
      <c r="P624" s="5">
        <f>[1]raw_orders!P624</f>
        <v>0.05</v>
      </c>
      <c r="Q624" t="str">
        <f>PROPER(TRIM([1]raw_orders!T624))</f>
        <v>Paid</v>
      </c>
      <c r="R624" t="str">
        <f>PROPER(TRIM([1]raw_orders!U624))</f>
        <v>Completed</v>
      </c>
      <c r="S624" s="5">
        <f>[1]raw_orders!S624</f>
        <v>3804.09</v>
      </c>
      <c r="T624" s="5">
        <f t="shared" si="72"/>
        <v>38.040900000000001</v>
      </c>
      <c r="U624" s="5">
        <f t="shared" si="73"/>
        <v>-408784.85403600003</v>
      </c>
      <c r="V624" s="5">
        <f t="shared" si="74"/>
        <v>-408784.90403600002</v>
      </c>
      <c r="W624" s="5">
        <f t="shared" si="75"/>
        <v>1.0000001223137294</v>
      </c>
      <c r="X624" s="5">
        <f t="shared" si="76"/>
        <v>8</v>
      </c>
      <c r="Y624" s="5">
        <f t="shared" si="77"/>
        <v>1</v>
      </c>
      <c r="Z624" s="5">
        <f t="shared" si="78"/>
        <v>2025</v>
      </c>
      <c r="AA624" t="str">
        <f t="shared" si="79"/>
        <v>Clean</v>
      </c>
    </row>
    <row r="625" spans="1:27" x14ac:dyDescent="0.3">
      <c r="A625" t="str">
        <f>[1]raw_orders!A625</f>
        <v>ORD-2024-10624</v>
      </c>
      <c r="B625" s="4">
        <f>IFERROR(DATEVALUE([1]raw_orders!B625), "Invalid Date")</f>
        <v>45512</v>
      </c>
      <c r="C625" s="4">
        <f>IFERROR(DATEVALUE([1]raw_orders!C625), "Invalid Date")</f>
        <v>45518</v>
      </c>
      <c r="D625" t="str">
        <f>[1]raw_orders!D625</f>
        <v>CUST-6262</v>
      </c>
      <c r="E625" t="str">
        <f>PROPER(TRIM([1]raw_orders!E625))</f>
        <v>Vikram Iyer</v>
      </c>
      <c r="F625" t="str">
        <f>PROPER(TRIM([1]raw_orders!F625))</f>
        <v>Home Office</v>
      </c>
      <c r="G625" t="str">
        <f>IF(TRIM([1]raw_orders!G625)="","Unknown",PROPER(TRIM([1]raw_orders!G625)))</f>
        <v>North</v>
      </c>
      <c r="H625" t="str">
        <f>PROPER(TRIM([1]raw_orders!H625))</f>
        <v>Punjab</v>
      </c>
      <c r="I625" t="str">
        <f>PROPER(TRIM([1]raw_orders!I625))</f>
        <v>Ludhiana</v>
      </c>
      <c r="J625" t="str">
        <f>PROPER(TRIM([1]raw_orders!J625))</f>
        <v>Office Supplies</v>
      </c>
      <c r="K625" t="str">
        <f>PROPER(TRIM([1]raw_orders!K625))</f>
        <v>Storage</v>
      </c>
      <c r="L625" t="str">
        <f>[1]raw_orders!L625</f>
        <v>Pro Storage 509</v>
      </c>
      <c r="M625" t="str">
        <f>IF(TRIM([1]raw_orders!M625)="","Unknown",PROPER(TRIM([1]raw_orders!M625)))</f>
        <v>Second Class</v>
      </c>
      <c r="N625" s="5">
        <f>[1]raw_orders!N625</f>
        <v>8</v>
      </c>
      <c r="O625" s="5">
        <f>[1]raw_orders!O625</f>
        <v>1359.19</v>
      </c>
      <c r="P625" s="5">
        <f>[1]raw_orders!P625</f>
        <v>0.05</v>
      </c>
      <c r="Q625" t="str">
        <f>PROPER(TRIM([1]raw_orders!T625))</f>
        <v>Paid</v>
      </c>
      <c r="R625" t="str">
        <f>PROPER(TRIM([1]raw_orders!U625))</f>
        <v>Completed</v>
      </c>
      <c r="S625" s="5">
        <f>[1]raw_orders!S625</f>
        <v>2817.62</v>
      </c>
      <c r="T625" s="5">
        <f t="shared" si="72"/>
        <v>28.176199999999998</v>
      </c>
      <c r="U625" s="5">
        <f t="shared" si="73"/>
        <v>-295500.95422399999</v>
      </c>
      <c r="V625" s="5">
        <f t="shared" si="74"/>
        <v>-295501.00422399997</v>
      </c>
      <c r="W625" s="5">
        <f t="shared" si="75"/>
        <v>1.0000001692041913</v>
      </c>
      <c r="X625" s="5">
        <f t="shared" si="76"/>
        <v>6</v>
      </c>
      <c r="Y625" s="5">
        <f t="shared" si="77"/>
        <v>8</v>
      </c>
      <c r="Z625" s="5">
        <f t="shared" si="78"/>
        <v>2024</v>
      </c>
      <c r="AA625" t="str">
        <f t="shared" si="79"/>
        <v>Clean</v>
      </c>
    </row>
    <row r="626" spans="1:27" x14ac:dyDescent="0.3">
      <c r="A626" t="str">
        <f>[1]raw_orders!A626</f>
        <v>ORD-2024-10625</v>
      </c>
      <c r="B626" s="4" t="str">
        <f>IFERROR(DATEVALUE([1]raw_orders!B626), "Invalid Date")</f>
        <v>Invalid Date</v>
      </c>
      <c r="C626" s="4">
        <f>IFERROR(DATEVALUE([1]raw_orders!C626), "Invalid Date")</f>
        <v>45323</v>
      </c>
      <c r="D626" t="str">
        <f>[1]raw_orders!D626</f>
        <v>CUST-5070</v>
      </c>
      <c r="E626" t="str">
        <f>PROPER(TRIM([1]raw_orders!E626))</f>
        <v>Neha Gupta</v>
      </c>
      <c r="F626" t="str">
        <f>PROPER(TRIM([1]raw_orders!F626))</f>
        <v>Home Office</v>
      </c>
      <c r="G626" t="str">
        <f>IF(TRIM([1]raw_orders!G626)="","Unknown",PROPER(TRIM([1]raw_orders!G626)))</f>
        <v>East</v>
      </c>
      <c r="H626" t="str">
        <f>PROPER(TRIM([1]raw_orders!H626))</f>
        <v>Assam</v>
      </c>
      <c r="I626" t="str">
        <f>PROPER(TRIM([1]raw_orders!I626))</f>
        <v>Guwahati</v>
      </c>
      <c r="J626" t="str">
        <f>PROPER(TRIM([1]raw_orders!J626))</f>
        <v>Furniture</v>
      </c>
      <c r="K626" t="str">
        <f>PROPER(TRIM([1]raw_orders!K626))</f>
        <v>Chairs</v>
      </c>
      <c r="L626" t="str">
        <f>[1]raw_orders!L626</f>
        <v>Prime Chairs 765</v>
      </c>
      <c r="M626" t="str">
        <f>IF(TRIM([1]raw_orders!M626)="","Unknown",PROPER(TRIM([1]raw_orders!M626)))</f>
        <v>First Class</v>
      </c>
      <c r="N626" s="5">
        <f>[1]raw_orders!N626</f>
        <v>2</v>
      </c>
      <c r="O626" s="5">
        <f>[1]raw_orders!O626</f>
        <v>4451.03</v>
      </c>
      <c r="P626" s="5">
        <f>[1]raw_orders!P626</f>
        <v>0.05</v>
      </c>
      <c r="Q626" t="str">
        <f>PROPER(TRIM([1]raw_orders!T626))</f>
        <v>Paid</v>
      </c>
      <c r="R626" t="str">
        <f>PROPER(TRIM([1]raw_orders!U626))</f>
        <v>Completed</v>
      </c>
      <c r="S626" s="5">
        <f>[1]raw_orders!S626</f>
        <v>2994.11</v>
      </c>
      <c r="T626" s="5">
        <f t="shared" si="72"/>
        <v>29.941100000000002</v>
      </c>
      <c r="U626" s="5">
        <f t="shared" si="73"/>
        <v>-257635.408666</v>
      </c>
      <c r="V626" s="5">
        <f t="shared" si="74"/>
        <v>-257635.45866599999</v>
      </c>
      <c r="W626" s="5">
        <f t="shared" si="75"/>
        <v>1.0000001940727024</v>
      </c>
      <c r="X626" s="5" t="str">
        <f t="shared" si="76"/>
        <v>Invalid Date</v>
      </c>
      <c r="Y626" s="5" t="e">
        <f t="shared" si="77"/>
        <v>#VALUE!</v>
      </c>
      <c r="Z626" s="5" t="e">
        <f t="shared" si="78"/>
        <v>#VALUE!</v>
      </c>
      <c r="AA626" t="str">
        <f t="shared" si="79"/>
        <v>Clean</v>
      </c>
    </row>
    <row r="627" spans="1:27" x14ac:dyDescent="0.3">
      <c r="A627" t="str">
        <f>[1]raw_orders!A627</f>
        <v>ORD-2024-10626</v>
      </c>
      <c r="B627" s="4" t="str">
        <f>IFERROR(DATEVALUE([1]raw_orders!B627), "Invalid Date")</f>
        <v>Invalid Date</v>
      </c>
      <c r="C627" s="4">
        <f>IFERROR(DATEVALUE([1]raw_orders!C627), "Invalid Date")</f>
        <v>45647</v>
      </c>
      <c r="D627" t="str">
        <f>[1]raw_orders!D627</f>
        <v>CUST-7946</v>
      </c>
      <c r="E627" t="str">
        <f>PROPER(TRIM([1]raw_orders!E627))</f>
        <v>Diya Patel</v>
      </c>
      <c r="F627" t="str">
        <f>PROPER(TRIM([1]raw_orders!F627))</f>
        <v>Corporate</v>
      </c>
      <c r="G627" t="str">
        <f>IF(TRIM([1]raw_orders!G627)="","Unknown",PROPER(TRIM([1]raw_orders!G627)))</f>
        <v>West</v>
      </c>
      <c r="H627" t="str">
        <f>PROPER(TRIM([1]raw_orders!H627))</f>
        <v>Rajasthan</v>
      </c>
      <c r="I627" t="str">
        <f>PROPER(TRIM([1]raw_orders!I627))</f>
        <v>Udaipur</v>
      </c>
      <c r="J627" t="str">
        <f>PROPER(TRIM([1]raw_orders!J627))</f>
        <v>Furniture</v>
      </c>
      <c r="K627" t="str">
        <f>PROPER(TRIM([1]raw_orders!K627))</f>
        <v>Chairs</v>
      </c>
      <c r="L627" t="str">
        <f>[1]raw_orders!L627</f>
        <v>Elite Chairs 358</v>
      </c>
      <c r="M627" t="str">
        <f>IF(TRIM([1]raw_orders!M627)="","Unknown",PROPER(TRIM([1]raw_orders!M627)))</f>
        <v>Same Day</v>
      </c>
      <c r="N627" s="5">
        <f>[1]raw_orders!N627</f>
        <v>3</v>
      </c>
      <c r="O627" s="5">
        <f>[1]raw_orders!O627</f>
        <v>527.66999999999996</v>
      </c>
      <c r="P627" s="5">
        <f>[1]raw_orders!P627</f>
        <v>0.2</v>
      </c>
      <c r="Q627" t="str">
        <f>PROPER(TRIM([1]raw_orders!T627))</f>
        <v>Paid</v>
      </c>
      <c r="R627" t="str">
        <f>PROPER(TRIM([1]raw_orders!U627))</f>
        <v>Completed</v>
      </c>
      <c r="S627" s="5">
        <f>[1]raw_orders!S627</f>
        <v>282.49</v>
      </c>
      <c r="T627" s="5">
        <f t="shared" si="72"/>
        <v>2.8249</v>
      </c>
      <c r="U627" s="5">
        <f t="shared" si="73"/>
        <v>-2888.8349489999996</v>
      </c>
      <c r="V627" s="5">
        <f t="shared" si="74"/>
        <v>-2889.0349489999994</v>
      </c>
      <c r="W627" s="5">
        <f t="shared" si="75"/>
        <v>1.0000692320618971</v>
      </c>
      <c r="X627" s="5" t="str">
        <f t="shared" si="76"/>
        <v>Invalid Date</v>
      </c>
      <c r="Y627" s="5" t="e">
        <f t="shared" si="77"/>
        <v>#VALUE!</v>
      </c>
      <c r="Z627" s="5" t="e">
        <f t="shared" si="78"/>
        <v>#VALUE!</v>
      </c>
      <c r="AA627" t="str">
        <f t="shared" si="79"/>
        <v>Clean</v>
      </c>
    </row>
    <row r="628" spans="1:27" x14ac:dyDescent="0.3">
      <c r="A628" t="str">
        <f>[1]raw_orders!A628</f>
        <v>ORD-2025-10627</v>
      </c>
      <c r="B628" s="4">
        <f>IFERROR(DATEVALUE([1]raw_orders!B628), "Invalid Date")</f>
        <v>45812</v>
      </c>
      <c r="C628" s="4">
        <f>IFERROR(DATEVALUE([1]raw_orders!C628), "Invalid Date")</f>
        <v>45844</v>
      </c>
      <c r="D628" t="str">
        <f>[1]raw_orders!D628</f>
        <v>CUST-1793</v>
      </c>
      <c r="E628" t="str">
        <f>PROPER(TRIM([1]raw_orders!E628))</f>
        <v>Sneha Kapoor</v>
      </c>
      <c r="F628" t="str">
        <f>PROPER(TRIM([1]raw_orders!F628))</f>
        <v>Home Office</v>
      </c>
      <c r="G628" t="str">
        <f>IF(TRIM([1]raw_orders!G628)="","Unknown",PROPER(TRIM([1]raw_orders!G628)))</f>
        <v>East</v>
      </c>
      <c r="H628" t="str">
        <f>PROPER(TRIM([1]raw_orders!H628))</f>
        <v>Assam</v>
      </c>
      <c r="I628" t="str">
        <f>PROPER(TRIM([1]raw_orders!I628))</f>
        <v>Guwahati</v>
      </c>
      <c r="J628" t="str">
        <f>PROPER(TRIM([1]raw_orders!J628))</f>
        <v>Technology</v>
      </c>
      <c r="K628" t="str">
        <f>PROPER(TRIM([1]raw_orders!K628))</f>
        <v>Machines</v>
      </c>
      <c r="L628" t="str">
        <f>[1]raw_orders!L628</f>
        <v>Elite Machines 971</v>
      </c>
      <c r="M628" t="str">
        <f>IF(TRIM([1]raw_orders!M628)="","Unknown",PROPER(TRIM([1]raw_orders!M628)))</f>
        <v>Standard Class</v>
      </c>
      <c r="N628" s="5">
        <f>[1]raw_orders!N628</f>
        <v>8</v>
      </c>
      <c r="O628" s="5">
        <f>[1]raw_orders!O628</f>
        <v>1434.13</v>
      </c>
      <c r="P628" s="5">
        <f>[1]raw_orders!P628</f>
        <v>0</v>
      </c>
      <c r="Q628" t="str">
        <f>PROPER(TRIM([1]raw_orders!T628))</f>
        <v>Pending</v>
      </c>
      <c r="R628" t="str">
        <f>PROPER(TRIM([1]raw_orders!U628))</f>
        <v>Returned</v>
      </c>
      <c r="S628" s="5">
        <f>[1]raw_orders!S628</f>
        <v>2541.71</v>
      </c>
      <c r="T628" s="5">
        <f t="shared" si="72"/>
        <v>25.417100000000001</v>
      </c>
      <c r="U628" s="5">
        <f t="shared" si="73"/>
        <v>-280138.36498400004</v>
      </c>
      <c r="V628" s="5">
        <f t="shared" si="74"/>
        <v>-280138.36498400004</v>
      </c>
      <c r="W628" s="5">
        <f t="shared" si="75"/>
        <v>1</v>
      </c>
      <c r="X628" s="5">
        <f t="shared" si="76"/>
        <v>32</v>
      </c>
      <c r="Y628" s="5">
        <f t="shared" si="77"/>
        <v>6</v>
      </c>
      <c r="Z628" s="5">
        <f t="shared" si="78"/>
        <v>2025</v>
      </c>
      <c r="AA628" t="str">
        <f t="shared" si="79"/>
        <v>Clean</v>
      </c>
    </row>
    <row r="629" spans="1:27" x14ac:dyDescent="0.3">
      <c r="A629" t="str">
        <f>[1]raw_orders!A629</f>
        <v>ORD-2025-10628</v>
      </c>
      <c r="B629" s="4" t="str">
        <f>IFERROR(DATEVALUE([1]raw_orders!B629), "Invalid Date")</f>
        <v>Invalid Date</v>
      </c>
      <c r="C629" s="4">
        <f>IFERROR(DATEVALUE([1]raw_orders!C629), "Invalid Date")</f>
        <v>45709</v>
      </c>
      <c r="D629" t="str">
        <f>[1]raw_orders!D629</f>
        <v>CUST-8839</v>
      </c>
      <c r="E629" t="str">
        <f>PROPER(TRIM([1]raw_orders!E629))</f>
        <v>Karan Malhotra</v>
      </c>
      <c r="F629" t="str">
        <f>PROPER(TRIM([1]raw_orders!F629))</f>
        <v>Small Business</v>
      </c>
      <c r="G629" t="str">
        <f>IF(TRIM([1]raw_orders!G629)="","Unknown",PROPER(TRIM([1]raw_orders!G629)))</f>
        <v>South</v>
      </c>
      <c r="H629" t="str">
        <f>PROPER(TRIM([1]raw_orders!H629))</f>
        <v>Kerala</v>
      </c>
      <c r="I629" t="str">
        <f>PROPER(TRIM([1]raw_orders!I629))</f>
        <v>Kochi</v>
      </c>
      <c r="J629" t="str">
        <f>PROPER(TRIM([1]raw_orders!J629))</f>
        <v>Technology</v>
      </c>
      <c r="K629" t="str">
        <f>PROPER(TRIM([1]raw_orders!K629))</f>
        <v>Phones</v>
      </c>
      <c r="L629" t="str">
        <f>[1]raw_orders!L629</f>
        <v>Max Phones 825</v>
      </c>
      <c r="M629" t="str">
        <f>IF(TRIM([1]raw_orders!M629)="","Unknown",PROPER(TRIM([1]raw_orders!M629)))</f>
        <v>Second Class</v>
      </c>
      <c r="N629" s="5">
        <f>[1]raw_orders!N629</f>
        <v>2</v>
      </c>
      <c r="O629" s="5">
        <f>[1]raw_orders!O629</f>
        <v>2360.02</v>
      </c>
      <c r="P629" s="5">
        <f>[1]raw_orders!P629</f>
        <v>0.15</v>
      </c>
      <c r="Q629" t="str">
        <f>PROPER(TRIM([1]raw_orders!T629))</f>
        <v>Pending</v>
      </c>
      <c r="R629" t="str">
        <f>PROPER(TRIM([1]raw_orders!U629))</f>
        <v>Cancelled</v>
      </c>
      <c r="S629" s="5">
        <f>[1]raw_orders!S629</f>
        <v>869.11</v>
      </c>
      <c r="T629" s="5">
        <f t="shared" si="72"/>
        <v>8.6911000000000005</v>
      </c>
      <c r="U629" s="5">
        <f t="shared" si="73"/>
        <v>-36302.299643999999</v>
      </c>
      <c r="V629" s="5">
        <f t="shared" si="74"/>
        <v>-36302.449644</v>
      </c>
      <c r="W629" s="5">
        <f t="shared" si="75"/>
        <v>1.0000041319696402</v>
      </c>
      <c r="X629" s="5" t="str">
        <f t="shared" si="76"/>
        <v>Invalid Date</v>
      </c>
      <c r="Y629" s="5" t="e">
        <f t="shared" si="77"/>
        <v>#VALUE!</v>
      </c>
      <c r="Z629" s="5" t="e">
        <f t="shared" si="78"/>
        <v>#VALUE!</v>
      </c>
      <c r="AA629" t="str">
        <f t="shared" si="79"/>
        <v>Clean</v>
      </c>
    </row>
    <row r="630" spans="1:27" x14ac:dyDescent="0.3">
      <c r="A630" t="str">
        <f>[1]raw_orders!A630</f>
        <v>ORD-2025-10629</v>
      </c>
      <c r="B630" s="4">
        <f>IFERROR(DATEVALUE([1]raw_orders!B630), "Invalid Date")</f>
        <v>45935</v>
      </c>
      <c r="C630" s="4">
        <f>IFERROR(DATEVALUE([1]raw_orders!C630), "Invalid Date")</f>
        <v>45942</v>
      </c>
      <c r="D630" t="str">
        <f>[1]raw_orders!D630</f>
        <v>CUST-6725</v>
      </c>
      <c r="E630" t="str">
        <f>PROPER(TRIM([1]raw_orders!E630))</f>
        <v>Ananya Rao</v>
      </c>
      <c r="F630" t="str">
        <f>PROPER(TRIM([1]raw_orders!F630))</f>
        <v>Home Office</v>
      </c>
      <c r="G630" t="str">
        <f>IF(TRIM([1]raw_orders!G630)="","Unknown",PROPER(TRIM([1]raw_orders!G630)))</f>
        <v>East</v>
      </c>
      <c r="H630" t="str">
        <f>PROPER(TRIM([1]raw_orders!H630))</f>
        <v>Jharkhand</v>
      </c>
      <c r="I630" t="str">
        <f>PROPER(TRIM([1]raw_orders!I630))</f>
        <v>Ranchi</v>
      </c>
      <c r="J630" t="str">
        <f>PROPER(TRIM([1]raw_orders!J630))</f>
        <v>Technology</v>
      </c>
      <c r="K630" t="str">
        <f>PROPER(TRIM([1]raw_orders!K630))</f>
        <v>Accessories</v>
      </c>
      <c r="L630" t="str">
        <f>[1]raw_orders!L630</f>
        <v>Eco Accessories 933</v>
      </c>
      <c r="M630" t="str">
        <f>IF(TRIM([1]raw_orders!M630)="","Unknown",PROPER(TRIM([1]raw_orders!M630)))</f>
        <v>Same Day</v>
      </c>
      <c r="N630" s="5">
        <f>[1]raw_orders!N630</f>
        <v>7</v>
      </c>
      <c r="O630" s="5">
        <f>[1]raw_orders!O630</f>
        <v>806.67</v>
      </c>
      <c r="P630" s="5">
        <f>[1]raw_orders!P630</f>
        <v>0.05</v>
      </c>
      <c r="Q630" t="str">
        <f>PROPER(TRIM([1]raw_orders!T630))</f>
        <v>Paid</v>
      </c>
      <c r="R630" t="str">
        <f>PROPER(TRIM([1]raw_orders!U630))</f>
        <v>Completed</v>
      </c>
      <c r="S630" s="5">
        <f>[1]raw_orders!S630</f>
        <v>973.07</v>
      </c>
      <c r="T630" s="5">
        <f t="shared" si="72"/>
        <v>9.7307000000000006</v>
      </c>
      <c r="U630" s="5">
        <f t="shared" si="73"/>
        <v>-49299.556383000003</v>
      </c>
      <c r="V630" s="5">
        <f t="shared" si="74"/>
        <v>-49299.606383000006</v>
      </c>
      <c r="W630" s="5">
        <f t="shared" si="75"/>
        <v>1.0000010142079092</v>
      </c>
      <c r="X630" s="5">
        <f t="shared" si="76"/>
        <v>7</v>
      </c>
      <c r="Y630" s="5">
        <f t="shared" si="77"/>
        <v>10</v>
      </c>
      <c r="Z630" s="5">
        <f t="shared" si="78"/>
        <v>2025</v>
      </c>
      <c r="AA630" t="str">
        <f t="shared" si="79"/>
        <v>Clean</v>
      </c>
    </row>
    <row r="631" spans="1:27" x14ac:dyDescent="0.3">
      <c r="A631" t="str">
        <f>[1]raw_orders!A631</f>
        <v>ORD-2025-10630</v>
      </c>
      <c r="B631" s="4">
        <f>IFERROR(DATEVALUE([1]raw_orders!B631), "Invalid Date")</f>
        <v>45939</v>
      </c>
      <c r="C631" s="4">
        <f>IFERROR(DATEVALUE([1]raw_orders!C631), "Invalid Date")</f>
        <v>45914</v>
      </c>
      <c r="D631" t="str">
        <f>[1]raw_orders!D631</f>
        <v>CUST-3793</v>
      </c>
      <c r="E631" t="str">
        <f>PROPER(TRIM([1]raw_orders!E631))</f>
        <v>Arjun Bose</v>
      </c>
      <c r="F631" t="str">
        <f>PROPER(TRIM([1]raw_orders!F631))</f>
        <v>Home Office</v>
      </c>
      <c r="G631" t="str">
        <f>IF(TRIM([1]raw_orders!G631)="","Unknown",PROPER(TRIM([1]raw_orders!G631)))</f>
        <v>West</v>
      </c>
      <c r="H631" t="str">
        <f>PROPER(TRIM([1]raw_orders!H631))</f>
        <v>Gujarat</v>
      </c>
      <c r="I631" t="str">
        <f>PROPER(TRIM([1]raw_orders!I631))</f>
        <v>Ahmedabad</v>
      </c>
      <c r="J631" t="str">
        <f>PROPER(TRIM([1]raw_orders!J631))</f>
        <v>Furniture</v>
      </c>
      <c r="K631" t="str">
        <f>PROPER(TRIM([1]raw_orders!K631))</f>
        <v>Tables</v>
      </c>
      <c r="L631" t="str">
        <f>[1]raw_orders!L631</f>
        <v>Max Tables 908</v>
      </c>
      <c r="M631" t="str">
        <f>IF(TRIM([1]raw_orders!M631)="","Unknown",PROPER(TRIM([1]raw_orders!M631)))</f>
        <v>Same Day</v>
      </c>
      <c r="N631" s="5">
        <f>[1]raw_orders!N631</f>
        <v>3</v>
      </c>
      <c r="O631" s="5">
        <f>[1]raw_orders!O631</f>
        <v>4198.46</v>
      </c>
      <c r="P631" s="5">
        <f>[1]raw_orders!P631</f>
        <v>0.15</v>
      </c>
      <c r="Q631" t="str">
        <f>PROPER(TRIM([1]raw_orders!T631))</f>
        <v>Paid</v>
      </c>
      <c r="R631" t="str">
        <f>PROPER(TRIM([1]raw_orders!U631))</f>
        <v>Completed</v>
      </c>
      <c r="S631" s="5">
        <f>[1]raw_orders!S631</f>
        <v>4778.97</v>
      </c>
      <c r="T631" s="5">
        <f t="shared" si="72"/>
        <v>47.789700000000003</v>
      </c>
      <c r="U631" s="5">
        <f t="shared" si="73"/>
        <v>-589334.05158600013</v>
      </c>
      <c r="V631" s="5">
        <f t="shared" si="74"/>
        <v>-589334.20158600016</v>
      </c>
      <c r="W631" s="5">
        <f t="shared" si="75"/>
        <v>1.0000002545245767</v>
      </c>
      <c r="X631" s="5">
        <f t="shared" si="76"/>
        <v>-25</v>
      </c>
      <c r="Y631" s="5">
        <f t="shared" si="77"/>
        <v>10</v>
      </c>
      <c r="Z631" s="5">
        <f t="shared" si="78"/>
        <v>2025</v>
      </c>
      <c r="AA631" t="str">
        <f t="shared" si="79"/>
        <v>Invalid</v>
      </c>
    </row>
    <row r="632" spans="1:27" x14ac:dyDescent="0.3">
      <c r="A632" t="str">
        <f>[1]raw_orders!A632</f>
        <v>ORD-2024-10631</v>
      </c>
      <c r="B632" s="4">
        <f>IFERROR(DATEVALUE([1]raw_orders!B632), "Invalid Date")</f>
        <v>45391</v>
      </c>
      <c r="C632" s="4">
        <f>IFERROR(DATEVALUE([1]raw_orders!C632), "Invalid Date")</f>
        <v>45392</v>
      </c>
      <c r="D632" t="str">
        <f>[1]raw_orders!D632</f>
        <v>CUST-6075</v>
      </c>
      <c r="E632" t="str">
        <f>PROPER(TRIM([1]raw_orders!E632))</f>
        <v>Priya Menon</v>
      </c>
      <c r="F632" t="str">
        <f>PROPER(TRIM([1]raw_orders!F632))</f>
        <v>Corporate</v>
      </c>
      <c r="G632" t="str">
        <f>IF(TRIM([1]raw_orders!G632)="","Unknown",PROPER(TRIM([1]raw_orders!G632)))</f>
        <v>East</v>
      </c>
      <c r="H632" t="str">
        <f>PROPER(TRIM([1]raw_orders!H632))</f>
        <v>Assam</v>
      </c>
      <c r="I632" t="str">
        <f>PROPER(TRIM([1]raw_orders!I632))</f>
        <v>Guwahati</v>
      </c>
      <c r="J632" t="str">
        <f>PROPER(TRIM([1]raw_orders!J632))</f>
        <v>Office Supplies</v>
      </c>
      <c r="K632" t="str">
        <f>PROPER(TRIM([1]raw_orders!K632))</f>
        <v>Paper</v>
      </c>
      <c r="L632" t="str">
        <f>[1]raw_orders!L632</f>
        <v>Elite Paper 239</v>
      </c>
      <c r="M632" t="str">
        <f>IF(TRIM([1]raw_orders!M632)="","Unknown",PROPER(TRIM([1]raw_orders!M632)))</f>
        <v>Standard Class</v>
      </c>
      <c r="N632" s="5">
        <f>[1]raw_orders!N632</f>
        <v>4</v>
      </c>
      <c r="O632" s="5">
        <f>[1]raw_orders!O632</f>
        <v>3047.05</v>
      </c>
      <c r="P632" s="5">
        <f>[1]raw_orders!P632</f>
        <v>0.1</v>
      </c>
      <c r="Q632" t="str">
        <f>PROPER(TRIM([1]raw_orders!T632))</f>
        <v>Paid</v>
      </c>
      <c r="R632" t="str">
        <f>PROPER(TRIM([1]raw_orders!U632))</f>
        <v>Completed</v>
      </c>
      <c r="S632" s="5">
        <f>[1]raw_orders!S632</f>
        <v>1714.92</v>
      </c>
      <c r="T632" s="5">
        <f t="shared" si="72"/>
        <v>17.1492</v>
      </c>
      <c r="U632" s="5">
        <f t="shared" si="73"/>
        <v>-196829.67944000001</v>
      </c>
      <c r="V632" s="5">
        <f t="shared" si="74"/>
        <v>-196829.77944000001</v>
      </c>
      <c r="W632" s="5">
        <f t="shared" si="75"/>
        <v>1.0000005080534617</v>
      </c>
      <c r="X632" s="5">
        <f t="shared" si="76"/>
        <v>1</v>
      </c>
      <c r="Y632" s="5">
        <f t="shared" si="77"/>
        <v>4</v>
      </c>
      <c r="Z632" s="5">
        <f t="shared" si="78"/>
        <v>2024</v>
      </c>
      <c r="AA632" t="str">
        <f t="shared" si="79"/>
        <v>Clean</v>
      </c>
    </row>
    <row r="633" spans="1:27" x14ac:dyDescent="0.3">
      <c r="A633" t="str">
        <f>[1]raw_orders!A633</f>
        <v>ORD-2024-10632</v>
      </c>
      <c r="B633" s="4">
        <f>IFERROR(DATEVALUE([1]raw_orders!B633), "Invalid Date")</f>
        <v>45392</v>
      </c>
      <c r="C633" s="4">
        <f>IFERROR(DATEVALUE([1]raw_orders!C633), "Invalid Date")</f>
        <v>45397</v>
      </c>
      <c r="D633" t="str">
        <f>[1]raw_orders!D633</f>
        <v>CUST-6381</v>
      </c>
      <c r="E633" t="str">
        <f>PROPER(TRIM([1]raw_orders!E633))</f>
        <v>Aarav Sharma</v>
      </c>
      <c r="F633" t="str">
        <f>PROPER(TRIM([1]raw_orders!F633))</f>
        <v>Home Office</v>
      </c>
      <c r="G633" t="str">
        <f>IF(TRIM([1]raw_orders!G633)="","Unknown",PROPER(TRIM([1]raw_orders!G633)))</f>
        <v>West</v>
      </c>
      <c r="H633" t="str">
        <f>PROPER(TRIM([1]raw_orders!H633))</f>
        <v>Rajasthan</v>
      </c>
      <c r="I633" t="str">
        <f>PROPER(TRIM([1]raw_orders!I633))</f>
        <v>Udaipur</v>
      </c>
      <c r="J633" t="str">
        <f>PROPER(TRIM([1]raw_orders!J633))</f>
        <v>Furniture</v>
      </c>
      <c r="K633" t="str">
        <f>PROPER(TRIM([1]raw_orders!K633))</f>
        <v>Chairs</v>
      </c>
      <c r="L633" t="str">
        <f>[1]raw_orders!L633</f>
        <v>Eco Chairs 452</v>
      </c>
      <c r="M633" t="str">
        <f>IF(TRIM([1]raw_orders!M633)="","Unknown",PROPER(TRIM([1]raw_orders!M633)))</f>
        <v>Standard Class</v>
      </c>
      <c r="N633" s="5">
        <f>[1]raw_orders!N633</f>
        <v>8</v>
      </c>
      <c r="O633" s="5">
        <f>[1]raw_orders!O633</f>
        <v>4362.4799999999996</v>
      </c>
      <c r="P633" s="5">
        <f>[1]raw_orders!P633</f>
        <v>0.1</v>
      </c>
      <c r="Q633" t="str">
        <f>PROPER(TRIM([1]raw_orders!T633))</f>
        <v>Paid</v>
      </c>
      <c r="R633" t="str">
        <f>PROPER(TRIM([1]raw_orders!U633))</f>
        <v>Completed</v>
      </c>
      <c r="S633" s="5">
        <f>[1]raw_orders!S633</f>
        <v>8886.32</v>
      </c>
      <c r="T633" s="5">
        <f t="shared" si="72"/>
        <v>88.863199999999992</v>
      </c>
      <c r="U633" s="5">
        <f t="shared" si="73"/>
        <v>-3066411.6218879996</v>
      </c>
      <c r="V633" s="5">
        <f t="shared" si="74"/>
        <v>-3066411.7218879997</v>
      </c>
      <c r="W633" s="5">
        <f t="shared" si="75"/>
        <v>1.0000000326114078</v>
      </c>
      <c r="X633" s="5">
        <f t="shared" si="76"/>
        <v>5</v>
      </c>
      <c r="Y633" s="5">
        <f t="shared" si="77"/>
        <v>4</v>
      </c>
      <c r="Z633" s="5">
        <f t="shared" si="78"/>
        <v>2024</v>
      </c>
      <c r="AA633" t="str">
        <f t="shared" si="79"/>
        <v>Clean</v>
      </c>
    </row>
    <row r="634" spans="1:27" x14ac:dyDescent="0.3">
      <c r="A634" t="str">
        <f>[1]raw_orders!A634</f>
        <v>ORD-2025-10633</v>
      </c>
      <c r="B634" s="4">
        <f>IFERROR(DATEVALUE([1]raw_orders!B634), "Invalid Date")</f>
        <v>45762</v>
      </c>
      <c r="C634" s="4">
        <f>IFERROR(DATEVALUE([1]raw_orders!C634), "Invalid Date")</f>
        <v>45763</v>
      </c>
      <c r="D634" t="str">
        <f>[1]raw_orders!D634</f>
        <v>CUST-4593</v>
      </c>
      <c r="E634" t="str">
        <f>PROPER(TRIM([1]raw_orders!E634))</f>
        <v>Sneha Kapoor</v>
      </c>
      <c r="F634" t="str">
        <f>PROPER(TRIM([1]raw_orders!F634))</f>
        <v>Small Business</v>
      </c>
      <c r="G634" t="str">
        <f>IF(TRIM([1]raw_orders!G634)="","Unknown",PROPER(TRIM([1]raw_orders!G634)))</f>
        <v>South</v>
      </c>
      <c r="H634" t="str">
        <f>PROPER(TRIM([1]raw_orders!H634))</f>
        <v>Karnataka</v>
      </c>
      <c r="I634" t="str">
        <f>PROPER(TRIM([1]raw_orders!I634))</f>
        <v>Bengaluru</v>
      </c>
      <c r="J634" t="str">
        <f>PROPER(TRIM([1]raw_orders!J634))</f>
        <v>Furniture</v>
      </c>
      <c r="K634" t="str">
        <f>PROPER(TRIM([1]raw_orders!K634))</f>
        <v>Furnishings</v>
      </c>
      <c r="L634" t="str">
        <f>[1]raw_orders!L634</f>
        <v>Smart Furnishings 721</v>
      </c>
      <c r="M634" t="str">
        <f>IF(TRIM([1]raw_orders!M634)="","Unknown",PROPER(TRIM([1]raw_orders!M634)))</f>
        <v>First Class</v>
      </c>
      <c r="N634" s="5">
        <f>[1]raw_orders!N634</f>
        <v>5</v>
      </c>
      <c r="O634" s="5">
        <f>[1]raw_orders!O634</f>
        <v>2850.53</v>
      </c>
      <c r="P634" s="5">
        <f>[1]raw_orders!P634</f>
        <v>0</v>
      </c>
      <c r="Q634" t="str">
        <f>PROPER(TRIM([1]raw_orders!T634))</f>
        <v>Paid</v>
      </c>
      <c r="R634" t="str">
        <f>PROPER(TRIM([1]raw_orders!U634))</f>
        <v>Completed</v>
      </c>
      <c r="S634" s="5">
        <f>[1]raw_orders!S634</f>
        <v>2694.34</v>
      </c>
      <c r="T634" s="5">
        <f t="shared" si="72"/>
        <v>26.9434</v>
      </c>
      <c r="U634" s="5">
        <f t="shared" si="73"/>
        <v>-369762.20001000003</v>
      </c>
      <c r="V634" s="5">
        <f t="shared" si="74"/>
        <v>-369762.20001000003</v>
      </c>
      <c r="W634" s="5">
        <f t="shared" si="75"/>
        <v>1</v>
      </c>
      <c r="X634" s="5">
        <f t="shared" si="76"/>
        <v>1</v>
      </c>
      <c r="Y634" s="5">
        <f t="shared" si="77"/>
        <v>4</v>
      </c>
      <c r="Z634" s="5">
        <f t="shared" si="78"/>
        <v>2025</v>
      </c>
      <c r="AA634" t="str">
        <f t="shared" si="79"/>
        <v>Clean</v>
      </c>
    </row>
    <row r="635" spans="1:27" x14ac:dyDescent="0.3">
      <c r="A635" t="str">
        <f>[1]raw_orders!A635</f>
        <v>ORD-2025-10634</v>
      </c>
      <c r="B635" s="4" t="str">
        <f>IFERROR(DATEVALUE([1]raw_orders!B635), "Invalid Date")</f>
        <v>Invalid Date</v>
      </c>
      <c r="C635" s="4">
        <f>IFERROR(DATEVALUE([1]raw_orders!C635), "Invalid Date")</f>
        <v>45767</v>
      </c>
      <c r="D635" t="str">
        <f>[1]raw_orders!D635</f>
        <v>CUST-5043</v>
      </c>
      <c r="E635" t="str">
        <f>PROPER(TRIM([1]raw_orders!E635))</f>
        <v>Aarav Sharma</v>
      </c>
      <c r="F635" t="str">
        <f>PROPER(TRIM([1]raw_orders!F635))</f>
        <v>Small Business</v>
      </c>
      <c r="G635" t="str">
        <f>IF(TRIM([1]raw_orders!G635)="","Unknown",PROPER(TRIM([1]raw_orders!G635)))</f>
        <v>South</v>
      </c>
      <c r="H635" t="str">
        <f>PROPER(TRIM([1]raw_orders!H635))</f>
        <v>Tamil Nadu</v>
      </c>
      <c r="I635" t="str">
        <f>PROPER(TRIM([1]raw_orders!I635))</f>
        <v>Chennai</v>
      </c>
      <c r="J635" t="str">
        <f>PROPER(TRIM([1]raw_orders!J635))</f>
        <v>Technology</v>
      </c>
      <c r="K635" t="str">
        <f>PROPER(TRIM([1]raw_orders!K635))</f>
        <v>Accessories</v>
      </c>
      <c r="L635" t="str">
        <f>[1]raw_orders!L635</f>
        <v>Basic Accessories 729</v>
      </c>
      <c r="M635" t="str">
        <f>IF(TRIM([1]raw_orders!M635)="","Unknown",PROPER(TRIM([1]raw_orders!M635)))</f>
        <v>Second Class</v>
      </c>
      <c r="N635" s="5">
        <f>[1]raw_orders!N635</f>
        <v>1</v>
      </c>
      <c r="O635" s="5">
        <f>[1]raw_orders!O635</f>
        <v>1626.08</v>
      </c>
      <c r="P635" s="5">
        <f>[1]raw_orders!P635</f>
        <v>0.15</v>
      </c>
      <c r="Q635" t="str">
        <f>PROPER(TRIM([1]raw_orders!T635))</f>
        <v>Paid</v>
      </c>
      <c r="R635" t="str">
        <f>PROPER(TRIM([1]raw_orders!U635))</f>
        <v>Completed</v>
      </c>
      <c r="S635" s="5">
        <f>[1]raw_orders!S635</f>
        <v>572.14</v>
      </c>
      <c r="T635" s="5">
        <f t="shared" si="72"/>
        <v>5.7214</v>
      </c>
      <c r="U635" s="5">
        <f t="shared" si="73"/>
        <v>-7677.3741119999995</v>
      </c>
      <c r="V635" s="5">
        <f t="shared" si="74"/>
        <v>-7677.5241119999991</v>
      </c>
      <c r="W635" s="5">
        <f t="shared" si="75"/>
        <v>1.0000195379302625</v>
      </c>
      <c r="X635" s="5" t="str">
        <f t="shared" si="76"/>
        <v>Invalid Date</v>
      </c>
      <c r="Y635" s="5" t="e">
        <f t="shared" si="77"/>
        <v>#VALUE!</v>
      </c>
      <c r="Z635" s="5" t="e">
        <f t="shared" si="78"/>
        <v>#VALUE!</v>
      </c>
      <c r="AA635" t="str">
        <f t="shared" si="79"/>
        <v>Clean</v>
      </c>
    </row>
    <row r="636" spans="1:27" x14ac:dyDescent="0.3">
      <c r="A636" t="str">
        <f>[1]raw_orders!A636</f>
        <v>ORD-2025-10635</v>
      </c>
      <c r="B636" s="4">
        <f>IFERROR(DATEVALUE([1]raw_orders!B636), "Invalid Date")</f>
        <v>45962</v>
      </c>
      <c r="C636" s="4">
        <f>IFERROR(DATEVALUE([1]raw_orders!C636), "Invalid Date")</f>
        <v>45669</v>
      </c>
      <c r="D636" t="str">
        <f>[1]raw_orders!D636</f>
        <v>CUST-4722</v>
      </c>
      <c r="E636" t="str">
        <f>PROPER(TRIM([1]raw_orders!E636))</f>
        <v>Aditi Sen</v>
      </c>
      <c r="F636" t="str">
        <f>PROPER(TRIM([1]raw_orders!F636))</f>
        <v>Consumer</v>
      </c>
      <c r="G636" t="str">
        <f>IF(TRIM([1]raw_orders!G636)="","Unknown",PROPER(TRIM([1]raw_orders!G636)))</f>
        <v>South</v>
      </c>
      <c r="H636" t="str">
        <f>PROPER(TRIM([1]raw_orders!H636))</f>
        <v>Telangana</v>
      </c>
      <c r="I636" t="str">
        <f>PROPER(TRIM([1]raw_orders!I636))</f>
        <v>Hyderabad</v>
      </c>
      <c r="J636" t="str">
        <f>PROPER(TRIM([1]raw_orders!J636))</f>
        <v>Furniture</v>
      </c>
      <c r="K636" t="str">
        <f>PROPER(TRIM([1]raw_orders!K636))</f>
        <v>Chairs</v>
      </c>
      <c r="L636" t="str">
        <f>[1]raw_orders!L636</f>
        <v>Classic Chairs 220</v>
      </c>
      <c r="M636" t="str">
        <f>IF(TRIM([1]raw_orders!M636)="","Unknown",PROPER(TRIM([1]raw_orders!M636)))</f>
        <v>Second Class</v>
      </c>
      <c r="N636" s="5">
        <f>[1]raw_orders!N636</f>
        <v>4</v>
      </c>
      <c r="O636" s="5">
        <f>[1]raw_orders!O636</f>
        <v>2427.15</v>
      </c>
      <c r="P636" s="5">
        <f>[1]raw_orders!P636</f>
        <v>0.05</v>
      </c>
      <c r="Q636" t="str">
        <f>PROPER(TRIM([1]raw_orders!T636))</f>
        <v>Paid</v>
      </c>
      <c r="R636" t="str">
        <f>PROPER(TRIM([1]raw_orders!U636))</f>
        <v>Completed</v>
      </c>
      <c r="S636" s="5">
        <f>[1]raw_orders!S636</f>
        <v>4119.47</v>
      </c>
      <c r="T636" s="5">
        <f t="shared" si="72"/>
        <v>41.194700000000005</v>
      </c>
      <c r="U636" s="5">
        <f t="shared" si="73"/>
        <v>-390234.26442000008</v>
      </c>
      <c r="V636" s="5">
        <f t="shared" si="74"/>
        <v>-390234.31442000007</v>
      </c>
      <c r="W636" s="5">
        <f t="shared" si="75"/>
        <v>1.0000001281281643</v>
      </c>
      <c r="X636" s="5">
        <f t="shared" si="76"/>
        <v>-293</v>
      </c>
      <c r="Y636" s="5">
        <f t="shared" si="77"/>
        <v>11</v>
      </c>
      <c r="Z636" s="5">
        <f t="shared" si="78"/>
        <v>2025</v>
      </c>
      <c r="AA636" t="str">
        <f t="shared" si="79"/>
        <v>Invalid</v>
      </c>
    </row>
    <row r="637" spans="1:27" x14ac:dyDescent="0.3">
      <c r="A637" t="str">
        <f>[1]raw_orders!A637</f>
        <v>ORD-2024-10636</v>
      </c>
      <c r="B637" s="4">
        <f>IFERROR(DATEVALUE([1]raw_orders!B637), "Invalid Date")</f>
        <v>45432</v>
      </c>
      <c r="C637" s="4">
        <f>IFERROR(DATEVALUE([1]raw_orders!C637), "Invalid Date")</f>
        <v>45437</v>
      </c>
      <c r="D637" t="str">
        <f>[1]raw_orders!D637</f>
        <v>CUST-7931</v>
      </c>
      <c r="E637" t="str">
        <f>PROPER(TRIM([1]raw_orders!E637))</f>
        <v>Mira Das</v>
      </c>
      <c r="F637" t="str">
        <f>PROPER(TRIM([1]raw_orders!F637))</f>
        <v>Corporate</v>
      </c>
      <c r="G637" t="str">
        <f>IF(TRIM([1]raw_orders!G637)="","Unknown",PROPER(TRIM([1]raw_orders!G637)))</f>
        <v>South</v>
      </c>
      <c r="H637" t="str">
        <f>PROPER(TRIM([1]raw_orders!H637))</f>
        <v>Andhra Pradesh</v>
      </c>
      <c r="I637" t="str">
        <f>PROPER(TRIM([1]raw_orders!I637))</f>
        <v>Vijayawada</v>
      </c>
      <c r="J637" t="str">
        <f>PROPER(TRIM([1]raw_orders!J637))</f>
        <v>Furniture</v>
      </c>
      <c r="K637" t="str">
        <f>PROPER(TRIM([1]raw_orders!K637))</f>
        <v>Chairs</v>
      </c>
      <c r="L637" t="str">
        <f>[1]raw_orders!L637</f>
        <v>Max Chairs 305</v>
      </c>
      <c r="M637" t="str">
        <f>IF(TRIM([1]raw_orders!M637)="","Unknown",PROPER(TRIM([1]raw_orders!M637)))</f>
        <v>Same Day</v>
      </c>
      <c r="N637" s="5">
        <f>[1]raw_orders!N637</f>
        <v>7</v>
      </c>
      <c r="O637" s="5">
        <f>[1]raw_orders!O637</f>
        <v>3122.85</v>
      </c>
      <c r="P637" s="5">
        <f>[1]raw_orders!P637</f>
        <v>0.25</v>
      </c>
      <c r="Q637" t="str">
        <f>PROPER(TRIM([1]raw_orders!T637))</f>
        <v>Paid</v>
      </c>
      <c r="R637" t="str">
        <f>PROPER(TRIM([1]raw_orders!U637))</f>
        <v>Completed</v>
      </c>
      <c r="S637" s="5">
        <f>[1]raw_orders!S637</f>
        <v>5990.79</v>
      </c>
      <c r="T637" s="5">
        <f t="shared" si="72"/>
        <v>59.907899999999998</v>
      </c>
      <c r="U637" s="5">
        <f t="shared" si="73"/>
        <v>-1287723.7486050001</v>
      </c>
      <c r="V637" s="5">
        <f t="shared" si="74"/>
        <v>-1287723.9986050001</v>
      </c>
      <c r="W637" s="5">
        <f t="shared" si="75"/>
        <v>1.0000001941410184</v>
      </c>
      <c r="X637" s="5">
        <f t="shared" si="76"/>
        <v>5</v>
      </c>
      <c r="Y637" s="5">
        <f t="shared" si="77"/>
        <v>5</v>
      </c>
      <c r="Z637" s="5">
        <f t="shared" si="78"/>
        <v>2024</v>
      </c>
      <c r="AA637" t="str">
        <f t="shared" si="79"/>
        <v>Clean</v>
      </c>
    </row>
    <row r="638" spans="1:27" x14ac:dyDescent="0.3">
      <c r="A638" t="str">
        <f>[1]raw_orders!A638</f>
        <v>ORD-2024-10637</v>
      </c>
      <c r="B638" s="4">
        <f>IFERROR(DATEVALUE([1]raw_orders!B638), "Invalid Date")</f>
        <v>45567</v>
      </c>
      <c r="C638" s="4">
        <f>IFERROR(DATEVALUE([1]raw_orders!C638), "Invalid Date")</f>
        <v>45574</v>
      </c>
      <c r="D638" t="str">
        <f>[1]raw_orders!D638</f>
        <v>CUST-7221</v>
      </c>
      <c r="E638" t="str">
        <f>PROPER(TRIM([1]raw_orders!E638))</f>
        <v>Ananya Rao</v>
      </c>
      <c r="F638" t="str">
        <f>PROPER(TRIM([1]raw_orders!F638))</f>
        <v>Consumer</v>
      </c>
      <c r="G638" t="str">
        <f>IF(TRIM([1]raw_orders!G638)="","Unknown",PROPER(TRIM([1]raw_orders!G638)))</f>
        <v>South</v>
      </c>
      <c r="H638" t="str">
        <f>PROPER(TRIM([1]raw_orders!H638))</f>
        <v>Tamil Nadu</v>
      </c>
      <c r="I638" t="str">
        <f>PROPER(TRIM([1]raw_orders!I638))</f>
        <v>Chennai</v>
      </c>
      <c r="J638" t="str">
        <f>PROPER(TRIM([1]raw_orders!J638))</f>
        <v>Office Supplies</v>
      </c>
      <c r="K638" t="str">
        <f>PROPER(TRIM([1]raw_orders!K638))</f>
        <v>Paper</v>
      </c>
      <c r="L638" t="str">
        <f>[1]raw_orders!L638</f>
        <v>Smart Paper 872</v>
      </c>
      <c r="M638" t="str">
        <f>IF(TRIM([1]raw_orders!M638)="","Unknown",PROPER(TRIM([1]raw_orders!M638)))</f>
        <v>Standard Class</v>
      </c>
      <c r="N638" s="5">
        <f>[1]raw_orders!N638</f>
        <v>8</v>
      </c>
      <c r="O638" s="5">
        <f>[1]raw_orders!O638</f>
        <v>1910.31</v>
      </c>
      <c r="P638" s="5">
        <f>[1]raw_orders!P638</f>
        <v>0.15</v>
      </c>
      <c r="Q638" t="str">
        <f>PROPER(TRIM([1]raw_orders!T638))</f>
        <v>Paid</v>
      </c>
      <c r="R638" t="str">
        <f>PROPER(TRIM([1]raw_orders!U638))</f>
        <v>Completed</v>
      </c>
      <c r="S638" s="5">
        <f>[1]raw_orders!S638</f>
        <v>2789.31</v>
      </c>
      <c r="T638" s="5">
        <f t="shared" si="72"/>
        <v>27.8931</v>
      </c>
      <c r="U638" s="5">
        <f t="shared" si="73"/>
        <v>-410993.262888</v>
      </c>
      <c r="V638" s="5">
        <f t="shared" si="74"/>
        <v>-410993.41288800002</v>
      </c>
      <c r="W638" s="5">
        <f t="shared" si="75"/>
        <v>1.0000003649694862</v>
      </c>
      <c r="X638" s="5">
        <f t="shared" si="76"/>
        <v>7</v>
      </c>
      <c r="Y638" s="5">
        <f t="shared" si="77"/>
        <v>10</v>
      </c>
      <c r="Z638" s="5">
        <f t="shared" si="78"/>
        <v>2024</v>
      </c>
      <c r="AA638" t="str">
        <f t="shared" si="79"/>
        <v>Clean</v>
      </c>
    </row>
    <row r="639" spans="1:27" x14ac:dyDescent="0.3">
      <c r="A639" t="str">
        <f>[1]raw_orders!A639</f>
        <v>ORD-2024-10638</v>
      </c>
      <c r="B639" s="4">
        <f>IFERROR(DATEVALUE([1]raw_orders!B639), "Invalid Date")</f>
        <v>45438</v>
      </c>
      <c r="C639" s="4">
        <f>IFERROR(DATEVALUE([1]raw_orders!C639), "Invalid Date")</f>
        <v>45438</v>
      </c>
      <c r="D639" t="str">
        <f>[1]raw_orders!D639</f>
        <v>CUST-2594</v>
      </c>
      <c r="E639" t="str">
        <f>PROPER(TRIM([1]raw_orders!E639))</f>
        <v>Rahul Verma</v>
      </c>
      <c r="F639" t="str">
        <f>PROPER(TRIM([1]raw_orders!F639))</f>
        <v>Small Business</v>
      </c>
      <c r="G639" t="str">
        <f>IF(TRIM([1]raw_orders!G639)="","Unknown",PROPER(TRIM([1]raw_orders!G639)))</f>
        <v>West</v>
      </c>
      <c r="H639" t="str">
        <f>PROPER(TRIM([1]raw_orders!H639))</f>
        <v>Goa</v>
      </c>
      <c r="I639" t="str">
        <f>PROPER(TRIM([1]raw_orders!I639))</f>
        <v>Panaji</v>
      </c>
      <c r="J639" t="str">
        <f>PROPER(TRIM([1]raw_orders!J639))</f>
        <v>Technology</v>
      </c>
      <c r="K639" t="str">
        <f>PROPER(TRIM([1]raw_orders!K639))</f>
        <v>Copiers</v>
      </c>
      <c r="L639" t="str">
        <f>[1]raw_orders!L639</f>
        <v>Max Copiers 994</v>
      </c>
      <c r="M639" t="str">
        <f>IF(TRIM([1]raw_orders!M639)="","Unknown",PROPER(TRIM([1]raw_orders!M639)))</f>
        <v>First Class</v>
      </c>
      <c r="N639" s="5">
        <f>[1]raw_orders!N639</f>
        <v>2</v>
      </c>
      <c r="O639" s="5">
        <f>[1]raw_orders!O639</f>
        <v>3192.47</v>
      </c>
      <c r="P639" s="5">
        <f>[1]raw_orders!P639</f>
        <v>0.2</v>
      </c>
      <c r="Q639" t="str">
        <f>PROPER(TRIM([1]raw_orders!T639))</f>
        <v>Paid</v>
      </c>
      <c r="R639" t="str">
        <f>PROPER(TRIM([1]raw_orders!U639))</f>
        <v>Completed</v>
      </c>
      <c r="S639" s="5">
        <f>[1]raw_orders!S639</f>
        <v>1974.87</v>
      </c>
      <c r="T639" s="5">
        <f t="shared" si="72"/>
        <v>19.748699999999999</v>
      </c>
      <c r="U639" s="5">
        <f t="shared" si="73"/>
        <v>-119709.32457799999</v>
      </c>
      <c r="V639" s="5">
        <f t="shared" si="74"/>
        <v>-119709.52457799998</v>
      </c>
      <c r="W639" s="5">
        <f t="shared" si="75"/>
        <v>1.0000016707136281</v>
      </c>
      <c r="X639" s="5">
        <f t="shared" si="76"/>
        <v>0</v>
      </c>
      <c r="Y639" s="5">
        <f t="shared" si="77"/>
        <v>5</v>
      </c>
      <c r="Z639" s="5">
        <f t="shared" si="78"/>
        <v>2024</v>
      </c>
      <c r="AA639" t="str">
        <f t="shared" si="79"/>
        <v>Clean</v>
      </c>
    </row>
    <row r="640" spans="1:27" x14ac:dyDescent="0.3">
      <c r="A640" t="str">
        <f>[1]raw_orders!A640</f>
        <v>ORD-2024-10639</v>
      </c>
      <c r="B640" s="4">
        <f>IFERROR(DATEVALUE([1]raw_orders!B640), "Invalid Date")</f>
        <v>45317</v>
      </c>
      <c r="C640" s="4">
        <f>IFERROR(DATEVALUE([1]raw_orders!C640), "Invalid Date")</f>
        <v>45322</v>
      </c>
      <c r="D640" t="str">
        <f>[1]raw_orders!D640</f>
        <v>CUST-2111</v>
      </c>
      <c r="E640" t="str">
        <f>PROPER(TRIM([1]raw_orders!E640))</f>
        <v>Karan Malhotra</v>
      </c>
      <c r="F640" t="str">
        <f>PROPER(TRIM([1]raw_orders!F640))</f>
        <v>Corporate</v>
      </c>
      <c r="G640" t="str">
        <f>IF(TRIM([1]raw_orders!G640)="","Unknown",PROPER(TRIM([1]raw_orders!G640)))</f>
        <v>South</v>
      </c>
      <c r="H640" t="str">
        <f>PROPER(TRIM([1]raw_orders!H640))</f>
        <v>Kerala</v>
      </c>
      <c r="I640" t="str">
        <f>PROPER(TRIM([1]raw_orders!I640))</f>
        <v>Kochi</v>
      </c>
      <c r="J640" t="str">
        <f>PROPER(TRIM([1]raw_orders!J640))</f>
        <v>Office Supplies</v>
      </c>
      <c r="K640" t="str">
        <f>PROPER(TRIM([1]raw_orders!K640))</f>
        <v>Storage</v>
      </c>
      <c r="L640" t="str">
        <f>[1]raw_orders!L640</f>
        <v>Pro Storage 744</v>
      </c>
      <c r="M640" t="str">
        <f>IF(TRIM([1]raw_orders!M640)="","Unknown",PROPER(TRIM([1]raw_orders!M640)))</f>
        <v>Second Class</v>
      </c>
      <c r="N640" s="5">
        <f>[1]raw_orders!N640</f>
        <v>3</v>
      </c>
      <c r="O640" s="5">
        <f>[1]raw_orders!O640</f>
        <v>3224.32</v>
      </c>
      <c r="P640" s="5">
        <f>[1]raw_orders!P640</f>
        <v>0.2</v>
      </c>
      <c r="Q640" t="str">
        <f>PROPER(TRIM([1]raw_orders!T640))</f>
        <v>Failed</v>
      </c>
      <c r="R640" t="str">
        <f>PROPER(TRIM([1]raw_orders!U640))</f>
        <v>Returned</v>
      </c>
      <c r="S640" s="5">
        <f>[1]raw_orders!S640</f>
        <v>3111.52</v>
      </c>
      <c r="T640" s="5">
        <f t="shared" si="72"/>
        <v>31.115200000000002</v>
      </c>
      <c r="U640" s="5">
        <f t="shared" si="73"/>
        <v>-291303.12499200006</v>
      </c>
      <c r="V640" s="5">
        <f t="shared" si="74"/>
        <v>-291303.32499200007</v>
      </c>
      <c r="W640" s="5">
        <f t="shared" si="75"/>
        <v>1.0000006865700464</v>
      </c>
      <c r="X640" s="5">
        <f t="shared" si="76"/>
        <v>5</v>
      </c>
      <c r="Y640" s="5">
        <f t="shared" si="77"/>
        <v>1</v>
      </c>
      <c r="Z640" s="5">
        <f t="shared" si="78"/>
        <v>2024</v>
      </c>
      <c r="AA640" t="str">
        <f t="shared" si="79"/>
        <v>Clean</v>
      </c>
    </row>
    <row r="641" spans="1:27" x14ac:dyDescent="0.3">
      <c r="A641" t="str">
        <f>[1]raw_orders!A641</f>
        <v>ORD-2024-10640</v>
      </c>
      <c r="B641" s="4" t="str">
        <f>IFERROR(DATEVALUE([1]raw_orders!B641), "Invalid Date")</f>
        <v>Invalid Date</v>
      </c>
      <c r="C641" s="4">
        <f>IFERROR(DATEVALUE([1]raw_orders!C641), "Invalid Date")</f>
        <v>45657</v>
      </c>
      <c r="D641" t="str">
        <f>[1]raw_orders!D641</f>
        <v>CUST-6829</v>
      </c>
      <c r="E641" t="str">
        <f>PROPER(TRIM([1]raw_orders!E641))</f>
        <v>Isha Nair</v>
      </c>
      <c r="F641" t="str">
        <f>PROPER(TRIM([1]raw_orders!F641))</f>
        <v>Small Business</v>
      </c>
      <c r="G641" t="str">
        <f>IF(TRIM([1]raw_orders!G641)="","Unknown",PROPER(TRIM([1]raw_orders!G641)))</f>
        <v>East</v>
      </c>
      <c r="H641" t="str">
        <f>PROPER(TRIM([1]raw_orders!H641))</f>
        <v>Odisha</v>
      </c>
      <c r="I641" t="str">
        <f>PROPER(TRIM([1]raw_orders!I641))</f>
        <v>Bhubaneswar</v>
      </c>
      <c r="J641" t="str">
        <f>PROPER(TRIM([1]raw_orders!J641))</f>
        <v>Furniture</v>
      </c>
      <c r="K641" t="str">
        <f>PROPER(TRIM([1]raw_orders!K641))</f>
        <v>Chairs</v>
      </c>
      <c r="L641" t="str">
        <f>[1]raw_orders!L641</f>
        <v>Elite Chairs 744</v>
      </c>
      <c r="M641" t="str">
        <f>IF(TRIM([1]raw_orders!M641)="","Unknown",PROPER(TRIM([1]raw_orders!M641)))</f>
        <v>Second Class</v>
      </c>
      <c r="N641" s="5">
        <f>[1]raw_orders!N641</f>
        <v>1</v>
      </c>
      <c r="O641" s="5">
        <f>[1]raw_orders!O641</f>
        <v>1594.7</v>
      </c>
      <c r="P641" s="5">
        <f>[1]raw_orders!P641</f>
        <v>0.05</v>
      </c>
      <c r="Q641" t="str">
        <f>PROPER(TRIM([1]raw_orders!T641))</f>
        <v>Paid</v>
      </c>
      <c r="R641" t="str">
        <f>PROPER(TRIM([1]raw_orders!U641))</f>
        <v>Completed</v>
      </c>
      <c r="S641" s="5">
        <f>[1]raw_orders!S641</f>
        <v>468.79</v>
      </c>
      <c r="T641" s="5">
        <f t="shared" si="72"/>
        <v>4.6879</v>
      </c>
      <c r="U641" s="5">
        <f t="shared" si="73"/>
        <v>-5881.0941300000004</v>
      </c>
      <c r="V641" s="5">
        <f t="shared" si="74"/>
        <v>-5881.1441300000006</v>
      </c>
      <c r="W641" s="5">
        <f t="shared" si="75"/>
        <v>1.0000085018193716</v>
      </c>
      <c r="X641" s="5" t="str">
        <f t="shared" si="76"/>
        <v>Invalid Date</v>
      </c>
      <c r="Y641" s="5" t="e">
        <f t="shared" si="77"/>
        <v>#VALUE!</v>
      </c>
      <c r="Z641" s="5" t="e">
        <f t="shared" si="78"/>
        <v>#VALUE!</v>
      </c>
      <c r="AA641" t="str">
        <f t="shared" si="79"/>
        <v>Clean</v>
      </c>
    </row>
    <row r="642" spans="1:27" x14ac:dyDescent="0.3">
      <c r="A642" t="str">
        <f>[1]raw_orders!A642</f>
        <v>ORD-2025-10641</v>
      </c>
      <c r="B642" s="4">
        <f>IFERROR(DATEVALUE([1]raw_orders!B642), "Invalid Date")</f>
        <v>45671</v>
      </c>
      <c r="C642" s="4">
        <f>IFERROR(DATEVALUE([1]raw_orders!C642), "Invalid Date")</f>
        <v>45674</v>
      </c>
      <c r="D642" t="str">
        <f>[1]raw_orders!D642</f>
        <v>CUST-5061</v>
      </c>
      <c r="E642" t="str">
        <f>PROPER(TRIM([1]raw_orders!E642))</f>
        <v>Vikram Iyer</v>
      </c>
      <c r="F642" t="str">
        <f>PROPER(TRIM([1]raw_orders!F642))</f>
        <v>Consumer</v>
      </c>
      <c r="G642" t="str">
        <f>IF(TRIM([1]raw_orders!G642)="","Unknown",PROPER(TRIM([1]raw_orders!G642)))</f>
        <v>West</v>
      </c>
      <c r="H642" t="str">
        <f>PROPER(TRIM([1]raw_orders!H642))</f>
        <v>Goa</v>
      </c>
      <c r="I642" t="str">
        <f>PROPER(TRIM([1]raw_orders!I642))</f>
        <v>Panaji</v>
      </c>
      <c r="J642" t="str">
        <f>PROPER(TRIM([1]raw_orders!J642))</f>
        <v>Office Supplies</v>
      </c>
      <c r="K642" t="str">
        <f>PROPER(TRIM([1]raw_orders!K642))</f>
        <v>Storage</v>
      </c>
      <c r="L642" t="str">
        <f>[1]raw_orders!L642</f>
        <v>Basic Storage 973</v>
      </c>
      <c r="M642" t="str">
        <f>IF(TRIM([1]raw_orders!M642)="","Unknown",PROPER(TRIM([1]raw_orders!M642)))</f>
        <v>First Class</v>
      </c>
      <c r="N642" s="5">
        <f>[1]raw_orders!N642</f>
        <v>1</v>
      </c>
      <c r="O642" s="5">
        <f>[1]raw_orders!O642</f>
        <v>1584.12</v>
      </c>
      <c r="P642" s="5">
        <f>[1]raw_orders!P642</f>
        <v>0.2</v>
      </c>
      <c r="Q642" t="str">
        <f>PROPER(TRIM([1]raw_orders!T642))</f>
        <v>Paid</v>
      </c>
      <c r="R642" t="str">
        <f>PROPER(TRIM([1]raw_orders!U642))</f>
        <v>Completed</v>
      </c>
      <c r="S642" s="5">
        <f>[1]raw_orders!S642</f>
        <v>343.77</v>
      </c>
      <c r="T642" s="5">
        <f t="shared" si="72"/>
        <v>3.4377</v>
      </c>
      <c r="U642" s="5">
        <f t="shared" si="73"/>
        <v>-3861.6093239999996</v>
      </c>
      <c r="V642" s="5">
        <f t="shared" si="74"/>
        <v>-3861.8093239999994</v>
      </c>
      <c r="W642" s="5">
        <f t="shared" si="75"/>
        <v>1.000051791878261</v>
      </c>
      <c r="X642" s="5">
        <f t="shared" si="76"/>
        <v>3</v>
      </c>
      <c r="Y642" s="5">
        <f t="shared" si="77"/>
        <v>1</v>
      </c>
      <c r="Z642" s="5">
        <f t="shared" si="78"/>
        <v>2025</v>
      </c>
      <c r="AA642" t="str">
        <f t="shared" si="79"/>
        <v>Clean</v>
      </c>
    </row>
    <row r="643" spans="1:27" x14ac:dyDescent="0.3">
      <c r="A643" t="str">
        <f>[1]raw_orders!A643</f>
        <v>ORD-2025-10642</v>
      </c>
      <c r="B643" s="4">
        <f>IFERROR(DATEVALUE([1]raw_orders!B643), "Invalid Date")</f>
        <v>45756</v>
      </c>
      <c r="C643" s="4">
        <f>IFERROR(DATEVALUE([1]raw_orders!C643), "Invalid Date")</f>
        <v>45761</v>
      </c>
      <c r="D643" t="str">
        <f>[1]raw_orders!D643</f>
        <v>CUST-7915</v>
      </c>
      <c r="E643" t="str">
        <f>PROPER(TRIM([1]raw_orders!E643))</f>
        <v>Karan Malhotra</v>
      </c>
      <c r="F643" t="str">
        <f>PROPER(TRIM([1]raw_orders!F643))</f>
        <v>Consumer</v>
      </c>
      <c r="G643" t="str">
        <f>IF(TRIM([1]raw_orders!G643)="","Unknown",PROPER(TRIM([1]raw_orders!G643)))</f>
        <v>North</v>
      </c>
      <c r="H643" t="str">
        <f>PROPER(TRIM([1]raw_orders!H643))</f>
        <v>Delhi</v>
      </c>
      <c r="I643" t="str">
        <f>PROPER(TRIM([1]raw_orders!I643))</f>
        <v>New Delhi</v>
      </c>
      <c r="J643" t="str">
        <f>PROPER(TRIM([1]raw_orders!J643))</f>
        <v>Furniture</v>
      </c>
      <c r="K643" t="str">
        <f>PROPER(TRIM([1]raw_orders!K643))</f>
        <v>Furnishings</v>
      </c>
      <c r="L643" t="str">
        <f>[1]raw_orders!L643</f>
        <v>Smart Furnishings 783</v>
      </c>
      <c r="M643" t="str">
        <f>IF(TRIM([1]raw_orders!M643)="","Unknown",PROPER(TRIM([1]raw_orders!M643)))</f>
        <v>Same Day</v>
      </c>
      <c r="N643" s="5">
        <f>[1]raw_orders!N643</f>
        <v>2</v>
      </c>
      <c r="O643" s="5">
        <f>[1]raw_orders!O643</f>
        <v>3202.87</v>
      </c>
      <c r="P643" s="5">
        <f>[1]raw_orders!P643</f>
        <v>0</v>
      </c>
      <c r="Q643" t="str">
        <f>PROPER(TRIM([1]raw_orders!T643))</f>
        <v>Paid</v>
      </c>
      <c r="R643" t="str">
        <f>PROPER(TRIM([1]raw_orders!U643))</f>
        <v>Completed</v>
      </c>
      <c r="S643" s="5">
        <f>[1]raw_orders!S643</f>
        <v>2843.87</v>
      </c>
      <c r="T643" s="5">
        <f t="shared" ref="T643:T706" si="80">IF(AND(ISNUMBER(S643),S643&gt;=0,S643&lt;=1),S643,IF(S643="",0,IF(S643&lt;0,"INVALID - Negative",IF(S643&gt;1,S643/100,"INVALID"))))</f>
        <v>28.438699999999997</v>
      </c>
      <c r="U643" s="5">
        <f t="shared" ref="U643:U706" si="81">IF(AND(ISNUMBER(N643),ISNUMBER(O643),OR(ISNUMBER(T643),T643=0)),N643*O643*(1-IF(ISNUMBER(T643),T643,0)),"Calculation Error")</f>
        <v>-175765.17813799999</v>
      </c>
      <c r="V643" s="5">
        <f t="shared" ref="V643:V706" si="82">IF(AND(ISNUMBER(U643),ISNUMBER(P643)),U643-P643,"Calculation Error")</f>
        <v>-175765.17813799999</v>
      </c>
      <c r="W643" s="5">
        <f t="shared" ref="W643:W706" si="83">IF(AND(ISNUMBER(V643),ISNUMBER(U643),U643&lt;&gt;0),V643/U643,IF(U643=0,"N/A","Calculation Error"))</f>
        <v>1</v>
      </c>
      <c r="X643" s="5">
        <f t="shared" ref="X643:X706" si="84">IF(AND(ISNUMBER(B643),ISNUMBER(C643)),C643-B643,"Invalid Date")</f>
        <v>5</v>
      </c>
      <c r="Y643" s="5">
        <f t="shared" ref="Y643:Y706" si="85">MONTH(B643)</f>
        <v>4</v>
      </c>
      <c r="Z643" s="5">
        <f t="shared" ref="Z643:Z706" si="86">YEAR(B643)</f>
        <v>2025</v>
      </c>
      <c r="AA643" t="str">
        <f t="shared" ref="AA643:AA706" si="87">IF(OR(G643="Unknown",M643="Unknown",T643="INVALID - Negative",T643="INVALID",X643&lt;0,R643="Duplicate ID - Review Required"),IF(OR(T643="INVALID - Negative",T643="INVALID",X643&lt;0,R643="Duplicate ID - Review Required"),"Invalid","Warning"),"Clean")</f>
        <v>Clean</v>
      </c>
    </row>
    <row r="644" spans="1:27" x14ac:dyDescent="0.3">
      <c r="A644" t="str">
        <f>[1]raw_orders!A644</f>
        <v>ORD-2024-10643</v>
      </c>
      <c r="B644" s="4" t="str">
        <f>IFERROR(DATEVALUE([1]raw_orders!B644), "Invalid Date")</f>
        <v>Invalid Date</v>
      </c>
      <c r="C644" s="4" t="str">
        <f>IFERROR(DATEVALUE([1]raw_orders!C644), "Invalid Date")</f>
        <v>Invalid Date</v>
      </c>
      <c r="D644" t="str">
        <f>[1]raw_orders!D644</f>
        <v>CUST-1940</v>
      </c>
      <c r="E644" t="str">
        <f>PROPER(TRIM([1]raw_orders!E644))</f>
        <v>Isha Nair</v>
      </c>
      <c r="F644" t="str">
        <f>PROPER(TRIM([1]raw_orders!F644))</f>
        <v>Home Office</v>
      </c>
      <c r="G644" t="str">
        <f>IF(TRIM([1]raw_orders!G644)="","Unknown",PROPER(TRIM([1]raw_orders!G644)))</f>
        <v>East</v>
      </c>
      <c r="H644" t="str">
        <f>PROPER(TRIM([1]raw_orders!H644))</f>
        <v>Assam</v>
      </c>
      <c r="I644" t="str">
        <f>PROPER(TRIM([1]raw_orders!I644))</f>
        <v>Guwahati</v>
      </c>
      <c r="J644" t="str">
        <f>PROPER(TRIM([1]raw_orders!J644))</f>
        <v>Office Supplies</v>
      </c>
      <c r="K644" t="str">
        <f>PROPER(TRIM([1]raw_orders!K644))</f>
        <v>Binders</v>
      </c>
      <c r="L644" t="str">
        <f>[1]raw_orders!L644</f>
        <v>Prime Binders 287</v>
      </c>
      <c r="M644" t="str">
        <f>IF(TRIM([1]raw_orders!M644)="","Unknown",PROPER(TRIM([1]raw_orders!M644)))</f>
        <v>Second Class</v>
      </c>
      <c r="N644" s="5">
        <f>[1]raw_orders!N644</f>
        <v>9</v>
      </c>
      <c r="O644" s="5">
        <f>[1]raw_orders!O644</f>
        <v>1275.21</v>
      </c>
      <c r="P644" s="5">
        <f>[1]raw_orders!P644</f>
        <v>0.25</v>
      </c>
      <c r="Q644" t="str">
        <f>PROPER(TRIM([1]raw_orders!T644))</f>
        <v>Failed</v>
      </c>
      <c r="R644" t="str">
        <f>PROPER(TRIM([1]raw_orders!U644))</f>
        <v>Returned</v>
      </c>
      <c r="S644" s="5">
        <f>[1]raw_orders!S644</f>
        <v>3270.03</v>
      </c>
      <c r="T644" s="5">
        <f t="shared" si="80"/>
        <v>32.700299999999999</v>
      </c>
      <c r="U644" s="5">
        <f t="shared" si="81"/>
        <v>-363820.85606699996</v>
      </c>
      <c r="V644" s="5">
        <f t="shared" si="82"/>
        <v>-363821.10606699996</v>
      </c>
      <c r="W644" s="5">
        <f t="shared" si="83"/>
        <v>1.0000006871513709</v>
      </c>
      <c r="X644" s="5" t="str">
        <f t="shared" si="84"/>
        <v>Invalid Date</v>
      </c>
      <c r="Y644" s="5" t="e">
        <f t="shared" si="85"/>
        <v>#VALUE!</v>
      </c>
      <c r="Z644" s="5" t="e">
        <f t="shared" si="86"/>
        <v>#VALUE!</v>
      </c>
      <c r="AA644" t="str">
        <f t="shared" si="87"/>
        <v>Clean</v>
      </c>
    </row>
    <row r="645" spans="1:27" x14ac:dyDescent="0.3">
      <c r="A645" t="str">
        <f>[1]raw_orders!A645</f>
        <v>ORD-2024-10644</v>
      </c>
      <c r="B645" s="4">
        <f>IFERROR(DATEVALUE([1]raw_orders!B645), "Invalid Date")</f>
        <v>45327</v>
      </c>
      <c r="C645" s="4">
        <f>IFERROR(DATEVALUE([1]raw_orders!C645), "Invalid Date")</f>
        <v>45335</v>
      </c>
      <c r="D645" t="str">
        <f>[1]raw_orders!D645</f>
        <v>CUST-1986</v>
      </c>
      <c r="E645" t="str">
        <f>PROPER(TRIM([1]raw_orders!E645))</f>
        <v>Aarav Sharma</v>
      </c>
      <c r="F645" t="str">
        <f>PROPER(TRIM([1]raw_orders!F645))</f>
        <v>Home Office</v>
      </c>
      <c r="G645" t="str">
        <f>IF(TRIM([1]raw_orders!G645)="","Unknown",PROPER(TRIM([1]raw_orders!G645)))</f>
        <v>North</v>
      </c>
      <c r="H645" t="str">
        <f>PROPER(TRIM([1]raw_orders!H645))</f>
        <v>Uttar Pradesh</v>
      </c>
      <c r="I645" t="str">
        <f>PROPER(TRIM([1]raw_orders!I645))</f>
        <v>Noida</v>
      </c>
      <c r="J645" t="str">
        <f>PROPER(TRIM([1]raw_orders!J645))</f>
        <v>Office Supplies</v>
      </c>
      <c r="K645" t="str">
        <f>PROPER(TRIM([1]raw_orders!K645))</f>
        <v>Labels</v>
      </c>
      <c r="L645" t="str">
        <f>[1]raw_orders!L645</f>
        <v>Elite Labels 654</v>
      </c>
      <c r="M645" t="str">
        <f>IF(TRIM([1]raw_orders!M645)="","Unknown",PROPER(TRIM([1]raw_orders!M645)))</f>
        <v>Standard Class</v>
      </c>
      <c r="N645" s="5">
        <f>[1]raw_orders!N645</f>
        <v>8</v>
      </c>
      <c r="O645" s="5">
        <f>[1]raw_orders!O645</f>
        <v>3871.18</v>
      </c>
      <c r="P645" s="5">
        <f>[1]raw_orders!P645</f>
        <v>0.15</v>
      </c>
      <c r="Q645" t="str">
        <f>PROPER(TRIM([1]raw_orders!T645))</f>
        <v>Failed</v>
      </c>
      <c r="R645" t="str">
        <f>PROPER(TRIM([1]raw_orders!U645))</f>
        <v>Returned</v>
      </c>
      <c r="S645" s="5">
        <f>[1]raw_orders!S645</f>
        <v>10046.06</v>
      </c>
      <c r="T645" s="5">
        <f t="shared" si="80"/>
        <v>100.4606</v>
      </c>
      <c r="U645" s="5">
        <f t="shared" si="81"/>
        <v>-3080239.0840639998</v>
      </c>
      <c r="V645" s="5">
        <f t="shared" si="82"/>
        <v>-3080239.2340639997</v>
      </c>
      <c r="W645" s="5">
        <f t="shared" si="83"/>
        <v>1.0000000486975185</v>
      </c>
      <c r="X645" s="5">
        <f t="shared" si="84"/>
        <v>8</v>
      </c>
      <c r="Y645" s="5">
        <f t="shared" si="85"/>
        <v>2</v>
      </c>
      <c r="Z645" s="5">
        <f t="shared" si="86"/>
        <v>2024</v>
      </c>
      <c r="AA645" t="str">
        <f t="shared" si="87"/>
        <v>Clean</v>
      </c>
    </row>
    <row r="646" spans="1:27" x14ac:dyDescent="0.3">
      <c r="A646" t="str">
        <f>[1]raw_orders!A646</f>
        <v>ORD-2025-10645</v>
      </c>
      <c r="B646" s="4">
        <f>IFERROR(DATEVALUE([1]raw_orders!B646), "Invalid Date")</f>
        <v>45757</v>
      </c>
      <c r="C646" s="4" t="str">
        <f>IFERROR(DATEVALUE([1]raw_orders!C646), "Invalid Date")</f>
        <v>Invalid Date</v>
      </c>
      <c r="D646" t="str">
        <f>[1]raw_orders!D646</f>
        <v>CUST-5549</v>
      </c>
      <c r="E646" t="str">
        <f>PROPER(TRIM([1]raw_orders!E646))</f>
        <v>Vikram Iyer</v>
      </c>
      <c r="F646" t="str">
        <f>PROPER(TRIM([1]raw_orders!F646))</f>
        <v>Consumer</v>
      </c>
      <c r="G646" t="str">
        <f>IF(TRIM([1]raw_orders!G646)="","Unknown",PROPER(TRIM([1]raw_orders!G646)))</f>
        <v>East</v>
      </c>
      <c r="H646" t="str">
        <f>PROPER(TRIM([1]raw_orders!H646))</f>
        <v>West Bengal</v>
      </c>
      <c r="I646" t="str">
        <f>PROPER(TRIM([1]raw_orders!I646))</f>
        <v>Kolkata</v>
      </c>
      <c r="J646" t="str">
        <f>PROPER(TRIM([1]raw_orders!J646))</f>
        <v>Furniture</v>
      </c>
      <c r="K646" t="str">
        <f>PROPER(TRIM([1]raw_orders!K646))</f>
        <v>Chairs</v>
      </c>
      <c r="L646" t="str">
        <f>[1]raw_orders!L646</f>
        <v>Pro Chairs 812</v>
      </c>
      <c r="M646" t="str">
        <f>IF(TRIM([1]raw_orders!M646)="","Unknown",PROPER(TRIM([1]raw_orders!M646)))</f>
        <v>Standard Class</v>
      </c>
      <c r="N646" s="5">
        <f>[1]raw_orders!N646</f>
        <v>4</v>
      </c>
      <c r="O646" s="5">
        <f>[1]raw_orders!O646</f>
        <v>3750.02</v>
      </c>
      <c r="P646" s="5">
        <f>[1]raw_orders!P646</f>
        <v>0.05</v>
      </c>
      <c r="Q646" t="str">
        <f>PROPER(TRIM([1]raw_orders!T646))</f>
        <v>Paid</v>
      </c>
      <c r="R646" t="str">
        <f>PROPER(TRIM([1]raw_orders!U646))</f>
        <v>Completed</v>
      </c>
      <c r="S646" s="5">
        <f>[1]raw_orders!S646</f>
        <v>3335.16</v>
      </c>
      <c r="T646" s="5">
        <f t="shared" si="80"/>
        <v>33.351599999999998</v>
      </c>
      <c r="U646" s="5">
        <f t="shared" si="81"/>
        <v>-485276.58812799997</v>
      </c>
      <c r="V646" s="5">
        <f t="shared" si="82"/>
        <v>-485276.63812799996</v>
      </c>
      <c r="W646" s="5">
        <f t="shared" si="83"/>
        <v>1.0000001030340246</v>
      </c>
      <c r="X646" s="5" t="str">
        <f t="shared" si="84"/>
        <v>Invalid Date</v>
      </c>
      <c r="Y646" s="5">
        <f t="shared" si="85"/>
        <v>4</v>
      </c>
      <c r="Z646" s="5">
        <f t="shared" si="86"/>
        <v>2025</v>
      </c>
      <c r="AA646" t="str">
        <f t="shared" si="87"/>
        <v>Clean</v>
      </c>
    </row>
    <row r="647" spans="1:27" x14ac:dyDescent="0.3">
      <c r="A647" t="str">
        <f>[1]raw_orders!A647</f>
        <v>ORD-2024-10646</v>
      </c>
      <c r="B647" s="4">
        <f>IFERROR(DATEVALUE([1]raw_orders!B647), "Invalid Date")</f>
        <v>45295</v>
      </c>
      <c r="C647" s="4">
        <f>IFERROR(DATEVALUE([1]raw_orders!C647), "Invalid Date")</f>
        <v>45300</v>
      </c>
      <c r="D647" t="str">
        <f>[1]raw_orders!D647</f>
        <v>CUST-2314</v>
      </c>
      <c r="E647" t="str">
        <f>PROPER(TRIM([1]raw_orders!E647))</f>
        <v>Kabir Singh</v>
      </c>
      <c r="F647" t="str">
        <f>PROPER(TRIM([1]raw_orders!F647))</f>
        <v>Consumer</v>
      </c>
      <c r="G647" t="str">
        <f>IF(TRIM([1]raw_orders!G647)="","Unknown",PROPER(TRIM([1]raw_orders!G647)))</f>
        <v>East</v>
      </c>
      <c r="H647" t="str">
        <f>PROPER(TRIM([1]raw_orders!H647))</f>
        <v>Bihar</v>
      </c>
      <c r="I647" t="str">
        <f>PROPER(TRIM([1]raw_orders!I647))</f>
        <v>Patna</v>
      </c>
      <c r="J647" t="str">
        <f>PROPER(TRIM([1]raw_orders!J647))</f>
        <v>Furniture</v>
      </c>
      <c r="K647" t="str">
        <f>PROPER(TRIM([1]raw_orders!K647))</f>
        <v>Chairs</v>
      </c>
      <c r="L647" t="str">
        <f>[1]raw_orders!L647</f>
        <v>Basic Chairs 480</v>
      </c>
      <c r="M647" t="str">
        <f>IF(TRIM([1]raw_orders!M647)="","Unknown",PROPER(TRIM([1]raw_orders!M647)))</f>
        <v>Second Class</v>
      </c>
      <c r="N647" s="5">
        <f>[1]raw_orders!N647</f>
        <v>6</v>
      </c>
      <c r="O647" s="5">
        <f>[1]raw_orders!O647</f>
        <v>2423.61</v>
      </c>
      <c r="P647" s="5">
        <f>[1]raw_orders!P647</f>
        <v>0.1</v>
      </c>
      <c r="Q647" t="str">
        <f>PROPER(TRIM([1]raw_orders!T647))</f>
        <v>Paid</v>
      </c>
      <c r="R647" t="str">
        <f>PROPER(TRIM([1]raw_orders!U647))</f>
        <v>Completed</v>
      </c>
      <c r="S647" s="5">
        <f>[1]raw_orders!S647</f>
        <v>5133.22</v>
      </c>
      <c r="T647" s="5">
        <f t="shared" si="80"/>
        <v>51.3322</v>
      </c>
      <c r="U647" s="5">
        <f t="shared" si="81"/>
        <v>-731913.73945200001</v>
      </c>
      <c r="V647" s="5">
        <f t="shared" si="82"/>
        <v>-731913.83945199999</v>
      </c>
      <c r="W647" s="5">
        <f t="shared" si="83"/>
        <v>1.0000001366281224</v>
      </c>
      <c r="X647" s="5">
        <f t="shared" si="84"/>
        <v>5</v>
      </c>
      <c r="Y647" s="5">
        <f t="shared" si="85"/>
        <v>1</v>
      </c>
      <c r="Z647" s="5">
        <f t="shared" si="86"/>
        <v>2024</v>
      </c>
      <c r="AA647" t="str">
        <f t="shared" si="87"/>
        <v>Clean</v>
      </c>
    </row>
    <row r="648" spans="1:27" x14ac:dyDescent="0.3">
      <c r="A648" t="str">
        <f>[1]raw_orders!A648</f>
        <v>ORD-2024-10647</v>
      </c>
      <c r="B648" s="4" t="str">
        <f>IFERROR(DATEVALUE([1]raw_orders!B648), "Invalid Date")</f>
        <v>Invalid Date</v>
      </c>
      <c r="C648" s="4">
        <f>IFERROR(DATEVALUE([1]raw_orders!C648), "Invalid Date")</f>
        <v>45559</v>
      </c>
      <c r="D648" t="str">
        <f>[1]raw_orders!D648</f>
        <v>CUST-6360</v>
      </c>
      <c r="E648" t="str">
        <f>PROPER(TRIM([1]raw_orders!E648))</f>
        <v>Vikram Iyer</v>
      </c>
      <c r="F648" t="str">
        <f>PROPER(TRIM([1]raw_orders!F648))</f>
        <v>Small Business</v>
      </c>
      <c r="G648" t="str">
        <f>IF(TRIM([1]raw_orders!G648)="","Unknown",PROPER(TRIM([1]raw_orders!G648)))</f>
        <v>East</v>
      </c>
      <c r="H648" t="str">
        <f>PROPER(TRIM([1]raw_orders!H648))</f>
        <v>Jharkhand</v>
      </c>
      <c r="I648" t="str">
        <f>PROPER(TRIM([1]raw_orders!I648))</f>
        <v>Ranchi</v>
      </c>
      <c r="J648" t="str">
        <f>PROPER(TRIM([1]raw_orders!J648))</f>
        <v>Technology</v>
      </c>
      <c r="K648" t="str">
        <f>PROPER(TRIM([1]raw_orders!K648))</f>
        <v>Machines</v>
      </c>
      <c r="L648" t="str">
        <f>[1]raw_orders!L648</f>
        <v>Elite Machines 955</v>
      </c>
      <c r="M648" t="str">
        <f>IF(TRIM([1]raw_orders!M648)="","Unknown",PROPER(TRIM([1]raw_orders!M648)))</f>
        <v>First Class</v>
      </c>
      <c r="N648" s="5">
        <f>[1]raw_orders!N648</f>
        <v>3</v>
      </c>
      <c r="O648" s="5">
        <f>[1]raw_orders!O648</f>
        <v>729.14</v>
      </c>
      <c r="P648" s="5">
        <f>[1]raw_orders!P648</f>
        <v>0.25</v>
      </c>
      <c r="Q648" t="str">
        <f>PROPER(TRIM([1]raw_orders!T648))</f>
        <v>Paid</v>
      </c>
      <c r="R648" t="str">
        <f>PROPER(TRIM([1]raw_orders!U648))</f>
        <v>Completed</v>
      </c>
      <c r="S648" s="5">
        <f>[1]raw_orders!S648</f>
        <v>503.59</v>
      </c>
      <c r="T648" s="5">
        <f t="shared" si="80"/>
        <v>5.0358999999999998</v>
      </c>
      <c r="U648" s="5">
        <f t="shared" si="81"/>
        <v>-8828.2083779999994</v>
      </c>
      <c r="V648" s="5">
        <f t="shared" si="82"/>
        <v>-8828.4583779999994</v>
      </c>
      <c r="W648" s="5">
        <f t="shared" si="83"/>
        <v>1.0000283183166159</v>
      </c>
      <c r="X648" s="5" t="str">
        <f t="shared" si="84"/>
        <v>Invalid Date</v>
      </c>
      <c r="Y648" s="5" t="e">
        <f t="shared" si="85"/>
        <v>#VALUE!</v>
      </c>
      <c r="Z648" s="5" t="e">
        <f t="shared" si="86"/>
        <v>#VALUE!</v>
      </c>
      <c r="AA648" t="str">
        <f t="shared" si="87"/>
        <v>Clean</v>
      </c>
    </row>
    <row r="649" spans="1:27" x14ac:dyDescent="0.3">
      <c r="A649" t="str">
        <f>[1]raw_orders!A649</f>
        <v>ORD-2025-10648</v>
      </c>
      <c r="B649" s="4">
        <f>IFERROR(DATEVALUE([1]raw_orders!B649), "Invalid Date")</f>
        <v>45658</v>
      </c>
      <c r="C649" s="4">
        <f>IFERROR(DATEVALUE([1]raw_orders!C649), "Invalid Date")</f>
        <v>45666</v>
      </c>
      <c r="D649" t="str">
        <f>[1]raw_orders!D649</f>
        <v>CUST-9942</v>
      </c>
      <c r="E649" t="str">
        <f>PROPER(TRIM([1]raw_orders!E649))</f>
        <v>Rohan Mehta</v>
      </c>
      <c r="F649" t="str">
        <f>PROPER(TRIM([1]raw_orders!F649))</f>
        <v>Small Business</v>
      </c>
      <c r="G649" t="str">
        <f>IF(TRIM([1]raw_orders!G649)="","Unknown",PROPER(TRIM([1]raw_orders!G649)))</f>
        <v>North</v>
      </c>
      <c r="H649" t="str">
        <f>PROPER(TRIM([1]raw_orders!H649))</f>
        <v>Punjab</v>
      </c>
      <c r="I649" t="str">
        <f>PROPER(TRIM([1]raw_orders!I649))</f>
        <v>Ludhiana</v>
      </c>
      <c r="J649" t="str">
        <f>PROPER(TRIM([1]raw_orders!J649))</f>
        <v>Office Supplies</v>
      </c>
      <c r="K649" t="str">
        <f>PROPER(TRIM([1]raw_orders!K649))</f>
        <v>Art</v>
      </c>
      <c r="L649" t="str">
        <f>[1]raw_orders!L649</f>
        <v>Prime Art 461</v>
      </c>
      <c r="M649" t="str">
        <f>IF(TRIM([1]raw_orders!M649)="","Unknown",PROPER(TRIM([1]raw_orders!M649)))</f>
        <v>First Class</v>
      </c>
      <c r="N649" s="5">
        <f>[1]raw_orders!N649</f>
        <v>8</v>
      </c>
      <c r="O649" s="5">
        <f>[1]raw_orders!O649</f>
        <v>2123.81</v>
      </c>
      <c r="P649" s="5">
        <f>[1]raw_orders!P649</f>
        <v>0.15</v>
      </c>
      <c r="Q649" t="str">
        <f>PROPER(TRIM([1]raw_orders!T649))</f>
        <v>Paid</v>
      </c>
      <c r="R649" t="str">
        <f>PROPER(TRIM([1]raw_orders!U649))</f>
        <v>Completed</v>
      </c>
      <c r="S649" s="5">
        <f>[1]raw_orders!S649</f>
        <v>3569.02</v>
      </c>
      <c r="T649" s="5">
        <f t="shared" si="80"/>
        <v>35.690199999999997</v>
      </c>
      <c r="U649" s="5">
        <f t="shared" si="81"/>
        <v>-589403.1492959999</v>
      </c>
      <c r="V649" s="5">
        <f t="shared" si="82"/>
        <v>-589403.29929599992</v>
      </c>
      <c r="W649" s="5">
        <f t="shared" si="83"/>
        <v>1.000000254494738</v>
      </c>
      <c r="X649" s="5">
        <f t="shared" si="84"/>
        <v>8</v>
      </c>
      <c r="Y649" s="5">
        <f t="shared" si="85"/>
        <v>1</v>
      </c>
      <c r="Z649" s="5">
        <f t="shared" si="86"/>
        <v>2025</v>
      </c>
      <c r="AA649" t="str">
        <f t="shared" si="87"/>
        <v>Clean</v>
      </c>
    </row>
    <row r="650" spans="1:27" x14ac:dyDescent="0.3">
      <c r="A650" t="str">
        <f>[1]raw_orders!A650</f>
        <v>ORD-2024-10649</v>
      </c>
      <c r="B650" s="4">
        <f>IFERROR(DATEVALUE([1]raw_orders!B650), "Invalid Date")</f>
        <v>45403</v>
      </c>
      <c r="C650" s="4">
        <f>IFERROR(DATEVALUE([1]raw_orders!C650), "Invalid Date")</f>
        <v>45406</v>
      </c>
      <c r="D650" t="str">
        <f>[1]raw_orders!D650</f>
        <v>CUST-1808</v>
      </c>
      <c r="E650" t="str">
        <f>PROPER(TRIM([1]raw_orders!E650))</f>
        <v>Neha Gupta</v>
      </c>
      <c r="F650" t="str">
        <f>PROPER(TRIM([1]raw_orders!F650))</f>
        <v>Small Business</v>
      </c>
      <c r="G650" t="str">
        <f>IF(TRIM([1]raw_orders!G650)="","Unknown",PROPER(TRIM([1]raw_orders!G650)))</f>
        <v>South</v>
      </c>
      <c r="H650" t="str">
        <f>PROPER(TRIM([1]raw_orders!H650))</f>
        <v>Andhra Pradesh</v>
      </c>
      <c r="I650" t="str">
        <f>PROPER(TRIM([1]raw_orders!I650))</f>
        <v>Vijayawada</v>
      </c>
      <c r="J650" t="str">
        <f>PROPER(TRIM([1]raw_orders!J650))</f>
        <v>Office Supplies</v>
      </c>
      <c r="K650" t="str">
        <f>PROPER(TRIM([1]raw_orders!K650))</f>
        <v>Art</v>
      </c>
      <c r="L650" t="str">
        <f>[1]raw_orders!L650</f>
        <v>Prime Art 301</v>
      </c>
      <c r="M650" t="str">
        <f>IF(TRIM([1]raw_orders!M650)="","Unknown",PROPER(TRIM([1]raw_orders!M650)))</f>
        <v>Same Day</v>
      </c>
      <c r="N650" s="5">
        <f>[1]raw_orders!N650</f>
        <v>9</v>
      </c>
      <c r="O650" s="5">
        <f>[1]raw_orders!O650</f>
        <v>703.59</v>
      </c>
      <c r="P650" s="5">
        <f>[1]raw_orders!P650</f>
        <v>0.2</v>
      </c>
      <c r="Q650" t="str">
        <f>PROPER(TRIM([1]raw_orders!T650))</f>
        <v>Failed</v>
      </c>
      <c r="R650" t="str">
        <f>PROPER(TRIM([1]raw_orders!U650))</f>
        <v>Returned</v>
      </c>
      <c r="S650" s="5">
        <f>[1]raw_orders!S650</f>
        <v>1548.62</v>
      </c>
      <c r="T650" s="5">
        <f t="shared" si="80"/>
        <v>15.486199999999998</v>
      </c>
      <c r="U650" s="5">
        <f t="shared" si="81"/>
        <v>-91731.109121999994</v>
      </c>
      <c r="V650" s="5">
        <f t="shared" si="82"/>
        <v>-91731.309121999991</v>
      </c>
      <c r="W650" s="5">
        <f t="shared" si="83"/>
        <v>1.0000021802854224</v>
      </c>
      <c r="X650" s="5">
        <f t="shared" si="84"/>
        <v>3</v>
      </c>
      <c r="Y650" s="5">
        <f t="shared" si="85"/>
        <v>4</v>
      </c>
      <c r="Z650" s="5">
        <f t="shared" si="86"/>
        <v>2024</v>
      </c>
      <c r="AA650" t="str">
        <f t="shared" si="87"/>
        <v>Clean</v>
      </c>
    </row>
    <row r="651" spans="1:27" x14ac:dyDescent="0.3">
      <c r="A651" t="str">
        <f>[1]raw_orders!A651</f>
        <v>ORD-2025-10650</v>
      </c>
      <c r="B651" s="4">
        <f>IFERROR(DATEVALUE([1]raw_orders!B651), "Invalid Date")</f>
        <v>45880</v>
      </c>
      <c r="C651" s="4">
        <f>IFERROR(DATEVALUE([1]raw_orders!C651), "Invalid Date")</f>
        <v>45888</v>
      </c>
      <c r="D651" t="str">
        <f>[1]raw_orders!D651</f>
        <v>CUST-7277</v>
      </c>
      <c r="E651" t="str">
        <f>PROPER(TRIM([1]raw_orders!E651))</f>
        <v>Kabir Singh</v>
      </c>
      <c r="F651" t="str">
        <f>PROPER(TRIM([1]raw_orders!F651))</f>
        <v>Small Business</v>
      </c>
      <c r="G651" t="str">
        <f>IF(TRIM([1]raw_orders!G651)="","Unknown",PROPER(TRIM([1]raw_orders!G651)))</f>
        <v>South</v>
      </c>
      <c r="H651" t="str">
        <f>PROPER(TRIM([1]raw_orders!H651))</f>
        <v>Kerala</v>
      </c>
      <c r="I651" t="str">
        <f>PROPER(TRIM([1]raw_orders!I651))</f>
        <v>Kochi</v>
      </c>
      <c r="J651" t="str">
        <f>PROPER(TRIM([1]raw_orders!J651))</f>
        <v>Technology</v>
      </c>
      <c r="K651" t="str">
        <f>PROPER(TRIM([1]raw_orders!K651))</f>
        <v>Accessories</v>
      </c>
      <c r="L651" t="str">
        <f>[1]raw_orders!L651</f>
        <v>Classic Accessories 354</v>
      </c>
      <c r="M651" t="str">
        <f>IF(TRIM([1]raw_orders!M651)="","Unknown",PROPER(TRIM([1]raw_orders!M651)))</f>
        <v>Standard Class</v>
      </c>
      <c r="N651" s="5">
        <f>[1]raw_orders!N651</f>
        <v>4</v>
      </c>
      <c r="O651" s="5">
        <f>[1]raw_orders!O651</f>
        <v>2258.96</v>
      </c>
      <c r="P651" s="5">
        <f>[1]raw_orders!P651</f>
        <v>0.25</v>
      </c>
      <c r="Q651" t="str">
        <f>PROPER(TRIM([1]raw_orders!T651))</f>
        <v>Paid</v>
      </c>
      <c r="R651" t="str">
        <f>PROPER(TRIM([1]raw_orders!U651))</f>
        <v>Completed</v>
      </c>
      <c r="S651" s="5">
        <f>[1]raw_orders!S651</f>
        <v>2940.64</v>
      </c>
      <c r="T651" s="5">
        <f t="shared" si="80"/>
        <v>29.406399999999998</v>
      </c>
      <c r="U651" s="5">
        <f t="shared" si="81"/>
        <v>-256675.68537599998</v>
      </c>
      <c r="V651" s="5">
        <f t="shared" si="82"/>
        <v>-256675.93537599998</v>
      </c>
      <c r="W651" s="5">
        <f t="shared" si="83"/>
        <v>1.0000009739917501</v>
      </c>
      <c r="X651" s="5">
        <f t="shared" si="84"/>
        <v>8</v>
      </c>
      <c r="Y651" s="5">
        <f t="shared" si="85"/>
        <v>8</v>
      </c>
      <c r="Z651" s="5">
        <f t="shared" si="86"/>
        <v>2025</v>
      </c>
      <c r="AA651" t="str">
        <f t="shared" si="87"/>
        <v>Clean</v>
      </c>
    </row>
    <row r="652" spans="1:27" x14ac:dyDescent="0.3">
      <c r="A652" t="str">
        <f>[1]raw_orders!A652</f>
        <v>ORD-2024-10651</v>
      </c>
      <c r="B652" s="4" t="str">
        <f>IFERROR(DATEVALUE([1]raw_orders!B652), "Invalid Date")</f>
        <v>Invalid Date</v>
      </c>
      <c r="C652" s="4">
        <f>IFERROR(DATEVALUE([1]raw_orders!C652), "Invalid Date")</f>
        <v>45403</v>
      </c>
      <c r="D652" t="str">
        <f>[1]raw_orders!D652</f>
        <v>CUST-7744</v>
      </c>
      <c r="E652" t="str">
        <f>PROPER(TRIM([1]raw_orders!E652))</f>
        <v>Aarav Sharma</v>
      </c>
      <c r="F652" t="str">
        <f>PROPER(TRIM([1]raw_orders!F652))</f>
        <v>Home Office</v>
      </c>
      <c r="G652" t="str">
        <f>IF(TRIM([1]raw_orders!G652)="","Unknown",PROPER(TRIM([1]raw_orders!G652)))</f>
        <v>East</v>
      </c>
      <c r="H652" t="str">
        <f>PROPER(TRIM([1]raw_orders!H652))</f>
        <v>Bihar</v>
      </c>
      <c r="I652" t="str">
        <f>PROPER(TRIM([1]raw_orders!I652))</f>
        <v>Patna</v>
      </c>
      <c r="J652" t="str">
        <f>PROPER(TRIM([1]raw_orders!J652))</f>
        <v>Technology</v>
      </c>
      <c r="K652" t="str">
        <f>PROPER(TRIM([1]raw_orders!K652))</f>
        <v>Accessories</v>
      </c>
      <c r="L652" t="str">
        <f>[1]raw_orders!L652</f>
        <v>Basic Accessories 210</v>
      </c>
      <c r="M652" t="str">
        <f>IF(TRIM([1]raw_orders!M652)="","Unknown",PROPER(TRIM([1]raw_orders!M652)))</f>
        <v>Same Day</v>
      </c>
      <c r="N652" s="5">
        <f>[1]raw_orders!N652</f>
        <v>7</v>
      </c>
      <c r="O652" s="5">
        <f>[1]raw_orders!O652</f>
        <v>2648.76</v>
      </c>
      <c r="P652" s="5">
        <f>[1]raw_orders!P652</f>
        <v>0.15</v>
      </c>
      <c r="Q652" t="str">
        <f>PROPER(TRIM([1]raw_orders!T652))</f>
        <v>Failed</v>
      </c>
      <c r="R652" t="str">
        <f>PROPER(TRIM([1]raw_orders!U652))</f>
        <v>Returned</v>
      </c>
      <c r="S652" s="5">
        <f>[1]raw_orders!S652</f>
        <v>5828.59</v>
      </c>
      <c r="T652" s="5">
        <f t="shared" si="80"/>
        <v>58.285899999999998</v>
      </c>
      <c r="U652" s="5">
        <f t="shared" si="81"/>
        <v>-1062156.2033879999</v>
      </c>
      <c r="V652" s="5">
        <f t="shared" si="82"/>
        <v>-1062156.3533879998</v>
      </c>
      <c r="W652" s="5">
        <f t="shared" si="83"/>
        <v>1.0000001412221662</v>
      </c>
      <c r="X652" s="5" t="str">
        <f t="shared" si="84"/>
        <v>Invalid Date</v>
      </c>
      <c r="Y652" s="5" t="e">
        <f t="shared" si="85"/>
        <v>#VALUE!</v>
      </c>
      <c r="Z652" s="5" t="e">
        <f t="shared" si="86"/>
        <v>#VALUE!</v>
      </c>
      <c r="AA652" t="str">
        <f t="shared" si="87"/>
        <v>Clean</v>
      </c>
    </row>
    <row r="653" spans="1:27" x14ac:dyDescent="0.3">
      <c r="A653" t="str">
        <f>[1]raw_orders!A653</f>
        <v>ORD-2025-10652</v>
      </c>
      <c r="B653" s="4">
        <f>IFERROR(DATEVALUE([1]raw_orders!B653), "Invalid Date")</f>
        <v>45875</v>
      </c>
      <c r="C653" s="4">
        <f>IFERROR(DATEVALUE([1]raw_orders!C653), "Invalid Date")</f>
        <v>45878</v>
      </c>
      <c r="D653" t="str">
        <f>[1]raw_orders!D653</f>
        <v>CUST-2660</v>
      </c>
      <c r="E653" t="str">
        <f>PROPER(TRIM([1]raw_orders!E653))</f>
        <v>Mira Das</v>
      </c>
      <c r="F653" t="str">
        <f>PROPER(TRIM([1]raw_orders!F653))</f>
        <v>Small Business</v>
      </c>
      <c r="G653" t="str">
        <f>IF(TRIM([1]raw_orders!G653)="","Unknown",PROPER(TRIM([1]raw_orders!G653)))</f>
        <v>South</v>
      </c>
      <c r="H653" t="str">
        <f>PROPER(TRIM([1]raw_orders!H653))</f>
        <v>Andhra Pradesh</v>
      </c>
      <c r="I653" t="str">
        <f>PROPER(TRIM([1]raw_orders!I653))</f>
        <v>Vijayawada</v>
      </c>
      <c r="J653" t="str">
        <f>PROPER(TRIM([1]raw_orders!J653))</f>
        <v>Office Supplies</v>
      </c>
      <c r="K653" t="str">
        <f>PROPER(TRIM([1]raw_orders!K653))</f>
        <v>Paper</v>
      </c>
      <c r="L653" t="str">
        <f>[1]raw_orders!L653</f>
        <v>Smart Paper 364</v>
      </c>
      <c r="M653" t="str">
        <f>IF(TRIM([1]raw_orders!M653)="","Unknown",PROPER(TRIM([1]raw_orders!M653)))</f>
        <v>Second Class</v>
      </c>
      <c r="N653" s="5">
        <f>[1]raw_orders!N653</f>
        <v>3</v>
      </c>
      <c r="O653" s="5">
        <f>[1]raw_orders!O653</f>
        <v>598.54999999999995</v>
      </c>
      <c r="P653" s="5">
        <f>[1]raw_orders!P653</f>
        <v>0</v>
      </c>
      <c r="Q653" t="str">
        <f>PROPER(TRIM([1]raw_orders!T653))</f>
        <v>Paid</v>
      </c>
      <c r="R653" t="str">
        <f>PROPER(TRIM([1]raw_orders!U653))</f>
        <v>Completed</v>
      </c>
      <c r="S653" s="5">
        <f>[1]raw_orders!S653</f>
        <v>798.93</v>
      </c>
      <c r="T653" s="5">
        <f t="shared" si="80"/>
        <v>7.9892999999999992</v>
      </c>
      <c r="U653" s="5">
        <f t="shared" si="81"/>
        <v>-12550.336544999998</v>
      </c>
      <c r="V653" s="5">
        <f t="shared" si="82"/>
        <v>-12550.336544999998</v>
      </c>
      <c r="W653" s="5">
        <f t="shared" si="83"/>
        <v>1</v>
      </c>
      <c r="X653" s="5">
        <f t="shared" si="84"/>
        <v>3</v>
      </c>
      <c r="Y653" s="5">
        <f t="shared" si="85"/>
        <v>8</v>
      </c>
      <c r="Z653" s="5">
        <f t="shared" si="86"/>
        <v>2025</v>
      </c>
      <c r="AA653" t="str">
        <f t="shared" si="87"/>
        <v>Clean</v>
      </c>
    </row>
    <row r="654" spans="1:27" x14ac:dyDescent="0.3">
      <c r="A654" t="str">
        <f>[1]raw_orders!A654</f>
        <v>ORD-2025-10653</v>
      </c>
      <c r="B654" s="4" t="str">
        <f>IFERROR(DATEVALUE([1]raw_orders!B654), "Invalid Date")</f>
        <v>Invalid Date</v>
      </c>
      <c r="C654" s="4">
        <f>IFERROR(DATEVALUE([1]raw_orders!C654), "Invalid Date")</f>
        <v>45737</v>
      </c>
      <c r="D654" t="str">
        <f>[1]raw_orders!D654</f>
        <v>CUST-8177</v>
      </c>
      <c r="E654" t="str">
        <f>PROPER(TRIM([1]raw_orders!E654))</f>
        <v>Sneha Kapoor</v>
      </c>
      <c r="F654" t="str">
        <f>PROPER(TRIM([1]raw_orders!F654))</f>
        <v>Consumer</v>
      </c>
      <c r="G654" t="str">
        <f>IF(TRIM([1]raw_orders!G654)="","Unknown",PROPER(TRIM([1]raw_orders!G654)))</f>
        <v>North</v>
      </c>
      <c r="H654" t="str">
        <f>PROPER(TRIM([1]raw_orders!H654))</f>
        <v>Uttar Pradesh</v>
      </c>
      <c r="I654" t="str">
        <f>PROPER(TRIM([1]raw_orders!I654))</f>
        <v>Noida</v>
      </c>
      <c r="J654" t="str">
        <f>PROPER(TRIM([1]raw_orders!J654))</f>
        <v>Office Supplies</v>
      </c>
      <c r="K654" t="str">
        <f>PROPER(TRIM([1]raw_orders!K654))</f>
        <v>Binders</v>
      </c>
      <c r="L654" t="str">
        <f>[1]raw_orders!L654</f>
        <v>Smart Binders 999</v>
      </c>
      <c r="M654" t="str">
        <f>IF(TRIM([1]raw_orders!M654)="","Unknown",PROPER(TRIM([1]raw_orders!M654)))</f>
        <v>Standard Class</v>
      </c>
      <c r="N654" s="5">
        <f>[1]raw_orders!N654</f>
        <v>5</v>
      </c>
      <c r="O654" s="5">
        <f>[1]raw_orders!O654</f>
        <v>4320.59</v>
      </c>
      <c r="P654" s="5">
        <f>[1]raw_orders!P654</f>
        <v>0.15</v>
      </c>
      <c r="Q654" t="str">
        <f>PROPER(TRIM([1]raw_orders!T654))</f>
        <v>Paid</v>
      </c>
      <c r="R654" t="str">
        <f>PROPER(TRIM([1]raw_orders!U654))</f>
        <v>Completed</v>
      </c>
      <c r="S654" s="5">
        <f>[1]raw_orders!S654</f>
        <v>7228.54</v>
      </c>
      <c r="T654" s="5">
        <f t="shared" si="80"/>
        <v>72.285399999999996</v>
      </c>
      <c r="U654" s="5">
        <f t="shared" si="81"/>
        <v>-1539974.93193</v>
      </c>
      <c r="V654" s="5">
        <f t="shared" si="82"/>
        <v>-1539975.0819299999</v>
      </c>
      <c r="W654" s="5">
        <f t="shared" si="83"/>
        <v>1.0000000974041829</v>
      </c>
      <c r="X654" s="5" t="str">
        <f t="shared" si="84"/>
        <v>Invalid Date</v>
      </c>
      <c r="Y654" s="5" t="e">
        <f t="shared" si="85"/>
        <v>#VALUE!</v>
      </c>
      <c r="Z654" s="5" t="e">
        <f t="shared" si="86"/>
        <v>#VALUE!</v>
      </c>
      <c r="AA654" t="str">
        <f t="shared" si="87"/>
        <v>Clean</v>
      </c>
    </row>
    <row r="655" spans="1:27" x14ac:dyDescent="0.3">
      <c r="A655" t="str">
        <f>[1]raw_orders!A655</f>
        <v>ORD-2025-10654</v>
      </c>
      <c r="B655" s="4">
        <f>IFERROR(DATEVALUE([1]raw_orders!B655), "Invalid Date")</f>
        <v>45751</v>
      </c>
      <c r="C655" s="4">
        <f>IFERROR(DATEVALUE([1]raw_orders!C655), "Invalid Date")</f>
        <v>45842</v>
      </c>
      <c r="D655" t="str">
        <f>[1]raw_orders!D655</f>
        <v>CUST-3970</v>
      </c>
      <c r="E655" t="str">
        <f>PROPER(TRIM([1]raw_orders!E655))</f>
        <v>Priya Menon</v>
      </c>
      <c r="F655" t="str">
        <f>PROPER(TRIM([1]raw_orders!F655))</f>
        <v>Small Business</v>
      </c>
      <c r="G655" t="str">
        <f>IF(TRIM([1]raw_orders!G655)="","Unknown",PROPER(TRIM([1]raw_orders!G655)))</f>
        <v>South</v>
      </c>
      <c r="H655" t="str">
        <f>PROPER(TRIM([1]raw_orders!H655))</f>
        <v>Tamil Nadu</v>
      </c>
      <c r="I655" t="str">
        <f>PROPER(TRIM([1]raw_orders!I655))</f>
        <v>Chennai</v>
      </c>
      <c r="J655" t="str">
        <f>PROPER(TRIM([1]raw_orders!J655))</f>
        <v>Technology</v>
      </c>
      <c r="K655" t="str">
        <f>PROPER(TRIM([1]raw_orders!K655))</f>
        <v>Copiers</v>
      </c>
      <c r="L655" t="str">
        <f>[1]raw_orders!L655</f>
        <v>Max Copiers 356</v>
      </c>
      <c r="M655" t="str">
        <f>IF(TRIM([1]raw_orders!M655)="","Unknown",PROPER(TRIM([1]raw_orders!M655)))</f>
        <v>Second Class</v>
      </c>
      <c r="N655" s="5">
        <f>[1]raw_orders!N655</f>
        <v>7</v>
      </c>
      <c r="O655" s="5">
        <f>[1]raw_orders!O655</f>
        <v>4457.93</v>
      </c>
      <c r="P655" s="5">
        <f>[1]raw_orders!P655</f>
        <v>0.15</v>
      </c>
      <c r="Q655" t="str">
        <f>PROPER(TRIM([1]raw_orders!T655))</f>
        <v>Paid</v>
      </c>
      <c r="R655" t="str">
        <f>PROPER(TRIM([1]raw_orders!U655))</f>
        <v>Completed</v>
      </c>
      <c r="S655" s="5">
        <f>[1]raw_orders!S655</f>
        <v>5950.38</v>
      </c>
      <c r="T655" s="5">
        <f t="shared" si="80"/>
        <v>59.503799999999998</v>
      </c>
      <c r="U655" s="5">
        <f t="shared" si="81"/>
        <v>-1825640.915938</v>
      </c>
      <c r="V655" s="5">
        <f t="shared" si="82"/>
        <v>-1825641.0659379999</v>
      </c>
      <c r="W655" s="5">
        <f t="shared" si="83"/>
        <v>1.0000000821629262</v>
      </c>
      <c r="X655" s="5">
        <f t="shared" si="84"/>
        <v>91</v>
      </c>
      <c r="Y655" s="5">
        <f t="shared" si="85"/>
        <v>4</v>
      </c>
      <c r="Z655" s="5">
        <f t="shared" si="86"/>
        <v>2025</v>
      </c>
      <c r="AA655" t="str">
        <f t="shared" si="87"/>
        <v>Clean</v>
      </c>
    </row>
    <row r="656" spans="1:27" x14ac:dyDescent="0.3">
      <c r="A656" t="str">
        <f>[1]raw_orders!A656</f>
        <v>ORD-2025-10655</v>
      </c>
      <c r="B656" s="4">
        <f>IFERROR(DATEVALUE([1]raw_orders!B656), "Invalid Date")</f>
        <v>46001</v>
      </c>
      <c r="C656" s="4">
        <f>IFERROR(DATEVALUE([1]raw_orders!C656), "Invalid Date")</f>
        <v>45946</v>
      </c>
      <c r="D656" t="str">
        <f>[1]raw_orders!D656</f>
        <v>CUST-8249</v>
      </c>
      <c r="E656" t="str">
        <f>PROPER(TRIM([1]raw_orders!E656))</f>
        <v>Diya Patel</v>
      </c>
      <c r="F656" t="str">
        <f>PROPER(TRIM([1]raw_orders!F656))</f>
        <v>Corporate</v>
      </c>
      <c r="G656" t="str">
        <f>IF(TRIM([1]raw_orders!G656)="","Unknown",PROPER(TRIM([1]raw_orders!G656)))</f>
        <v>East</v>
      </c>
      <c r="H656" t="str">
        <f>PROPER(TRIM([1]raw_orders!H656))</f>
        <v>Bihar</v>
      </c>
      <c r="I656" t="str">
        <f>PROPER(TRIM([1]raw_orders!I656))</f>
        <v>Patna</v>
      </c>
      <c r="J656" t="str">
        <f>PROPER(TRIM([1]raw_orders!J656))</f>
        <v>Technology</v>
      </c>
      <c r="K656" t="str">
        <f>PROPER(TRIM([1]raw_orders!K656))</f>
        <v>Machines</v>
      </c>
      <c r="L656" t="str">
        <f>[1]raw_orders!L656</f>
        <v>Classic Machines 639</v>
      </c>
      <c r="M656" t="str">
        <f>IF(TRIM([1]raw_orders!M656)="","Unknown",PROPER(TRIM([1]raw_orders!M656)))</f>
        <v>Same Day</v>
      </c>
      <c r="N656" s="5">
        <f>[1]raw_orders!N656</f>
        <v>1</v>
      </c>
      <c r="O656" s="5">
        <f>[1]raw_orders!O656</f>
        <v>2570.06</v>
      </c>
      <c r="P656" s="5">
        <f>[1]raw_orders!P656</f>
        <v>0.2</v>
      </c>
      <c r="Q656" t="str">
        <f>PROPER(TRIM([1]raw_orders!T656))</f>
        <v>Paid</v>
      </c>
      <c r="R656" t="str">
        <f>PROPER(TRIM([1]raw_orders!U656))</f>
        <v>Completed</v>
      </c>
      <c r="S656" s="5">
        <f>[1]raw_orders!S656</f>
        <v>393.66</v>
      </c>
      <c r="T656" s="5">
        <f t="shared" si="80"/>
        <v>3.9366000000000003</v>
      </c>
      <c r="U656" s="5">
        <f t="shared" si="81"/>
        <v>-7547.2381960000002</v>
      </c>
      <c r="V656" s="5">
        <f t="shared" si="82"/>
        <v>-7547.4381960000001</v>
      </c>
      <c r="W656" s="5">
        <f t="shared" si="83"/>
        <v>1.0000264997598864</v>
      </c>
      <c r="X656" s="5">
        <f t="shared" si="84"/>
        <v>-55</v>
      </c>
      <c r="Y656" s="5">
        <f t="shared" si="85"/>
        <v>12</v>
      </c>
      <c r="Z656" s="5">
        <f t="shared" si="86"/>
        <v>2025</v>
      </c>
      <c r="AA656" t="str">
        <f t="shared" si="87"/>
        <v>Invalid</v>
      </c>
    </row>
    <row r="657" spans="1:27" x14ac:dyDescent="0.3">
      <c r="A657" t="str">
        <f>[1]raw_orders!A657</f>
        <v>ORD-2025-10656</v>
      </c>
      <c r="B657" s="4" t="str">
        <f>IFERROR(DATEVALUE([1]raw_orders!B657), "Invalid Date")</f>
        <v>Invalid Date</v>
      </c>
      <c r="C657" s="4" t="str">
        <f>IFERROR(DATEVALUE([1]raw_orders!C657), "Invalid Date")</f>
        <v>Invalid Date</v>
      </c>
      <c r="D657" t="str">
        <f>[1]raw_orders!D657</f>
        <v>CUST-8039</v>
      </c>
      <c r="E657" t="str">
        <f>PROPER(TRIM([1]raw_orders!E657))</f>
        <v>Neha Gupta</v>
      </c>
      <c r="F657" t="str">
        <f>PROPER(TRIM([1]raw_orders!F657))</f>
        <v>Home Office</v>
      </c>
      <c r="G657" t="str">
        <f>IF(TRIM([1]raw_orders!G657)="","Unknown",PROPER(TRIM([1]raw_orders!G657)))</f>
        <v>East</v>
      </c>
      <c r="H657" t="str">
        <f>PROPER(TRIM([1]raw_orders!H657))</f>
        <v>West Bengal</v>
      </c>
      <c r="I657" t="str">
        <f>PROPER(TRIM([1]raw_orders!I657))</f>
        <v>Kolkata</v>
      </c>
      <c r="J657" t="str">
        <f>PROPER(TRIM([1]raw_orders!J657))</f>
        <v>Furniture</v>
      </c>
      <c r="K657" t="str">
        <f>PROPER(TRIM([1]raw_orders!K657))</f>
        <v>Furnishings</v>
      </c>
      <c r="L657" t="str">
        <f>[1]raw_orders!L657</f>
        <v>Smart Furnishings 748</v>
      </c>
      <c r="M657" t="str">
        <f>IF(TRIM([1]raw_orders!M657)="","Unknown",PROPER(TRIM([1]raw_orders!M657)))</f>
        <v>Standard Class</v>
      </c>
      <c r="N657" s="5">
        <f>[1]raw_orders!N657</f>
        <v>4</v>
      </c>
      <c r="O657" s="5">
        <f>[1]raw_orders!O657</f>
        <v>2151.8200000000002</v>
      </c>
      <c r="P657" s="5">
        <f>[1]raw_orders!P657</f>
        <v>0</v>
      </c>
      <c r="Q657" t="str">
        <f>PROPER(TRIM([1]raw_orders!T657))</f>
        <v>Paid</v>
      </c>
      <c r="R657" t="str">
        <f>PROPER(TRIM([1]raw_orders!U657))</f>
        <v>Completed</v>
      </c>
      <c r="S657" s="5">
        <f>[1]raw_orders!S657</f>
        <v>3483.27</v>
      </c>
      <c r="T657" s="5">
        <f t="shared" si="80"/>
        <v>34.832700000000003</v>
      </c>
      <c r="U657" s="5">
        <f t="shared" si="81"/>
        <v>-291207.52205600002</v>
      </c>
      <c r="V657" s="5">
        <f t="shared" si="82"/>
        <v>-291207.52205600002</v>
      </c>
      <c r="W657" s="5">
        <f t="shared" si="83"/>
        <v>1</v>
      </c>
      <c r="X657" s="5" t="str">
        <f t="shared" si="84"/>
        <v>Invalid Date</v>
      </c>
      <c r="Y657" s="5" t="e">
        <f t="shared" si="85"/>
        <v>#VALUE!</v>
      </c>
      <c r="Z657" s="5" t="e">
        <f t="shared" si="86"/>
        <v>#VALUE!</v>
      </c>
      <c r="AA657" t="str">
        <f t="shared" si="87"/>
        <v>Clean</v>
      </c>
    </row>
    <row r="658" spans="1:27" x14ac:dyDescent="0.3">
      <c r="A658" t="str">
        <f>[1]raw_orders!A658</f>
        <v>ORD-2024-10657</v>
      </c>
      <c r="B658" s="4">
        <f>IFERROR(DATEVALUE([1]raw_orders!B658), "Invalid Date")</f>
        <v>45419</v>
      </c>
      <c r="C658" s="4" t="str">
        <f>IFERROR(DATEVALUE([1]raw_orders!C658), "Invalid Date")</f>
        <v>Invalid Date</v>
      </c>
      <c r="D658" t="str">
        <f>[1]raw_orders!D658</f>
        <v>CUST-4446</v>
      </c>
      <c r="E658" t="str">
        <f>PROPER(TRIM([1]raw_orders!E658))</f>
        <v>Neha Gupta</v>
      </c>
      <c r="F658" t="str">
        <f>PROPER(TRIM([1]raw_orders!F658))</f>
        <v>Small Business</v>
      </c>
      <c r="G658" t="str">
        <f>IF(TRIM([1]raw_orders!G658)="","Unknown",PROPER(TRIM([1]raw_orders!G658)))</f>
        <v>North</v>
      </c>
      <c r="H658" t="str">
        <f>PROPER(TRIM([1]raw_orders!H658))</f>
        <v>Haryana</v>
      </c>
      <c r="I658" t="str">
        <f>PROPER(TRIM([1]raw_orders!I658))</f>
        <v>Gurugram</v>
      </c>
      <c r="J658" t="str">
        <f>PROPER(TRIM([1]raw_orders!J658))</f>
        <v>Technology</v>
      </c>
      <c r="K658" t="str">
        <f>PROPER(TRIM([1]raw_orders!K658))</f>
        <v>Machines</v>
      </c>
      <c r="L658" t="str">
        <f>[1]raw_orders!L658</f>
        <v>Pro Machines 589</v>
      </c>
      <c r="M658" t="str">
        <f>IF(TRIM([1]raw_orders!M658)="","Unknown",PROPER(TRIM([1]raw_orders!M658)))</f>
        <v>Same Day</v>
      </c>
      <c r="N658" s="5">
        <f>[1]raw_orders!N658</f>
        <v>4</v>
      </c>
      <c r="O658" s="5">
        <f>[1]raw_orders!O658</f>
        <v>2751.1</v>
      </c>
      <c r="P658" s="5">
        <f>[1]raw_orders!P658</f>
        <v>-0.05</v>
      </c>
      <c r="Q658" t="str">
        <f>PROPER(TRIM([1]raw_orders!T658))</f>
        <v>Paid</v>
      </c>
      <c r="R658" t="str">
        <f>PROPER(TRIM([1]raw_orders!U658))</f>
        <v>Completed</v>
      </c>
      <c r="S658" s="5">
        <f>[1]raw_orders!S658</f>
        <v>2207.6799999999998</v>
      </c>
      <c r="T658" s="5">
        <f t="shared" si="80"/>
        <v>22.076799999999999</v>
      </c>
      <c r="U658" s="5">
        <f t="shared" si="81"/>
        <v>-231937.53791999997</v>
      </c>
      <c r="V658" s="5">
        <f t="shared" si="82"/>
        <v>-231937.48791999999</v>
      </c>
      <c r="W658" s="5">
        <f t="shared" si="83"/>
        <v>0.99999978442471871</v>
      </c>
      <c r="X658" s="5" t="str">
        <f t="shared" si="84"/>
        <v>Invalid Date</v>
      </c>
      <c r="Y658" s="5">
        <f t="shared" si="85"/>
        <v>5</v>
      </c>
      <c r="Z658" s="5">
        <f t="shared" si="86"/>
        <v>2024</v>
      </c>
      <c r="AA658" t="str">
        <f t="shared" si="87"/>
        <v>Clean</v>
      </c>
    </row>
    <row r="659" spans="1:27" x14ac:dyDescent="0.3">
      <c r="A659" t="str">
        <f>[1]raw_orders!A659</f>
        <v>ORD-2025-10658</v>
      </c>
      <c r="B659" s="4">
        <f>IFERROR(DATEVALUE([1]raw_orders!B659), "Invalid Date")</f>
        <v>45846</v>
      </c>
      <c r="C659" s="4">
        <f>IFERROR(DATEVALUE([1]raw_orders!C659), "Invalid Date")</f>
        <v>45879</v>
      </c>
      <c r="D659" t="str">
        <f>[1]raw_orders!D659</f>
        <v>CUST-7787</v>
      </c>
      <c r="E659" t="str">
        <f>PROPER(TRIM([1]raw_orders!E659))</f>
        <v>Aditi Sen</v>
      </c>
      <c r="F659" t="str">
        <f>PROPER(TRIM([1]raw_orders!F659))</f>
        <v>Home Office</v>
      </c>
      <c r="G659" t="str">
        <f>IF(TRIM([1]raw_orders!G659)="","Unknown",PROPER(TRIM([1]raw_orders!G659)))</f>
        <v>East</v>
      </c>
      <c r="H659" t="str">
        <f>PROPER(TRIM([1]raw_orders!H659))</f>
        <v>Bihar</v>
      </c>
      <c r="I659" t="str">
        <f>PROPER(TRIM([1]raw_orders!I659))</f>
        <v>Patna</v>
      </c>
      <c r="J659" t="str">
        <f>PROPER(TRIM([1]raw_orders!J659))</f>
        <v>Office Supplies</v>
      </c>
      <c r="K659" t="str">
        <f>PROPER(TRIM([1]raw_orders!K659))</f>
        <v>Storage</v>
      </c>
      <c r="L659" t="str">
        <f>[1]raw_orders!L659</f>
        <v>Eco Storage 316</v>
      </c>
      <c r="M659" t="str">
        <f>IF(TRIM([1]raw_orders!M659)="","Unknown",PROPER(TRIM([1]raw_orders!M659)))</f>
        <v>Second Class</v>
      </c>
      <c r="N659" s="5">
        <f>[1]raw_orders!N659</f>
        <v>1</v>
      </c>
      <c r="O659" s="5">
        <f>[1]raw_orders!O659</f>
        <v>2541.25</v>
      </c>
      <c r="P659" s="5">
        <f>[1]raw_orders!P659</f>
        <v>0.2</v>
      </c>
      <c r="Q659" t="str">
        <f>PROPER(TRIM([1]raw_orders!T659))</f>
        <v>Paid</v>
      </c>
      <c r="R659" t="str">
        <f>PROPER(TRIM([1]raw_orders!U659))</f>
        <v>Completed</v>
      </c>
      <c r="S659" s="5">
        <f>[1]raw_orders!S659</f>
        <v>741.59</v>
      </c>
      <c r="T659" s="5">
        <f t="shared" si="80"/>
        <v>7.4159000000000006</v>
      </c>
      <c r="U659" s="5">
        <f t="shared" si="81"/>
        <v>-16304.405875000002</v>
      </c>
      <c r="V659" s="5">
        <f t="shared" si="82"/>
        <v>-16304.605875000003</v>
      </c>
      <c r="W659" s="5">
        <f t="shared" si="83"/>
        <v>1.0000122666229934</v>
      </c>
      <c r="X659" s="5">
        <f t="shared" si="84"/>
        <v>33</v>
      </c>
      <c r="Y659" s="5">
        <f t="shared" si="85"/>
        <v>7</v>
      </c>
      <c r="Z659" s="5">
        <f t="shared" si="86"/>
        <v>2025</v>
      </c>
      <c r="AA659" t="str">
        <f t="shared" si="87"/>
        <v>Clean</v>
      </c>
    </row>
    <row r="660" spans="1:27" x14ac:dyDescent="0.3">
      <c r="A660" t="str">
        <f>[1]raw_orders!A660</f>
        <v>ORD-2025-10659</v>
      </c>
      <c r="B660" s="4">
        <f>IFERROR(DATEVALUE([1]raw_orders!B660), "Invalid Date")</f>
        <v>45817</v>
      </c>
      <c r="C660" s="4">
        <f>IFERROR(DATEVALUE([1]raw_orders!C660), "Invalid Date")</f>
        <v>45997</v>
      </c>
      <c r="D660" t="str">
        <f>[1]raw_orders!D660</f>
        <v>CUST-9074</v>
      </c>
      <c r="E660" t="str">
        <f>PROPER(TRIM([1]raw_orders!E660))</f>
        <v>Sneha Kapoor</v>
      </c>
      <c r="F660" t="str">
        <f>PROPER(TRIM([1]raw_orders!F660))</f>
        <v>Consumer</v>
      </c>
      <c r="G660" t="str">
        <f>IF(TRIM([1]raw_orders!G660)="","Unknown",PROPER(TRIM([1]raw_orders!G660)))</f>
        <v>Unknown</v>
      </c>
      <c r="H660" t="str">
        <f>PROPER(TRIM([1]raw_orders!H660))</f>
        <v>Bihar</v>
      </c>
      <c r="I660" t="str">
        <f>PROPER(TRIM([1]raw_orders!I660))</f>
        <v>Patna</v>
      </c>
      <c r="J660" t="str">
        <f>PROPER(TRIM([1]raw_orders!J660))</f>
        <v>Office Supplies</v>
      </c>
      <c r="K660" t="str">
        <f>PROPER(TRIM([1]raw_orders!K660))</f>
        <v>Art</v>
      </c>
      <c r="L660" t="str">
        <f>[1]raw_orders!L660</f>
        <v>Eco Art 763</v>
      </c>
      <c r="M660" t="str">
        <f>IF(TRIM([1]raw_orders!M660)="","Unknown",PROPER(TRIM([1]raw_orders!M660)))</f>
        <v>First Class</v>
      </c>
      <c r="N660" s="5">
        <f>[1]raw_orders!N660</f>
        <v>7</v>
      </c>
      <c r="O660" s="5">
        <f>[1]raw_orders!O660</f>
        <v>2852.42</v>
      </c>
      <c r="P660" s="5">
        <f>[1]raw_orders!P660</f>
        <v>0</v>
      </c>
      <c r="Q660" t="str">
        <f>PROPER(TRIM([1]raw_orders!T660))</f>
        <v>Refunded</v>
      </c>
      <c r="R660" t="str">
        <f>PROPER(TRIM([1]raw_orders!U660))</f>
        <v>Cancelled</v>
      </c>
      <c r="S660" s="5">
        <f>[1]raw_orders!S660</f>
        <v>7276.11</v>
      </c>
      <c r="T660" s="5">
        <f t="shared" si="80"/>
        <v>72.761099999999999</v>
      </c>
      <c r="U660" s="5">
        <f t="shared" si="81"/>
        <v>-1432849.5780340002</v>
      </c>
      <c r="V660" s="5">
        <f t="shared" si="82"/>
        <v>-1432849.5780340002</v>
      </c>
      <c r="W660" s="5">
        <f t="shared" si="83"/>
        <v>1</v>
      </c>
      <c r="X660" s="5">
        <f t="shared" si="84"/>
        <v>180</v>
      </c>
      <c r="Y660" s="5">
        <f t="shared" si="85"/>
        <v>6</v>
      </c>
      <c r="Z660" s="5">
        <f t="shared" si="86"/>
        <v>2025</v>
      </c>
      <c r="AA660" t="str">
        <f t="shared" si="87"/>
        <v>Warning</v>
      </c>
    </row>
    <row r="661" spans="1:27" x14ac:dyDescent="0.3">
      <c r="A661" t="str">
        <f>[1]raw_orders!A661</f>
        <v>ORD-2025-10660</v>
      </c>
      <c r="B661" s="4">
        <f>IFERROR(DATEVALUE([1]raw_orders!B661), "Invalid Date")</f>
        <v>45678</v>
      </c>
      <c r="C661" s="4">
        <f>IFERROR(DATEVALUE([1]raw_orders!C661), "Invalid Date")</f>
        <v>45679</v>
      </c>
      <c r="D661" t="str">
        <f>[1]raw_orders!D661</f>
        <v>CUST-8330</v>
      </c>
      <c r="E661" t="str">
        <f>PROPER(TRIM([1]raw_orders!E661))</f>
        <v>Diya Patel</v>
      </c>
      <c r="F661" t="str">
        <f>PROPER(TRIM([1]raw_orders!F661))</f>
        <v>Corporate</v>
      </c>
      <c r="G661" t="str">
        <f>IF(TRIM([1]raw_orders!G661)="","Unknown",PROPER(TRIM([1]raw_orders!G661)))</f>
        <v>South</v>
      </c>
      <c r="H661" t="str">
        <f>PROPER(TRIM([1]raw_orders!H661))</f>
        <v>Karnataka</v>
      </c>
      <c r="I661" t="str">
        <f>PROPER(TRIM([1]raw_orders!I661))</f>
        <v>Bengaluru</v>
      </c>
      <c r="J661" t="str">
        <f>PROPER(TRIM([1]raw_orders!J661))</f>
        <v>Technology</v>
      </c>
      <c r="K661" t="str">
        <f>PROPER(TRIM([1]raw_orders!K661))</f>
        <v>Phones</v>
      </c>
      <c r="L661" t="str">
        <f>[1]raw_orders!L661</f>
        <v>Pro Phones 356</v>
      </c>
      <c r="M661" t="str">
        <f>IF(TRIM([1]raw_orders!M661)="","Unknown",PROPER(TRIM([1]raw_orders!M661)))</f>
        <v>Second Class</v>
      </c>
      <c r="N661" s="5">
        <f>[1]raw_orders!N661</f>
        <v>2</v>
      </c>
      <c r="O661" s="5">
        <f>[1]raw_orders!O661</f>
        <v>444.31</v>
      </c>
      <c r="P661" s="5">
        <f>[1]raw_orders!P661</f>
        <v>0.2</v>
      </c>
      <c r="Q661" t="str">
        <f>PROPER(TRIM([1]raw_orders!T661))</f>
        <v>Refunded</v>
      </c>
      <c r="R661" t="str">
        <f>PROPER(TRIM([1]raw_orders!U661))</f>
        <v>Cancelled</v>
      </c>
      <c r="S661" s="5">
        <f>[1]raw_orders!S661</f>
        <v>197.02</v>
      </c>
      <c r="T661" s="5">
        <f t="shared" si="80"/>
        <v>1.9702000000000002</v>
      </c>
      <c r="U661" s="5">
        <f t="shared" si="81"/>
        <v>-862.13912400000015</v>
      </c>
      <c r="V661" s="5">
        <f t="shared" si="82"/>
        <v>-862.3391240000002</v>
      </c>
      <c r="W661" s="5">
        <f t="shared" si="83"/>
        <v>1.0002319811204856</v>
      </c>
      <c r="X661" s="5">
        <f t="shared" si="84"/>
        <v>1</v>
      </c>
      <c r="Y661" s="5">
        <f t="shared" si="85"/>
        <v>1</v>
      </c>
      <c r="Z661" s="5">
        <f t="shared" si="86"/>
        <v>2025</v>
      </c>
      <c r="AA661" t="str">
        <f t="shared" si="87"/>
        <v>Clean</v>
      </c>
    </row>
    <row r="662" spans="1:27" x14ac:dyDescent="0.3">
      <c r="A662" t="str">
        <f>[1]raw_orders!A662</f>
        <v>ORD-2025-10661</v>
      </c>
      <c r="B662" s="4" t="str">
        <f>IFERROR(DATEVALUE([1]raw_orders!B662), "Invalid Date")</f>
        <v>Invalid Date</v>
      </c>
      <c r="C662" s="4">
        <f>IFERROR(DATEVALUE([1]raw_orders!C662), "Invalid Date")</f>
        <v>45853</v>
      </c>
      <c r="D662" t="str">
        <f>[1]raw_orders!D662</f>
        <v>CUST-5638</v>
      </c>
      <c r="E662" t="str">
        <f>PROPER(TRIM([1]raw_orders!E662))</f>
        <v>Arjun Bose</v>
      </c>
      <c r="F662" t="str">
        <f>PROPER(TRIM([1]raw_orders!F662))</f>
        <v>Small Business</v>
      </c>
      <c r="G662" t="str">
        <f>IF(TRIM([1]raw_orders!G662)="","Unknown",PROPER(TRIM([1]raw_orders!G662)))</f>
        <v>East</v>
      </c>
      <c r="H662" t="str">
        <f>PROPER(TRIM([1]raw_orders!H662))</f>
        <v>Jharkhand</v>
      </c>
      <c r="I662" t="str">
        <f>PROPER(TRIM([1]raw_orders!I662))</f>
        <v>Ranchi</v>
      </c>
      <c r="J662" t="str">
        <f>PROPER(TRIM([1]raw_orders!J662))</f>
        <v>Technology</v>
      </c>
      <c r="K662" t="str">
        <f>PROPER(TRIM([1]raw_orders!K662))</f>
        <v>Phones</v>
      </c>
      <c r="L662" t="str">
        <f>[1]raw_orders!L662</f>
        <v>Basic Phones 865</v>
      </c>
      <c r="M662" t="str">
        <f>IF(TRIM([1]raw_orders!M662)="","Unknown",PROPER(TRIM([1]raw_orders!M662)))</f>
        <v>Same Day</v>
      </c>
      <c r="N662" s="5">
        <f>[1]raw_orders!N662</f>
        <v>4</v>
      </c>
      <c r="O662" s="5">
        <f>[1]raw_orders!O662</f>
        <v>4442.91</v>
      </c>
      <c r="P662" s="5">
        <f>[1]raw_orders!P662</f>
        <v>0.1</v>
      </c>
      <c r="Q662" t="str">
        <f>PROPER(TRIM([1]raw_orders!T662))</f>
        <v>Paid</v>
      </c>
      <c r="R662" t="str">
        <f>PROPER(TRIM([1]raw_orders!U662))</f>
        <v>Completed</v>
      </c>
      <c r="S662" s="5">
        <f>[1]raw_orders!S662</f>
        <v>6770.2</v>
      </c>
      <c r="T662" s="5">
        <f t="shared" si="80"/>
        <v>67.701999999999998</v>
      </c>
      <c r="U662" s="5">
        <f t="shared" si="81"/>
        <v>-1185403.9312799999</v>
      </c>
      <c r="V662" s="5">
        <f t="shared" si="82"/>
        <v>-1185404.03128</v>
      </c>
      <c r="W662" s="5">
        <f t="shared" si="83"/>
        <v>1.0000000843594301</v>
      </c>
      <c r="X662" s="5" t="str">
        <f t="shared" si="84"/>
        <v>Invalid Date</v>
      </c>
      <c r="Y662" s="5" t="e">
        <f t="shared" si="85"/>
        <v>#VALUE!</v>
      </c>
      <c r="Z662" s="5" t="e">
        <f t="shared" si="86"/>
        <v>#VALUE!</v>
      </c>
      <c r="AA662" t="str">
        <f t="shared" si="87"/>
        <v>Clean</v>
      </c>
    </row>
    <row r="663" spans="1:27" x14ac:dyDescent="0.3">
      <c r="A663" t="str">
        <f>[1]raw_orders!A663</f>
        <v>ORD-2024-10662</v>
      </c>
      <c r="B663" s="4">
        <f>IFERROR(DATEVALUE([1]raw_orders!B663), "Invalid Date")</f>
        <v>45429</v>
      </c>
      <c r="C663" s="4">
        <f>IFERROR(DATEVALUE([1]raw_orders!C663), "Invalid Date")</f>
        <v>45434</v>
      </c>
      <c r="D663" t="str">
        <f>[1]raw_orders!D663</f>
        <v>CUST-4537</v>
      </c>
      <c r="E663" t="str">
        <f>PROPER(TRIM([1]raw_orders!E663))</f>
        <v>Sneha Kapoor</v>
      </c>
      <c r="F663" t="str">
        <f>PROPER(TRIM([1]raw_orders!F663))</f>
        <v>Consumer</v>
      </c>
      <c r="G663" t="str">
        <f>IF(TRIM([1]raw_orders!G663)="","Unknown",PROPER(TRIM([1]raw_orders!G663)))</f>
        <v>South</v>
      </c>
      <c r="H663" t="str">
        <f>PROPER(TRIM([1]raw_orders!H663))</f>
        <v>Andhra Pradesh</v>
      </c>
      <c r="I663" t="str">
        <f>PROPER(TRIM([1]raw_orders!I663))</f>
        <v>Vijayawada</v>
      </c>
      <c r="J663" t="str">
        <f>PROPER(TRIM([1]raw_orders!J663))</f>
        <v>Technology</v>
      </c>
      <c r="K663" t="str">
        <f>PROPER(TRIM([1]raw_orders!K663))</f>
        <v>Machines</v>
      </c>
      <c r="L663" t="str">
        <f>[1]raw_orders!L663</f>
        <v>Max Machines 595</v>
      </c>
      <c r="M663" t="str">
        <f>IF(TRIM([1]raw_orders!M663)="","Unknown",PROPER(TRIM([1]raw_orders!M663)))</f>
        <v>Second Class</v>
      </c>
      <c r="N663" s="5">
        <f>[1]raw_orders!N663</f>
        <v>7</v>
      </c>
      <c r="O663" s="5">
        <f>[1]raw_orders!O663</f>
        <v>232.5</v>
      </c>
      <c r="P663" s="5">
        <f>[1]raw_orders!P663</f>
        <v>0</v>
      </c>
      <c r="Q663" t="str">
        <f>PROPER(TRIM([1]raw_orders!T663))</f>
        <v>Paid</v>
      </c>
      <c r="R663" t="str">
        <f>PROPER(TRIM([1]raw_orders!U663))</f>
        <v>Completed</v>
      </c>
      <c r="S663" s="5">
        <f>[1]raw_orders!S663</f>
        <v>687.6</v>
      </c>
      <c r="T663" s="5">
        <f t="shared" si="80"/>
        <v>6.8760000000000003</v>
      </c>
      <c r="U663" s="5">
        <f t="shared" si="81"/>
        <v>-9563.19</v>
      </c>
      <c r="V663" s="5">
        <f t="shared" si="82"/>
        <v>-9563.19</v>
      </c>
      <c r="W663" s="5">
        <f t="shared" si="83"/>
        <v>1</v>
      </c>
      <c r="X663" s="5">
        <f t="shared" si="84"/>
        <v>5</v>
      </c>
      <c r="Y663" s="5">
        <f t="shared" si="85"/>
        <v>5</v>
      </c>
      <c r="Z663" s="5">
        <f t="shared" si="86"/>
        <v>2024</v>
      </c>
      <c r="AA663" t="str">
        <f t="shared" si="87"/>
        <v>Clean</v>
      </c>
    </row>
    <row r="664" spans="1:27" x14ac:dyDescent="0.3">
      <c r="A664" t="str">
        <f>[1]raw_orders!A664</f>
        <v>ORD-2024-10663</v>
      </c>
      <c r="B664" s="4">
        <f>IFERROR(DATEVALUE([1]raw_orders!B664), "Invalid Date")</f>
        <v>45305</v>
      </c>
      <c r="C664" s="4">
        <f>IFERROR(DATEVALUE([1]raw_orders!C664), "Invalid Date")</f>
        <v>45309</v>
      </c>
      <c r="D664" t="str">
        <f>[1]raw_orders!D664</f>
        <v>CUST-3181</v>
      </c>
      <c r="E664" t="str">
        <f>PROPER(TRIM([1]raw_orders!E664))</f>
        <v>Mira Das</v>
      </c>
      <c r="F664" t="str">
        <f>PROPER(TRIM([1]raw_orders!F664))</f>
        <v>Home Office</v>
      </c>
      <c r="G664" t="str">
        <f>IF(TRIM([1]raw_orders!G664)="","Unknown",PROPER(TRIM([1]raw_orders!G664)))</f>
        <v>West</v>
      </c>
      <c r="H664" t="str">
        <f>PROPER(TRIM([1]raw_orders!H664))</f>
        <v>Rajasthan</v>
      </c>
      <c r="I664" t="str">
        <f>PROPER(TRIM([1]raw_orders!I664))</f>
        <v>Udaipur</v>
      </c>
      <c r="J664" t="str">
        <f>PROPER(TRIM([1]raw_orders!J664))</f>
        <v>Technology</v>
      </c>
      <c r="K664" t="str">
        <f>PROPER(TRIM([1]raw_orders!K664))</f>
        <v>Machines</v>
      </c>
      <c r="L664" t="str">
        <f>[1]raw_orders!L664</f>
        <v>Elite Machines 367</v>
      </c>
      <c r="M664" t="str">
        <f>IF(TRIM([1]raw_orders!M664)="","Unknown",PROPER(TRIM([1]raw_orders!M664)))</f>
        <v>Same Day</v>
      </c>
      <c r="N664" s="5">
        <f>[1]raw_orders!N664</f>
        <v>6</v>
      </c>
      <c r="O664" s="5">
        <f>[1]raw_orders!O664</f>
        <v>1784.8</v>
      </c>
      <c r="P664" s="5">
        <f>[1]raw_orders!P664</f>
        <v>0.1</v>
      </c>
      <c r="Q664" t="str">
        <f>PROPER(TRIM([1]raw_orders!T664))</f>
        <v>Paid</v>
      </c>
      <c r="R664" t="str">
        <f>PROPER(TRIM([1]raw_orders!U664))</f>
        <v>Completed</v>
      </c>
      <c r="S664" s="5">
        <f>[1]raw_orders!S664</f>
        <v>2308.63</v>
      </c>
      <c r="T664" s="5">
        <f t="shared" si="80"/>
        <v>23.086300000000001</v>
      </c>
      <c r="U664" s="5">
        <f t="shared" si="81"/>
        <v>-236517.76944</v>
      </c>
      <c r="V664" s="5">
        <f t="shared" si="82"/>
        <v>-236517.86944000001</v>
      </c>
      <c r="W664" s="5">
        <f t="shared" si="83"/>
        <v>1.0000004228012138</v>
      </c>
      <c r="X664" s="5">
        <f t="shared" si="84"/>
        <v>4</v>
      </c>
      <c r="Y664" s="5">
        <f t="shared" si="85"/>
        <v>1</v>
      </c>
      <c r="Z664" s="5">
        <f t="shared" si="86"/>
        <v>2024</v>
      </c>
      <c r="AA664" t="str">
        <f t="shared" si="87"/>
        <v>Clean</v>
      </c>
    </row>
    <row r="665" spans="1:27" x14ac:dyDescent="0.3">
      <c r="A665" t="str">
        <f>[1]raw_orders!A665</f>
        <v>ORD-2024-10664</v>
      </c>
      <c r="B665" s="4">
        <f>IFERROR(DATEVALUE([1]raw_orders!B665), "Invalid Date")</f>
        <v>45327</v>
      </c>
      <c r="C665" s="4">
        <f>IFERROR(DATEVALUE([1]raw_orders!C665), "Invalid Date")</f>
        <v>45420</v>
      </c>
      <c r="D665" t="str">
        <f>[1]raw_orders!D665</f>
        <v>CUST-1015</v>
      </c>
      <c r="E665" t="str">
        <f>PROPER(TRIM([1]raw_orders!E665))</f>
        <v>Rahul Verma</v>
      </c>
      <c r="F665" t="str">
        <f>PROPER(TRIM([1]raw_orders!F665))</f>
        <v>Home Office</v>
      </c>
      <c r="G665" t="str">
        <f>IF(TRIM([1]raw_orders!G665)="","Unknown",PROPER(TRIM([1]raw_orders!G665)))</f>
        <v>East</v>
      </c>
      <c r="H665" t="str">
        <f>PROPER(TRIM([1]raw_orders!H665))</f>
        <v>Jharkhand</v>
      </c>
      <c r="I665" t="str">
        <f>PROPER(TRIM([1]raw_orders!I665))</f>
        <v>Ranchi</v>
      </c>
      <c r="J665" t="str">
        <f>PROPER(TRIM([1]raw_orders!J665))</f>
        <v>Technology</v>
      </c>
      <c r="K665" t="str">
        <f>PROPER(TRIM([1]raw_orders!K665))</f>
        <v>Copiers</v>
      </c>
      <c r="L665" t="str">
        <f>[1]raw_orders!L665</f>
        <v>Basic Copiers 787</v>
      </c>
      <c r="M665" t="str">
        <f>IF(TRIM([1]raw_orders!M665)="","Unknown",PROPER(TRIM([1]raw_orders!M665)))</f>
        <v>Second Class</v>
      </c>
      <c r="N665" s="5">
        <f>[1]raw_orders!N665</f>
        <v>2</v>
      </c>
      <c r="O665" s="5">
        <f>[1]raw_orders!O665</f>
        <v>3185.01</v>
      </c>
      <c r="P665" s="5">
        <f>[1]raw_orders!P665</f>
        <v>-0.24</v>
      </c>
      <c r="Q665" t="str">
        <f>PROPER(TRIM([1]raw_orders!T665))</f>
        <v>Paid</v>
      </c>
      <c r="R665" t="str">
        <f>PROPER(TRIM([1]raw_orders!U665))</f>
        <v>Completed</v>
      </c>
      <c r="S665" s="5">
        <f>[1]raw_orders!S665</f>
        <v>1624.54</v>
      </c>
      <c r="T665" s="5">
        <f t="shared" si="80"/>
        <v>16.2454</v>
      </c>
      <c r="U665" s="5">
        <f t="shared" si="81"/>
        <v>-97113.502908000009</v>
      </c>
      <c r="V665" s="5">
        <f t="shared" si="82"/>
        <v>-97113.262908000004</v>
      </c>
      <c r="W665" s="5">
        <f t="shared" si="83"/>
        <v>0.9999975286649867</v>
      </c>
      <c r="X665" s="5">
        <f t="shared" si="84"/>
        <v>93</v>
      </c>
      <c r="Y665" s="5">
        <f t="shared" si="85"/>
        <v>2</v>
      </c>
      <c r="Z665" s="5">
        <f t="shared" si="86"/>
        <v>2024</v>
      </c>
      <c r="AA665" t="str">
        <f t="shared" si="87"/>
        <v>Clean</v>
      </c>
    </row>
    <row r="666" spans="1:27" x14ac:dyDescent="0.3">
      <c r="A666" t="str">
        <f>[1]raw_orders!A666</f>
        <v>ORD-2024-10665</v>
      </c>
      <c r="B666" s="4">
        <f>IFERROR(DATEVALUE([1]raw_orders!B666), "Invalid Date")</f>
        <v>45633</v>
      </c>
      <c r="C666" s="4">
        <f>IFERROR(DATEVALUE([1]raw_orders!C666), "Invalid Date")</f>
        <v>45636</v>
      </c>
      <c r="D666" t="str">
        <f>[1]raw_orders!D666</f>
        <v>CUST-2709</v>
      </c>
      <c r="E666" t="str">
        <f>PROPER(TRIM([1]raw_orders!E666))</f>
        <v>Mira Das</v>
      </c>
      <c r="F666" t="str">
        <f>PROPER(TRIM([1]raw_orders!F666))</f>
        <v>Home Office</v>
      </c>
      <c r="G666" t="str">
        <f>IF(TRIM([1]raw_orders!G666)="","Unknown",PROPER(TRIM([1]raw_orders!G666)))</f>
        <v>South</v>
      </c>
      <c r="H666" t="str">
        <f>PROPER(TRIM([1]raw_orders!H666))</f>
        <v>Telangana</v>
      </c>
      <c r="I666" t="str">
        <f>PROPER(TRIM([1]raw_orders!I666))</f>
        <v>Hyderabad</v>
      </c>
      <c r="J666" t="str">
        <f>PROPER(TRIM([1]raw_orders!J666))</f>
        <v>Technology</v>
      </c>
      <c r="K666" t="str">
        <f>PROPER(TRIM([1]raw_orders!K666))</f>
        <v>Accessories</v>
      </c>
      <c r="L666" t="str">
        <f>[1]raw_orders!L666</f>
        <v>Max Accessories 903</v>
      </c>
      <c r="M666" t="str">
        <f>IF(TRIM([1]raw_orders!M666)="","Unknown",PROPER(TRIM([1]raw_orders!M666)))</f>
        <v>Standard Class</v>
      </c>
      <c r="N666" s="5">
        <f>[1]raw_orders!N666</f>
        <v>1</v>
      </c>
      <c r="O666" s="5">
        <f>[1]raw_orders!O666</f>
        <v>1908.83</v>
      </c>
      <c r="P666" s="5">
        <f>[1]raw_orders!P666</f>
        <v>0.2</v>
      </c>
      <c r="Q666" t="str">
        <f>PROPER(TRIM([1]raw_orders!T666))</f>
        <v>Paid</v>
      </c>
      <c r="R666" t="str">
        <f>PROPER(TRIM([1]raw_orders!U666))</f>
        <v>Completed</v>
      </c>
      <c r="S666" s="5">
        <f>[1]raw_orders!S666</f>
        <v>471.17</v>
      </c>
      <c r="T666" s="5">
        <f t="shared" si="80"/>
        <v>4.7117000000000004</v>
      </c>
      <c r="U666" s="5">
        <f t="shared" si="81"/>
        <v>-7085.0043110000006</v>
      </c>
      <c r="V666" s="5">
        <f t="shared" si="82"/>
        <v>-7085.2043110000004</v>
      </c>
      <c r="W666" s="5">
        <f t="shared" si="83"/>
        <v>1.0000282286349056</v>
      </c>
      <c r="X666" s="5">
        <f t="shared" si="84"/>
        <v>3</v>
      </c>
      <c r="Y666" s="5">
        <f t="shared" si="85"/>
        <v>12</v>
      </c>
      <c r="Z666" s="5">
        <f t="shared" si="86"/>
        <v>2024</v>
      </c>
      <c r="AA666" t="str">
        <f t="shared" si="87"/>
        <v>Clean</v>
      </c>
    </row>
    <row r="667" spans="1:27" x14ac:dyDescent="0.3">
      <c r="A667" t="str">
        <f>[1]raw_orders!A667</f>
        <v>ORD-2025-10666</v>
      </c>
      <c r="B667" s="4">
        <f>IFERROR(DATEVALUE([1]raw_orders!B667), "Invalid Date")</f>
        <v>45670</v>
      </c>
      <c r="C667" s="4" t="str">
        <f>IFERROR(DATEVALUE([1]raw_orders!C667), "Invalid Date")</f>
        <v>Invalid Date</v>
      </c>
      <c r="D667" t="str">
        <f>[1]raw_orders!D667</f>
        <v>CUST-1197</v>
      </c>
      <c r="E667" t="str">
        <f>PROPER(TRIM([1]raw_orders!E667))</f>
        <v>Rahul Verma</v>
      </c>
      <c r="F667" t="str">
        <f>PROPER(TRIM([1]raw_orders!F667))</f>
        <v>Home Office</v>
      </c>
      <c r="G667" t="str">
        <f>IF(TRIM([1]raw_orders!G667)="","Unknown",PROPER(TRIM([1]raw_orders!G667)))</f>
        <v>West</v>
      </c>
      <c r="H667" t="str">
        <f>PROPER(TRIM([1]raw_orders!H667))</f>
        <v>Gujarat</v>
      </c>
      <c r="I667" t="str">
        <f>PROPER(TRIM([1]raw_orders!I667))</f>
        <v>Ahmedabad</v>
      </c>
      <c r="J667" t="str">
        <f>PROPER(TRIM([1]raw_orders!J667))</f>
        <v>Office Supplies</v>
      </c>
      <c r="K667" t="str">
        <f>PROPER(TRIM([1]raw_orders!K667))</f>
        <v>Art</v>
      </c>
      <c r="L667" t="str">
        <f>[1]raw_orders!L667</f>
        <v>Max Art 660</v>
      </c>
      <c r="M667" t="str">
        <f>IF(TRIM([1]raw_orders!M667)="","Unknown",PROPER(TRIM([1]raw_orders!M667)))</f>
        <v>Standard Class</v>
      </c>
      <c r="N667" s="5">
        <f>[1]raw_orders!N667</f>
        <v>3</v>
      </c>
      <c r="O667" s="5">
        <f>[1]raw_orders!O667</f>
        <v>2110.52</v>
      </c>
      <c r="P667" s="5">
        <f>[1]raw_orders!P667</f>
        <v>0.1</v>
      </c>
      <c r="Q667" t="str">
        <f>PROPER(TRIM([1]raw_orders!T667))</f>
        <v>Failed</v>
      </c>
      <c r="R667" t="str">
        <f>PROPER(TRIM([1]raw_orders!U667))</f>
        <v>Cancelled</v>
      </c>
      <c r="S667" s="5">
        <f>[1]raw_orders!S667</f>
        <v>2057.5100000000002</v>
      </c>
      <c r="T667" s="5">
        <f t="shared" si="80"/>
        <v>20.575100000000003</v>
      </c>
      <c r="U667" s="5">
        <f t="shared" si="81"/>
        <v>-123940.92015600001</v>
      </c>
      <c r="V667" s="5">
        <f t="shared" si="82"/>
        <v>-123941.02015600001</v>
      </c>
      <c r="W667" s="5">
        <f t="shared" si="83"/>
        <v>1.0000008068360302</v>
      </c>
      <c r="X667" s="5" t="str">
        <f t="shared" si="84"/>
        <v>Invalid Date</v>
      </c>
      <c r="Y667" s="5">
        <f t="shared" si="85"/>
        <v>1</v>
      </c>
      <c r="Z667" s="5">
        <f t="shared" si="86"/>
        <v>2025</v>
      </c>
      <c r="AA667" t="str">
        <f t="shared" si="87"/>
        <v>Clean</v>
      </c>
    </row>
    <row r="668" spans="1:27" x14ac:dyDescent="0.3">
      <c r="A668" t="str">
        <f>[1]raw_orders!A668</f>
        <v>ORD-2024-10667</v>
      </c>
      <c r="B668" s="4">
        <f>IFERROR(DATEVALUE([1]raw_orders!B668), "Invalid Date")</f>
        <v>45464</v>
      </c>
      <c r="C668" s="4" t="str">
        <f>IFERROR(DATEVALUE([1]raw_orders!C668), "Invalid Date")</f>
        <v>Invalid Date</v>
      </c>
      <c r="D668" t="str">
        <f>[1]raw_orders!D668</f>
        <v>CUST-7758</v>
      </c>
      <c r="E668" t="str">
        <f>PROPER(TRIM([1]raw_orders!E668))</f>
        <v>Rohan Mehta</v>
      </c>
      <c r="F668" t="str">
        <f>PROPER(TRIM([1]raw_orders!F668))</f>
        <v>Small Business</v>
      </c>
      <c r="G668" t="str">
        <f>IF(TRIM([1]raw_orders!G668)="","Unknown",PROPER(TRIM([1]raw_orders!G668)))</f>
        <v>North</v>
      </c>
      <c r="H668" t="str">
        <f>PROPER(TRIM([1]raw_orders!H668))</f>
        <v>Punjab</v>
      </c>
      <c r="I668" t="str">
        <f>PROPER(TRIM([1]raw_orders!I668))</f>
        <v>Ludhiana</v>
      </c>
      <c r="J668" t="str">
        <f>PROPER(TRIM([1]raw_orders!J668))</f>
        <v>Technology</v>
      </c>
      <c r="K668" t="str">
        <f>PROPER(TRIM([1]raw_orders!K668))</f>
        <v>Copiers</v>
      </c>
      <c r="L668" t="str">
        <f>[1]raw_orders!L668</f>
        <v>Classic Copiers 908</v>
      </c>
      <c r="M668" t="str">
        <f>IF(TRIM([1]raw_orders!M668)="","Unknown",PROPER(TRIM([1]raw_orders!M668)))</f>
        <v>Same Day</v>
      </c>
      <c r="N668" s="5">
        <f>[1]raw_orders!N668</f>
        <v>1</v>
      </c>
      <c r="O668" s="5">
        <f>[1]raw_orders!O668</f>
        <v>279.83</v>
      </c>
      <c r="P668" s="5">
        <f>[1]raw_orders!P668</f>
        <v>0.05</v>
      </c>
      <c r="Q668" t="str">
        <f>PROPER(TRIM([1]raw_orders!T668))</f>
        <v>Paid</v>
      </c>
      <c r="R668" t="str">
        <f>PROPER(TRIM([1]raw_orders!U668))</f>
        <v>Completed</v>
      </c>
      <c r="S668" s="5">
        <f>[1]raw_orders!S668</f>
        <v>42.35</v>
      </c>
      <c r="T668" s="5">
        <f t="shared" si="80"/>
        <v>0.42349999999999999</v>
      </c>
      <c r="U668" s="5">
        <f t="shared" si="81"/>
        <v>161.32199499999999</v>
      </c>
      <c r="V668" s="5">
        <f t="shared" si="82"/>
        <v>161.27199499999998</v>
      </c>
      <c r="W668" s="5">
        <f t="shared" si="83"/>
        <v>0.99969006086243839</v>
      </c>
      <c r="X668" s="5" t="str">
        <f t="shared" si="84"/>
        <v>Invalid Date</v>
      </c>
      <c r="Y668" s="5">
        <f t="shared" si="85"/>
        <v>6</v>
      </c>
      <c r="Z668" s="5">
        <f t="shared" si="86"/>
        <v>2024</v>
      </c>
      <c r="AA668" t="str">
        <f t="shared" si="87"/>
        <v>Clean</v>
      </c>
    </row>
    <row r="669" spans="1:27" x14ac:dyDescent="0.3">
      <c r="A669" t="str">
        <f>[1]raw_orders!A669</f>
        <v>ORD-2025-10668</v>
      </c>
      <c r="B669" s="4">
        <f>IFERROR(DATEVALUE([1]raw_orders!B669), "Invalid Date")</f>
        <v>45797</v>
      </c>
      <c r="C669" s="4">
        <f>IFERROR(DATEVALUE([1]raw_orders!C669), "Invalid Date")</f>
        <v>45804</v>
      </c>
      <c r="D669" t="str">
        <f>[1]raw_orders!D669</f>
        <v>CUST-3912</v>
      </c>
      <c r="E669" t="str">
        <f>PROPER(TRIM([1]raw_orders!E669))</f>
        <v>Diya Patel</v>
      </c>
      <c r="F669" t="str">
        <f>PROPER(TRIM([1]raw_orders!F669))</f>
        <v>Small Business</v>
      </c>
      <c r="G669" t="str">
        <f>IF(TRIM([1]raw_orders!G669)="","Unknown",PROPER(TRIM([1]raw_orders!G669)))</f>
        <v>East</v>
      </c>
      <c r="H669" t="str">
        <f>PROPER(TRIM([1]raw_orders!H669))</f>
        <v>Bihar</v>
      </c>
      <c r="I669" t="str">
        <f>PROPER(TRIM([1]raw_orders!I669))</f>
        <v>Patna</v>
      </c>
      <c r="J669" t="str">
        <f>PROPER(TRIM([1]raw_orders!J669))</f>
        <v>Technology</v>
      </c>
      <c r="K669" t="str">
        <f>PROPER(TRIM([1]raw_orders!K669))</f>
        <v>Machines</v>
      </c>
      <c r="L669" t="str">
        <f>[1]raw_orders!L669</f>
        <v>Pro Machines 706</v>
      </c>
      <c r="M669" t="str">
        <f>IF(TRIM([1]raw_orders!M669)="","Unknown",PROPER(TRIM([1]raw_orders!M669)))</f>
        <v>Standard Class</v>
      </c>
      <c r="N669" s="5">
        <f>[1]raw_orders!N669</f>
        <v>1</v>
      </c>
      <c r="O669" s="5">
        <f>[1]raw_orders!O669</f>
        <v>3959.14</v>
      </c>
      <c r="P669" s="5">
        <f>[1]raw_orders!P669</f>
        <v>0</v>
      </c>
      <c r="Q669" t="str">
        <f>PROPER(TRIM([1]raw_orders!T669))</f>
        <v>Pending</v>
      </c>
      <c r="R669" t="str">
        <f>PROPER(TRIM([1]raw_orders!U669))</f>
        <v>Returned</v>
      </c>
      <c r="S669" s="5">
        <f>[1]raw_orders!S669</f>
        <v>719.61</v>
      </c>
      <c r="T669" s="5">
        <f t="shared" si="80"/>
        <v>7.1961000000000004</v>
      </c>
      <c r="U669" s="5">
        <f t="shared" si="81"/>
        <v>-24531.227354000002</v>
      </c>
      <c r="V669" s="5">
        <f t="shared" si="82"/>
        <v>-24531.227354000002</v>
      </c>
      <c r="W669" s="5">
        <f t="shared" si="83"/>
        <v>1</v>
      </c>
      <c r="X669" s="5">
        <f t="shared" si="84"/>
        <v>7</v>
      </c>
      <c r="Y669" s="5">
        <f t="shared" si="85"/>
        <v>5</v>
      </c>
      <c r="Z669" s="5">
        <f t="shared" si="86"/>
        <v>2025</v>
      </c>
      <c r="AA669" t="str">
        <f t="shared" si="87"/>
        <v>Clean</v>
      </c>
    </row>
    <row r="670" spans="1:27" x14ac:dyDescent="0.3">
      <c r="A670" t="str">
        <f>[1]raw_orders!A670</f>
        <v>ORD-2024-10669</v>
      </c>
      <c r="B670" s="4" t="str">
        <f>IFERROR(DATEVALUE([1]raw_orders!B670), "Invalid Date")</f>
        <v>Invalid Date</v>
      </c>
      <c r="C670" s="4">
        <f>IFERROR(DATEVALUE([1]raw_orders!C670), "Invalid Date")</f>
        <v>45619</v>
      </c>
      <c r="D670" t="str">
        <f>[1]raw_orders!D670</f>
        <v>CUST-4190</v>
      </c>
      <c r="E670" t="str">
        <f>PROPER(TRIM([1]raw_orders!E670))</f>
        <v>Mira Das</v>
      </c>
      <c r="F670" t="str">
        <f>PROPER(TRIM([1]raw_orders!F670))</f>
        <v>Corporate</v>
      </c>
      <c r="G670" t="str">
        <f>IF(TRIM([1]raw_orders!G670)="","Unknown",PROPER(TRIM([1]raw_orders!G670)))</f>
        <v>West</v>
      </c>
      <c r="H670" t="str">
        <f>PROPER(TRIM([1]raw_orders!H670))</f>
        <v>Gujarat</v>
      </c>
      <c r="I670" t="str">
        <f>PROPER(TRIM([1]raw_orders!I670))</f>
        <v>Ahmedabad</v>
      </c>
      <c r="J670" t="str">
        <f>PROPER(TRIM([1]raw_orders!J670))</f>
        <v>Office Supplies</v>
      </c>
      <c r="K670" t="str">
        <f>PROPER(TRIM([1]raw_orders!K670))</f>
        <v>Paper</v>
      </c>
      <c r="L670" t="str">
        <f>[1]raw_orders!L670</f>
        <v>Pro Paper 187</v>
      </c>
      <c r="M670" t="str">
        <f>IF(TRIM([1]raw_orders!M670)="","Unknown",PROPER(TRIM([1]raw_orders!M670)))</f>
        <v>Second Class</v>
      </c>
      <c r="N670" s="5">
        <f>[1]raw_orders!N670</f>
        <v>5</v>
      </c>
      <c r="O670" s="5">
        <f>[1]raw_orders!O670</f>
        <v>600.46</v>
      </c>
      <c r="P670" s="5">
        <f>[1]raw_orders!P670</f>
        <v>0.2</v>
      </c>
      <c r="Q670" t="str">
        <f>PROPER(TRIM([1]raw_orders!T670))</f>
        <v>Paid</v>
      </c>
      <c r="R670" t="str">
        <f>PROPER(TRIM([1]raw_orders!U670))</f>
        <v>Completed</v>
      </c>
      <c r="S670" s="5">
        <f>[1]raw_orders!S670</f>
        <v>528.73</v>
      </c>
      <c r="T670" s="5">
        <f t="shared" si="80"/>
        <v>5.2873000000000001</v>
      </c>
      <c r="U670" s="5">
        <f t="shared" si="81"/>
        <v>-12871.76079</v>
      </c>
      <c r="V670" s="5">
        <f t="shared" si="82"/>
        <v>-12871.960790000001</v>
      </c>
      <c r="W670" s="5">
        <f t="shared" si="83"/>
        <v>1.0000155378897466</v>
      </c>
      <c r="X670" s="5" t="str">
        <f t="shared" si="84"/>
        <v>Invalid Date</v>
      </c>
      <c r="Y670" s="5" t="e">
        <f t="shared" si="85"/>
        <v>#VALUE!</v>
      </c>
      <c r="Z670" s="5" t="e">
        <f t="shared" si="86"/>
        <v>#VALUE!</v>
      </c>
      <c r="AA670" t="str">
        <f t="shared" si="87"/>
        <v>Clean</v>
      </c>
    </row>
    <row r="671" spans="1:27" x14ac:dyDescent="0.3">
      <c r="A671" t="str">
        <f>[1]raw_orders!A671</f>
        <v>ORD-2024-10670</v>
      </c>
      <c r="B671" s="4">
        <f>IFERROR(DATEVALUE([1]raw_orders!B671), "Invalid Date")</f>
        <v>45375</v>
      </c>
      <c r="C671" s="4">
        <f>IFERROR(DATEVALUE([1]raw_orders!C671), "Invalid Date")</f>
        <v>45383</v>
      </c>
      <c r="D671" t="str">
        <f>[1]raw_orders!D671</f>
        <v>CUST-7568</v>
      </c>
      <c r="E671" t="str">
        <f>PROPER(TRIM([1]raw_orders!E671))</f>
        <v>Ananya Rao</v>
      </c>
      <c r="F671" t="str">
        <f>PROPER(TRIM([1]raw_orders!F671))</f>
        <v>Home Office</v>
      </c>
      <c r="G671" t="str">
        <f>IF(TRIM([1]raw_orders!G671)="","Unknown",PROPER(TRIM([1]raw_orders!G671)))</f>
        <v>West</v>
      </c>
      <c r="H671" t="str">
        <f>PROPER(TRIM([1]raw_orders!H671))</f>
        <v>Maharashtra</v>
      </c>
      <c r="I671" t="str">
        <f>PROPER(TRIM([1]raw_orders!I671))</f>
        <v>Mumbai</v>
      </c>
      <c r="J671" t="str">
        <f>PROPER(TRIM([1]raw_orders!J671))</f>
        <v>Furniture</v>
      </c>
      <c r="K671" t="str">
        <f>PROPER(TRIM([1]raw_orders!K671))</f>
        <v>Tables</v>
      </c>
      <c r="L671" t="str">
        <f>[1]raw_orders!L671</f>
        <v>Classic Tables 606</v>
      </c>
      <c r="M671" t="str">
        <f>IF(TRIM([1]raw_orders!M671)="","Unknown",PROPER(TRIM([1]raw_orders!M671)))</f>
        <v>Second Class</v>
      </c>
      <c r="N671" s="5">
        <f>[1]raw_orders!N671</f>
        <v>4</v>
      </c>
      <c r="O671" s="5">
        <f>[1]raw_orders!O671</f>
        <v>1700.72</v>
      </c>
      <c r="P671" s="5">
        <f>[1]raw_orders!P671</f>
        <v>0.25</v>
      </c>
      <c r="Q671" t="str">
        <f>PROPER(TRIM([1]raw_orders!T671))</f>
        <v>Paid</v>
      </c>
      <c r="R671" t="str">
        <f>PROPER(TRIM([1]raw_orders!U671))</f>
        <v>Completed</v>
      </c>
      <c r="S671" s="5">
        <f>[1]raw_orders!S671</f>
        <v>1875.71</v>
      </c>
      <c r="T671" s="5">
        <f t="shared" si="80"/>
        <v>18.757100000000001</v>
      </c>
      <c r="U671" s="5">
        <f t="shared" si="81"/>
        <v>-120799.420448</v>
      </c>
      <c r="V671" s="5">
        <f t="shared" si="82"/>
        <v>-120799.670448</v>
      </c>
      <c r="W671" s="5">
        <f t="shared" si="83"/>
        <v>1.0000020695463527</v>
      </c>
      <c r="X671" s="5">
        <f t="shared" si="84"/>
        <v>8</v>
      </c>
      <c r="Y671" s="5">
        <f t="shared" si="85"/>
        <v>3</v>
      </c>
      <c r="Z671" s="5">
        <f t="shared" si="86"/>
        <v>2024</v>
      </c>
      <c r="AA671" t="str">
        <f t="shared" si="87"/>
        <v>Clean</v>
      </c>
    </row>
    <row r="672" spans="1:27" x14ac:dyDescent="0.3">
      <c r="A672" t="str">
        <f>[1]raw_orders!A672</f>
        <v>ORD-2025-10671</v>
      </c>
      <c r="B672" s="4">
        <f>IFERROR(DATEVALUE([1]raw_orders!B672), "Invalid Date")</f>
        <v>45690</v>
      </c>
      <c r="C672" s="4">
        <f>IFERROR(DATEVALUE([1]raw_orders!C672), "Invalid Date")</f>
        <v>45694</v>
      </c>
      <c r="D672" t="str">
        <f>[1]raw_orders!D672</f>
        <v>CUST-5604</v>
      </c>
      <c r="E672" t="str">
        <f>PROPER(TRIM([1]raw_orders!E672))</f>
        <v>Sneha Kapoor</v>
      </c>
      <c r="F672" t="str">
        <f>PROPER(TRIM([1]raw_orders!F672))</f>
        <v>Corporate</v>
      </c>
      <c r="G672" t="str">
        <f>IF(TRIM([1]raw_orders!G672)="","Unknown",PROPER(TRIM([1]raw_orders!G672)))</f>
        <v>North</v>
      </c>
      <c r="H672" t="str">
        <f>PROPER(TRIM([1]raw_orders!H672))</f>
        <v>Uttar Pradesh</v>
      </c>
      <c r="I672" t="str">
        <f>PROPER(TRIM([1]raw_orders!I672))</f>
        <v>Noida</v>
      </c>
      <c r="J672" t="str">
        <f>PROPER(TRIM([1]raw_orders!J672))</f>
        <v>Furniture</v>
      </c>
      <c r="K672" t="str">
        <f>PROPER(TRIM([1]raw_orders!K672))</f>
        <v>Tables</v>
      </c>
      <c r="L672" t="str">
        <f>[1]raw_orders!L672</f>
        <v>Smart Tables 835</v>
      </c>
      <c r="M672" t="str">
        <f>IF(TRIM([1]raw_orders!M672)="","Unknown",PROPER(TRIM([1]raw_orders!M672)))</f>
        <v>Standard Class</v>
      </c>
      <c r="N672" s="5">
        <f>[1]raw_orders!N672</f>
        <v>8</v>
      </c>
      <c r="O672" s="5">
        <f>[1]raw_orders!O672</f>
        <v>857.86</v>
      </c>
      <c r="P672" s="5">
        <f>[1]raw_orders!P672</f>
        <v>0.1</v>
      </c>
      <c r="Q672" t="str">
        <f>PROPER(TRIM([1]raw_orders!T672))</f>
        <v>Paid</v>
      </c>
      <c r="R672" t="str">
        <f>PROPER(TRIM([1]raw_orders!U672))</f>
        <v>Completed</v>
      </c>
      <c r="S672" s="5">
        <f>[1]raw_orders!S672</f>
        <v>2615.63</v>
      </c>
      <c r="T672" s="5">
        <f t="shared" si="80"/>
        <v>26.156300000000002</v>
      </c>
      <c r="U672" s="5">
        <f t="shared" si="81"/>
        <v>-172644.66814400002</v>
      </c>
      <c r="V672" s="5">
        <f t="shared" si="82"/>
        <v>-172644.76814400003</v>
      </c>
      <c r="W672" s="5">
        <f t="shared" si="83"/>
        <v>1.0000005792243749</v>
      </c>
      <c r="X672" s="5">
        <f t="shared" si="84"/>
        <v>4</v>
      </c>
      <c r="Y672" s="5">
        <f t="shared" si="85"/>
        <v>2</v>
      </c>
      <c r="Z672" s="5">
        <f t="shared" si="86"/>
        <v>2025</v>
      </c>
      <c r="AA672" t="str">
        <f t="shared" si="87"/>
        <v>Clean</v>
      </c>
    </row>
    <row r="673" spans="1:27" x14ac:dyDescent="0.3">
      <c r="A673" t="str">
        <f>[1]raw_orders!A673</f>
        <v>ORD-2024-10672</v>
      </c>
      <c r="B673" s="4">
        <f>IFERROR(DATEVALUE([1]raw_orders!B673), "Invalid Date")</f>
        <v>45373</v>
      </c>
      <c r="C673" s="4">
        <f>IFERROR(DATEVALUE([1]raw_orders!C673), "Invalid Date")</f>
        <v>45378</v>
      </c>
      <c r="D673" t="str">
        <f>[1]raw_orders!D673</f>
        <v>CUST-3293</v>
      </c>
      <c r="E673" t="str">
        <f>PROPER(TRIM([1]raw_orders!E673))</f>
        <v>Aditi Sen</v>
      </c>
      <c r="F673" t="str">
        <f>PROPER(TRIM([1]raw_orders!F673))</f>
        <v>Home Office</v>
      </c>
      <c r="G673" t="str">
        <f>IF(TRIM([1]raw_orders!G673)="","Unknown",PROPER(TRIM([1]raw_orders!G673)))</f>
        <v>West</v>
      </c>
      <c r="H673" t="str">
        <f>PROPER(TRIM([1]raw_orders!H673))</f>
        <v>Goa</v>
      </c>
      <c r="I673" t="str">
        <f>PROPER(TRIM([1]raw_orders!I673))</f>
        <v>Panaji</v>
      </c>
      <c r="J673" t="str">
        <f>PROPER(TRIM([1]raw_orders!J673))</f>
        <v>Technology</v>
      </c>
      <c r="K673" t="str">
        <f>PROPER(TRIM([1]raw_orders!K673))</f>
        <v>Copiers</v>
      </c>
      <c r="L673" t="str">
        <f>[1]raw_orders!L673</f>
        <v>Classic Copiers 583</v>
      </c>
      <c r="M673" t="str">
        <f>IF(TRIM([1]raw_orders!M673)="","Unknown",PROPER(TRIM([1]raw_orders!M673)))</f>
        <v>Second Class</v>
      </c>
      <c r="N673" s="5">
        <f>[1]raw_orders!N673</f>
        <v>9</v>
      </c>
      <c r="O673" s="5">
        <f>[1]raw_orders!O673</f>
        <v>3649.51</v>
      </c>
      <c r="P673" s="5">
        <f>[1]raw_orders!P673</f>
        <v>0.05</v>
      </c>
      <c r="Q673" t="str">
        <f>PROPER(TRIM([1]raw_orders!T673))</f>
        <v>Paid</v>
      </c>
      <c r="R673" t="str">
        <f>PROPER(TRIM([1]raw_orders!U673))</f>
        <v>Completed</v>
      </c>
      <c r="S673" s="5">
        <f>[1]raw_orders!S673</f>
        <v>13465.18</v>
      </c>
      <c r="T673" s="5">
        <f t="shared" si="80"/>
        <v>134.65180000000001</v>
      </c>
      <c r="U673" s="5">
        <f t="shared" si="81"/>
        <v>-4389872.2255620006</v>
      </c>
      <c r="V673" s="5">
        <f t="shared" si="82"/>
        <v>-4389872.2755620005</v>
      </c>
      <c r="W673" s="5">
        <f t="shared" si="83"/>
        <v>1.0000000113898531</v>
      </c>
      <c r="X673" s="5">
        <f t="shared" si="84"/>
        <v>5</v>
      </c>
      <c r="Y673" s="5">
        <f t="shared" si="85"/>
        <v>3</v>
      </c>
      <c r="Z673" s="5">
        <f t="shared" si="86"/>
        <v>2024</v>
      </c>
      <c r="AA673" t="str">
        <f t="shared" si="87"/>
        <v>Clean</v>
      </c>
    </row>
    <row r="674" spans="1:27" x14ac:dyDescent="0.3">
      <c r="A674" t="str">
        <f>[1]raw_orders!A674</f>
        <v>ORD-2024-10673</v>
      </c>
      <c r="B674" s="4">
        <f>IFERROR(DATEVALUE([1]raw_orders!B674), "Invalid Date")</f>
        <v>45539</v>
      </c>
      <c r="C674" s="4">
        <f>IFERROR(DATEVALUE([1]raw_orders!C674), "Invalid Date")</f>
        <v>45540</v>
      </c>
      <c r="D674" t="str">
        <f>[1]raw_orders!D674</f>
        <v>CUST-8180</v>
      </c>
      <c r="E674" t="str">
        <f>PROPER(TRIM([1]raw_orders!E674))</f>
        <v>Aditi Sen</v>
      </c>
      <c r="F674" t="str">
        <f>PROPER(TRIM([1]raw_orders!F674))</f>
        <v>Corporate</v>
      </c>
      <c r="G674" t="str">
        <f>IF(TRIM([1]raw_orders!G674)="","Unknown",PROPER(TRIM([1]raw_orders!G674)))</f>
        <v>West</v>
      </c>
      <c r="H674" t="str">
        <f>PROPER(TRIM([1]raw_orders!H674))</f>
        <v>Madhya Pradesh</v>
      </c>
      <c r="I674" t="str">
        <f>PROPER(TRIM([1]raw_orders!I674))</f>
        <v>Indore</v>
      </c>
      <c r="J674" t="str">
        <f>PROPER(TRIM([1]raw_orders!J674))</f>
        <v>Furniture</v>
      </c>
      <c r="K674" t="str">
        <f>PROPER(TRIM([1]raw_orders!K674))</f>
        <v>Chairs</v>
      </c>
      <c r="L674" t="str">
        <f>[1]raw_orders!L674</f>
        <v>Classic Chairs 460</v>
      </c>
      <c r="M674" t="str">
        <f>IF(TRIM([1]raw_orders!M674)="","Unknown",PROPER(TRIM([1]raw_orders!M674)))</f>
        <v>Standard Class</v>
      </c>
      <c r="N674" s="5">
        <f>[1]raw_orders!N674</f>
        <v>5</v>
      </c>
      <c r="O674" s="5">
        <f>[1]raw_orders!O674</f>
        <v>2528.5300000000002</v>
      </c>
      <c r="P674" s="5">
        <f>[1]raw_orders!P674</f>
        <v>0.05</v>
      </c>
      <c r="Q674" t="str">
        <f>PROPER(TRIM([1]raw_orders!T674))</f>
        <v>Paid</v>
      </c>
      <c r="R674" t="str">
        <f>PROPER(TRIM([1]raw_orders!U674))</f>
        <v>Returned</v>
      </c>
      <c r="S674" s="5">
        <f>[1]raw_orders!S674</f>
        <v>4145.91</v>
      </c>
      <c r="T674" s="5">
        <f t="shared" si="80"/>
        <v>41.459099999999999</v>
      </c>
      <c r="U674" s="5">
        <f t="shared" si="81"/>
        <v>-511510.24061500008</v>
      </c>
      <c r="V674" s="5">
        <f t="shared" si="82"/>
        <v>-511510.29061500006</v>
      </c>
      <c r="W674" s="5">
        <f t="shared" si="83"/>
        <v>1.0000000977497536</v>
      </c>
      <c r="X674" s="5">
        <f t="shared" si="84"/>
        <v>1</v>
      </c>
      <c r="Y674" s="5">
        <f t="shared" si="85"/>
        <v>9</v>
      </c>
      <c r="Z674" s="5">
        <f t="shared" si="86"/>
        <v>2024</v>
      </c>
      <c r="AA674" t="str">
        <f t="shared" si="87"/>
        <v>Clean</v>
      </c>
    </row>
    <row r="675" spans="1:27" x14ac:dyDescent="0.3">
      <c r="A675" t="str">
        <f>[1]raw_orders!A675</f>
        <v>ORD-2025-10674</v>
      </c>
      <c r="B675" s="4">
        <f>IFERROR(DATEVALUE([1]raw_orders!B675), "Invalid Date")</f>
        <v>45701</v>
      </c>
      <c r="C675" s="4">
        <f>IFERROR(DATEVALUE([1]raw_orders!C675), "Invalid Date")</f>
        <v>45704</v>
      </c>
      <c r="D675" t="str">
        <f>[1]raw_orders!D675</f>
        <v>CUST-2807</v>
      </c>
      <c r="E675" t="str">
        <f>PROPER(TRIM([1]raw_orders!E675))</f>
        <v>Arjun Bose</v>
      </c>
      <c r="F675" t="str">
        <f>PROPER(TRIM([1]raw_orders!F675))</f>
        <v>Small Business</v>
      </c>
      <c r="G675" t="str">
        <f>IF(TRIM([1]raw_orders!G675)="","Unknown",PROPER(TRIM([1]raw_orders!G675)))</f>
        <v>West</v>
      </c>
      <c r="H675" t="str">
        <f>PROPER(TRIM([1]raw_orders!H675))</f>
        <v>Rajasthan</v>
      </c>
      <c r="I675" t="str">
        <f>PROPER(TRIM([1]raw_orders!I675))</f>
        <v>Udaipur</v>
      </c>
      <c r="J675" t="str">
        <f>PROPER(TRIM([1]raw_orders!J675))</f>
        <v>Furniture</v>
      </c>
      <c r="K675" t="str">
        <f>PROPER(TRIM([1]raw_orders!K675))</f>
        <v>Bookcases</v>
      </c>
      <c r="L675" t="str">
        <f>[1]raw_orders!L675</f>
        <v>Classic Bookcases 488</v>
      </c>
      <c r="M675" t="str">
        <f>IF(TRIM([1]raw_orders!M675)="","Unknown",PROPER(TRIM([1]raw_orders!M675)))</f>
        <v>Second Class</v>
      </c>
      <c r="N675" s="5">
        <f>[1]raw_orders!N675</f>
        <v>4</v>
      </c>
      <c r="O675" s="5">
        <f>[1]raw_orders!O675</f>
        <v>4072.9</v>
      </c>
      <c r="P675" s="5">
        <f>[1]raw_orders!P675</f>
        <v>0.15</v>
      </c>
      <c r="Q675" t="str">
        <f>PROPER(TRIM([1]raw_orders!T675))</f>
        <v>Paid</v>
      </c>
      <c r="R675" t="str">
        <f>PROPER(TRIM([1]raw_orders!U675))</f>
        <v>Completed</v>
      </c>
      <c r="S675" s="5">
        <f>[1]raw_orders!S675</f>
        <v>5376.08</v>
      </c>
      <c r="T675" s="5">
        <f t="shared" si="80"/>
        <v>53.760799999999996</v>
      </c>
      <c r="U675" s="5">
        <f t="shared" si="81"/>
        <v>-859557.84927999997</v>
      </c>
      <c r="V675" s="5">
        <f t="shared" si="82"/>
        <v>-859557.99927999999</v>
      </c>
      <c r="W675" s="5">
        <f t="shared" si="83"/>
        <v>1.0000001745083245</v>
      </c>
      <c r="X675" s="5">
        <f t="shared" si="84"/>
        <v>3</v>
      </c>
      <c r="Y675" s="5">
        <f t="shared" si="85"/>
        <v>2</v>
      </c>
      <c r="Z675" s="5">
        <f t="shared" si="86"/>
        <v>2025</v>
      </c>
      <c r="AA675" t="str">
        <f t="shared" si="87"/>
        <v>Clean</v>
      </c>
    </row>
    <row r="676" spans="1:27" x14ac:dyDescent="0.3">
      <c r="A676" t="str">
        <f>[1]raw_orders!A676</f>
        <v>ORD-2024-10675</v>
      </c>
      <c r="B676" s="4">
        <f>IFERROR(DATEVALUE([1]raw_orders!B676), "Invalid Date")</f>
        <v>45430</v>
      </c>
      <c r="C676" s="4">
        <f>IFERROR(DATEVALUE([1]raw_orders!C676), "Invalid Date")</f>
        <v>45433</v>
      </c>
      <c r="D676" t="str">
        <f>[1]raw_orders!D676</f>
        <v>CUST-4081</v>
      </c>
      <c r="E676" t="str">
        <f>PROPER(TRIM([1]raw_orders!E676))</f>
        <v>Vikram Iyer</v>
      </c>
      <c r="F676" t="str">
        <f>PROPER(TRIM([1]raw_orders!F676))</f>
        <v>Corporate</v>
      </c>
      <c r="G676" t="str">
        <f>IF(TRIM([1]raw_orders!G676)="","Unknown",PROPER(TRIM([1]raw_orders!G676)))</f>
        <v>East</v>
      </c>
      <c r="H676" t="str">
        <f>PROPER(TRIM([1]raw_orders!H676))</f>
        <v>Jharkhand</v>
      </c>
      <c r="I676" t="str">
        <f>PROPER(TRIM([1]raw_orders!I676))</f>
        <v>Ranchi</v>
      </c>
      <c r="J676" t="str">
        <f>PROPER(TRIM([1]raw_orders!J676))</f>
        <v>Technology</v>
      </c>
      <c r="K676" t="str">
        <f>PROPER(TRIM([1]raw_orders!K676))</f>
        <v>Accessories</v>
      </c>
      <c r="L676" t="str">
        <f>[1]raw_orders!L676</f>
        <v>Basic Accessories 944</v>
      </c>
      <c r="M676" t="str">
        <f>IF(TRIM([1]raw_orders!M676)="","Unknown",PROPER(TRIM([1]raw_orders!M676)))</f>
        <v>Second Class</v>
      </c>
      <c r="N676" s="5">
        <f>[1]raw_orders!N676</f>
        <v>1</v>
      </c>
      <c r="O676" s="5">
        <f>[1]raw_orders!O676</f>
        <v>1033.71</v>
      </c>
      <c r="P676" s="5">
        <f>[1]raw_orders!P676</f>
        <v>0</v>
      </c>
      <c r="Q676" t="str">
        <f>PROPER(TRIM([1]raw_orders!T676))</f>
        <v>Pending</v>
      </c>
      <c r="R676" t="str">
        <f>PROPER(TRIM([1]raw_orders!U676))</f>
        <v>Returned</v>
      </c>
      <c r="S676" s="5">
        <f>[1]raw_orders!S676</f>
        <v>402.89</v>
      </c>
      <c r="T676" s="5">
        <f t="shared" si="80"/>
        <v>4.0289000000000001</v>
      </c>
      <c r="U676" s="5">
        <f t="shared" si="81"/>
        <v>-3131.0042190000004</v>
      </c>
      <c r="V676" s="5">
        <f t="shared" si="82"/>
        <v>-3131.0042190000004</v>
      </c>
      <c r="W676" s="5">
        <f t="shared" si="83"/>
        <v>1</v>
      </c>
      <c r="X676" s="5">
        <f t="shared" si="84"/>
        <v>3</v>
      </c>
      <c r="Y676" s="5">
        <f t="shared" si="85"/>
        <v>5</v>
      </c>
      <c r="Z676" s="5">
        <f t="shared" si="86"/>
        <v>2024</v>
      </c>
      <c r="AA676" t="str">
        <f t="shared" si="87"/>
        <v>Clean</v>
      </c>
    </row>
    <row r="677" spans="1:27" x14ac:dyDescent="0.3">
      <c r="A677" t="str">
        <f>[1]raw_orders!A677</f>
        <v>ORD-2025-10676</v>
      </c>
      <c r="B677" s="4">
        <f>IFERROR(DATEVALUE([1]raw_orders!B677), "Invalid Date")</f>
        <v>45815</v>
      </c>
      <c r="C677" s="4">
        <f>IFERROR(DATEVALUE([1]raw_orders!C677), "Invalid Date")</f>
        <v>45936</v>
      </c>
      <c r="D677" t="str">
        <f>[1]raw_orders!D677</f>
        <v>CUST-5061</v>
      </c>
      <c r="E677" t="str">
        <f>PROPER(TRIM([1]raw_orders!E677))</f>
        <v>Aarav Sharma</v>
      </c>
      <c r="F677" t="str">
        <f>PROPER(TRIM([1]raw_orders!F677))</f>
        <v>Consumer</v>
      </c>
      <c r="G677" t="str">
        <f>IF(TRIM([1]raw_orders!G677)="","Unknown",PROPER(TRIM([1]raw_orders!G677)))</f>
        <v>North</v>
      </c>
      <c r="H677" t="str">
        <f>PROPER(TRIM([1]raw_orders!H677))</f>
        <v>Rajasthan</v>
      </c>
      <c r="I677" t="str">
        <f>PROPER(TRIM([1]raw_orders!I677))</f>
        <v>Jaipur</v>
      </c>
      <c r="J677" t="str">
        <f>PROPER(TRIM([1]raw_orders!J677))</f>
        <v>Furniture</v>
      </c>
      <c r="K677" t="str">
        <f>PROPER(TRIM([1]raw_orders!K677))</f>
        <v>Furnishings</v>
      </c>
      <c r="L677" t="str">
        <f>[1]raw_orders!L677</f>
        <v>Eco Furnishings 217</v>
      </c>
      <c r="M677" t="str">
        <f>IF(TRIM([1]raw_orders!M677)="","Unknown",PROPER(TRIM([1]raw_orders!M677)))</f>
        <v>Same Day</v>
      </c>
      <c r="N677" s="5">
        <f>[1]raw_orders!N677</f>
        <v>3</v>
      </c>
      <c r="O677" s="5">
        <f>[1]raw_orders!O677</f>
        <v>963.26</v>
      </c>
      <c r="P677" s="5">
        <f>[1]raw_orders!P677</f>
        <v>0</v>
      </c>
      <c r="Q677" t="str">
        <f>PROPER(TRIM([1]raw_orders!T677))</f>
        <v>Paid</v>
      </c>
      <c r="R677" t="str">
        <f>PROPER(TRIM([1]raw_orders!U677))</f>
        <v>Completed</v>
      </c>
      <c r="S677" s="5">
        <f>[1]raw_orders!S677</f>
        <v>1078.55</v>
      </c>
      <c r="T677" s="5">
        <f t="shared" si="80"/>
        <v>10.785499999999999</v>
      </c>
      <c r="U677" s="5">
        <f t="shared" si="81"/>
        <v>-28277.942189999994</v>
      </c>
      <c r="V677" s="5">
        <f t="shared" si="82"/>
        <v>-28277.942189999994</v>
      </c>
      <c r="W677" s="5">
        <f t="shared" si="83"/>
        <v>1</v>
      </c>
      <c r="X677" s="5">
        <f t="shared" si="84"/>
        <v>121</v>
      </c>
      <c r="Y677" s="5">
        <f t="shared" si="85"/>
        <v>6</v>
      </c>
      <c r="Z677" s="5">
        <f t="shared" si="86"/>
        <v>2025</v>
      </c>
      <c r="AA677" t="str">
        <f t="shared" si="87"/>
        <v>Clean</v>
      </c>
    </row>
    <row r="678" spans="1:27" x14ac:dyDescent="0.3">
      <c r="A678" t="str">
        <f>[1]raw_orders!A678</f>
        <v>ORD-2025-10677</v>
      </c>
      <c r="B678" s="4">
        <f>IFERROR(DATEVALUE([1]raw_orders!B678), "Invalid Date")</f>
        <v>45970</v>
      </c>
      <c r="C678" s="4" t="str">
        <f>IFERROR(DATEVALUE([1]raw_orders!C678), "Invalid Date")</f>
        <v>Invalid Date</v>
      </c>
      <c r="D678" t="str">
        <f>[1]raw_orders!D678</f>
        <v>CUST-9212</v>
      </c>
      <c r="E678" t="str">
        <f>PROPER(TRIM([1]raw_orders!E678))</f>
        <v>Rahul Verma</v>
      </c>
      <c r="F678" t="str">
        <f>PROPER(TRIM([1]raw_orders!F678))</f>
        <v>Small Business</v>
      </c>
      <c r="G678" t="str">
        <f>IF(TRIM([1]raw_orders!G678)="","Unknown",PROPER(TRIM([1]raw_orders!G678)))</f>
        <v>North</v>
      </c>
      <c r="H678" t="str">
        <f>PROPER(TRIM([1]raw_orders!H678))</f>
        <v>Delhi</v>
      </c>
      <c r="I678" t="str">
        <f>PROPER(TRIM([1]raw_orders!I678))</f>
        <v>New Delhi</v>
      </c>
      <c r="J678" t="str">
        <f>PROPER(TRIM([1]raw_orders!J678))</f>
        <v>Technology</v>
      </c>
      <c r="K678" t="str">
        <f>PROPER(TRIM([1]raw_orders!K678))</f>
        <v>Phones</v>
      </c>
      <c r="L678" t="str">
        <f>[1]raw_orders!L678</f>
        <v>Smart Phones 967</v>
      </c>
      <c r="M678" t="str">
        <f>IF(TRIM([1]raw_orders!M678)="","Unknown",PROPER(TRIM([1]raw_orders!M678)))</f>
        <v>Same Day</v>
      </c>
      <c r="N678" s="5">
        <f>[1]raw_orders!N678</f>
        <v>7</v>
      </c>
      <c r="O678" s="5">
        <f>[1]raw_orders!O678</f>
        <v>3411.21</v>
      </c>
      <c r="P678" s="5">
        <f>[1]raw_orders!P678</f>
        <v>0.15</v>
      </c>
      <c r="Q678" t="str">
        <f>PROPER(TRIM([1]raw_orders!T678))</f>
        <v>Paid</v>
      </c>
      <c r="R678" t="str">
        <f>PROPER(TRIM([1]raw_orders!U678))</f>
        <v>Completed</v>
      </c>
      <c r="S678" s="5">
        <f>[1]raw_orders!S678</f>
        <v>5375.83</v>
      </c>
      <c r="T678" s="5">
        <f t="shared" si="80"/>
        <v>53.758299999999998</v>
      </c>
      <c r="U678" s="5">
        <f t="shared" si="81"/>
        <v>-1259787.4838010001</v>
      </c>
      <c r="V678" s="5">
        <f t="shared" si="82"/>
        <v>-1259787.633801</v>
      </c>
      <c r="W678" s="5">
        <f t="shared" si="83"/>
        <v>1.0000001190677015</v>
      </c>
      <c r="X678" s="5" t="str">
        <f t="shared" si="84"/>
        <v>Invalid Date</v>
      </c>
      <c r="Y678" s="5">
        <f t="shared" si="85"/>
        <v>11</v>
      </c>
      <c r="Z678" s="5">
        <f t="shared" si="86"/>
        <v>2025</v>
      </c>
      <c r="AA678" t="str">
        <f t="shared" si="87"/>
        <v>Clean</v>
      </c>
    </row>
    <row r="679" spans="1:27" x14ac:dyDescent="0.3">
      <c r="A679" t="str">
        <f>[1]raw_orders!A679</f>
        <v>ORD-2024-10678</v>
      </c>
      <c r="B679" s="4">
        <f>IFERROR(DATEVALUE([1]raw_orders!B679), "Invalid Date")</f>
        <v>45465</v>
      </c>
      <c r="C679" s="4">
        <f>IFERROR(DATEVALUE([1]raw_orders!C679), "Invalid Date")</f>
        <v>45470</v>
      </c>
      <c r="D679" t="str">
        <f>[1]raw_orders!D679</f>
        <v>CUST-4655</v>
      </c>
      <c r="E679" t="str">
        <f>PROPER(TRIM([1]raw_orders!E679))</f>
        <v>Isha Nair</v>
      </c>
      <c r="F679" t="str">
        <f>PROPER(TRIM([1]raw_orders!F679))</f>
        <v>Home Office</v>
      </c>
      <c r="G679" t="str">
        <f>IF(TRIM([1]raw_orders!G679)="","Unknown",PROPER(TRIM([1]raw_orders!G679)))</f>
        <v>South</v>
      </c>
      <c r="H679" t="str">
        <f>PROPER(TRIM([1]raw_orders!H679))</f>
        <v>Karnataka</v>
      </c>
      <c r="I679" t="str">
        <f>PROPER(TRIM([1]raw_orders!I679))</f>
        <v>Bengaluru</v>
      </c>
      <c r="J679" t="str">
        <f>PROPER(TRIM([1]raw_orders!J679))</f>
        <v>Furniture</v>
      </c>
      <c r="K679" t="str">
        <f>PROPER(TRIM([1]raw_orders!K679))</f>
        <v>Chairs</v>
      </c>
      <c r="L679" t="str">
        <f>[1]raw_orders!L679</f>
        <v>Smart Chairs 610</v>
      </c>
      <c r="M679" t="str">
        <f>IF(TRIM([1]raw_orders!M679)="","Unknown",PROPER(TRIM([1]raw_orders!M679)))</f>
        <v>Same Day</v>
      </c>
      <c r="N679" s="5">
        <f>[1]raw_orders!N679</f>
        <v>7</v>
      </c>
      <c r="O679" s="5">
        <f>[1]raw_orders!O679</f>
        <v>2623.48</v>
      </c>
      <c r="P679" s="5">
        <f>[1]raw_orders!P679</f>
        <v>0</v>
      </c>
      <c r="Q679" t="str">
        <f>PROPER(TRIM([1]raw_orders!T679))</f>
        <v>Paid</v>
      </c>
      <c r="R679" t="str">
        <f>PROPER(TRIM([1]raw_orders!U679))</f>
        <v>Completed</v>
      </c>
      <c r="S679" s="5">
        <f>[1]raw_orders!S679</f>
        <v>2918.55</v>
      </c>
      <c r="T679" s="5">
        <f t="shared" si="80"/>
        <v>29.185500000000001</v>
      </c>
      <c r="U679" s="5">
        <f t="shared" si="81"/>
        <v>-517608.66878000007</v>
      </c>
      <c r="V679" s="5">
        <f t="shared" si="82"/>
        <v>-517608.66878000007</v>
      </c>
      <c r="W679" s="5">
        <f t="shared" si="83"/>
        <v>1</v>
      </c>
      <c r="X679" s="5">
        <f t="shared" si="84"/>
        <v>5</v>
      </c>
      <c r="Y679" s="5">
        <f t="shared" si="85"/>
        <v>6</v>
      </c>
      <c r="Z679" s="5">
        <f t="shared" si="86"/>
        <v>2024</v>
      </c>
      <c r="AA679" t="str">
        <f t="shared" si="87"/>
        <v>Clean</v>
      </c>
    </row>
    <row r="680" spans="1:27" x14ac:dyDescent="0.3">
      <c r="A680" t="str">
        <f>[1]raw_orders!A680</f>
        <v>ORD-2024-10679</v>
      </c>
      <c r="B680" s="4">
        <f>IFERROR(DATEVALUE([1]raw_orders!B680), "Invalid Date")</f>
        <v>45620</v>
      </c>
      <c r="C680" s="4">
        <f>IFERROR(DATEVALUE([1]raw_orders!C680), "Invalid Date")</f>
        <v>45303</v>
      </c>
      <c r="D680" t="str">
        <f>[1]raw_orders!D680</f>
        <v>CUST-1674</v>
      </c>
      <c r="E680" t="str">
        <f>PROPER(TRIM([1]raw_orders!E680))</f>
        <v>Kabir Singh</v>
      </c>
      <c r="F680" t="str">
        <f>PROPER(TRIM([1]raw_orders!F680))</f>
        <v>Corporate</v>
      </c>
      <c r="G680" t="str">
        <f>IF(TRIM([1]raw_orders!G680)="","Unknown",PROPER(TRIM([1]raw_orders!G680)))</f>
        <v>South</v>
      </c>
      <c r="H680" t="str">
        <f>PROPER(TRIM([1]raw_orders!H680))</f>
        <v>Karnataka</v>
      </c>
      <c r="I680" t="str">
        <f>PROPER(TRIM([1]raw_orders!I680))</f>
        <v>Bengaluru</v>
      </c>
      <c r="J680" t="str">
        <f>PROPER(TRIM([1]raw_orders!J680))</f>
        <v>Furniture</v>
      </c>
      <c r="K680" t="str">
        <f>PROPER(TRIM([1]raw_orders!K680))</f>
        <v>Tables</v>
      </c>
      <c r="L680" t="str">
        <f>[1]raw_orders!L680</f>
        <v>Prime Tables 123</v>
      </c>
      <c r="M680" t="str">
        <f>IF(TRIM([1]raw_orders!M680)="","Unknown",PROPER(TRIM([1]raw_orders!M680)))</f>
        <v>Second Class</v>
      </c>
      <c r="N680" s="5">
        <f>[1]raw_orders!N680</f>
        <v>9</v>
      </c>
      <c r="O680" s="5">
        <f>[1]raw_orders!O680</f>
        <v>2763.61</v>
      </c>
      <c r="P680" s="5">
        <f>[1]raw_orders!P680</f>
        <v>0.15</v>
      </c>
      <c r="Q680" t="str">
        <f>PROPER(TRIM([1]raw_orders!T680))</f>
        <v>Paid</v>
      </c>
      <c r="R680" t="str">
        <f>PROPER(TRIM([1]raw_orders!U680))</f>
        <v>Completed</v>
      </c>
      <c r="S680" s="5">
        <f>[1]raw_orders!S680</f>
        <v>9465.2900000000009</v>
      </c>
      <c r="T680" s="5">
        <f t="shared" si="80"/>
        <v>94.652900000000002</v>
      </c>
      <c r="U680" s="5">
        <f t="shared" si="81"/>
        <v>-2329380.8187210001</v>
      </c>
      <c r="V680" s="5">
        <f t="shared" si="82"/>
        <v>-2329380.968721</v>
      </c>
      <c r="W680" s="5">
        <f t="shared" si="83"/>
        <v>1.0000000643947948</v>
      </c>
      <c r="X680" s="5">
        <f t="shared" si="84"/>
        <v>-317</v>
      </c>
      <c r="Y680" s="5">
        <f t="shared" si="85"/>
        <v>11</v>
      </c>
      <c r="Z680" s="5">
        <f t="shared" si="86"/>
        <v>2024</v>
      </c>
      <c r="AA680" t="str">
        <f t="shared" si="87"/>
        <v>Invalid</v>
      </c>
    </row>
    <row r="681" spans="1:27" x14ac:dyDescent="0.3">
      <c r="A681" t="str">
        <f>[1]raw_orders!A681</f>
        <v>ORD-2025-10680</v>
      </c>
      <c r="B681" s="4">
        <f>IFERROR(DATEVALUE([1]raw_orders!B681), "Invalid Date")</f>
        <v>45885</v>
      </c>
      <c r="C681" s="4">
        <f>IFERROR(DATEVALUE([1]raw_orders!C681), "Invalid Date")</f>
        <v>45892</v>
      </c>
      <c r="D681" t="str">
        <f>[1]raw_orders!D681</f>
        <v>CUST-2897</v>
      </c>
      <c r="E681" t="str">
        <f>PROPER(TRIM([1]raw_orders!E681))</f>
        <v>Rohan Mehta</v>
      </c>
      <c r="F681" t="str">
        <f>PROPER(TRIM([1]raw_orders!F681))</f>
        <v>Corporate</v>
      </c>
      <c r="G681" t="str">
        <f>IF(TRIM([1]raw_orders!G681)="","Unknown",PROPER(TRIM([1]raw_orders!G681)))</f>
        <v>North</v>
      </c>
      <c r="H681" t="str">
        <f>PROPER(TRIM([1]raw_orders!H681))</f>
        <v>Punjab</v>
      </c>
      <c r="I681" t="str">
        <f>PROPER(TRIM([1]raw_orders!I681))</f>
        <v>Ludhiana</v>
      </c>
      <c r="J681" t="str">
        <f>PROPER(TRIM([1]raw_orders!J681))</f>
        <v>Technology</v>
      </c>
      <c r="K681" t="str">
        <f>PROPER(TRIM([1]raw_orders!K681))</f>
        <v>Copiers</v>
      </c>
      <c r="L681" t="str">
        <f>[1]raw_orders!L681</f>
        <v>Smart Copiers 579</v>
      </c>
      <c r="M681" t="str">
        <f>IF(TRIM([1]raw_orders!M681)="","Unknown",PROPER(TRIM([1]raw_orders!M681)))</f>
        <v>Same Day</v>
      </c>
      <c r="N681" s="5">
        <f>[1]raw_orders!N681</f>
        <v>4</v>
      </c>
      <c r="O681" s="5">
        <f>[1]raw_orders!O681</f>
        <v>1410.57</v>
      </c>
      <c r="P681" s="5" t="str">
        <f>[1]raw_orders!P681</f>
        <v>70%</v>
      </c>
      <c r="Q681" t="str">
        <f>PROPER(TRIM([1]raw_orders!T681))</f>
        <v>Refunded</v>
      </c>
      <c r="R681" t="str">
        <f>PROPER(TRIM([1]raw_orders!U681))</f>
        <v>Cancelled</v>
      </c>
      <c r="S681" s="5">
        <f>[1]raw_orders!S681</f>
        <v>1478.66</v>
      </c>
      <c r="T681" s="5">
        <f t="shared" si="80"/>
        <v>14.7866</v>
      </c>
      <c r="U681" s="5">
        <f t="shared" si="81"/>
        <v>-77787.857447999995</v>
      </c>
      <c r="V681" s="5" t="str">
        <f t="shared" si="82"/>
        <v>Calculation Error</v>
      </c>
      <c r="W681" s="5" t="str">
        <f t="shared" si="83"/>
        <v>Calculation Error</v>
      </c>
      <c r="X681" s="5">
        <f t="shared" si="84"/>
        <v>7</v>
      </c>
      <c r="Y681" s="5">
        <f t="shared" si="85"/>
        <v>8</v>
      </c>
      <c r="Z681" s="5">
        <f t="shared" si="86"/>
        <v>2025</v>
      </c>
      <c r="AA681" t="str">
        <f t="shared" si="87"/>
        <v>Clean</v>
      </c>
    </row>
    <row r="682" spans="1:27" x14ac:dyDescent="0.3">
      <c r="A682" t="str">
        <f>[1]raw_orders!A682</f>
        <v>ORD-2024-10681</v>
      </c>
      <c r="B682" s="4">
        <f>IFERROR(DATEVALUE([1]raw_orders!B682), "Invalid Date")</f>
        <v>45441</v>
      </c>
      <c r="C682" s="4">
        <f>IFERROR(DATEVALUE([1]raw_orders!C682), "Invalid Date")</f>
        <v>45448</v>
      </c>
      <c r="D682" t="str">
        <f>[1]raw_orders!D682</f>
        <v>CUST-1136</v>
      </c>
      <c r="E682" t="str">
        <f>PROPER(TRIM([1]raw_orders!E682))</f>
        <v>Kabir Singh</v>
      </c>
      <c r="F682" t="str">
        <f>PROPER(TRIM([1]raw_orders!F682))</f>
        <v>Corporate</v>
      </c>
      <c r="G682" t="str">
        <f>IF(TRIM([1]raw_orders!G682)="","Unknown",PROPER(TRIM([1]raw_orders!G682)))</f>
        <v>South</v>
      </c>
      <c r="H682" t="str">
        <f>PROPER(TRIM([1]raw_orders!H682))</f>
        <v>Tamil Nadu</v>
      </c>
      <c r="I682" t="str">
        <f>PROPER(TRIM([1]raw_orders!I682))</f>
        <v>Chennai</v>
      </c>
      <c r="J682" t="str">
        <f>PROPER(TRIM([1]raw_orders!J682))</f>
        <v>Technology</v>
      </c>
      <c r="K682" t="str">
        <f>PROPER(TRIM([1]raw_orders!K682))</f>
        <v>Accessories</v>
      </c>
      <c r="L682" t="str">
        <f>[1]raw_orders!L682</f>
        <v>Eco Accessories 658</v>
      </c>
      <c r="M682" t="str">
        <f>IF(TRIM([1]raw_orders!M682)="","Unknown",PROPER(TRIM([1]raw_orders!M682)))</f>
        <v>First Class</v>
      </c>
      <c r="N682" s="5">
        <f>[1]raw_orders!N682</f>
        <v>4</v>
      </c>
      <c r="O682" s="5">
        <f>[1]raw_orders!O682</f>
        <v>3700.24</v>
      </c>
      <c r="P682" s="5">
        <f>[1]raw_orders!P682</f>
        <v>0</v>
      </c>
      <c r="Q682" t="str">
        <f>PROPER(TRIM([1]raw_orders!T682))</f>
        <v>Paid</v>
      </c>
      <c r="R682" t="str">
        <f>PROPER(TRIM([1]raw_orders!U682))</f>
        <v>Completed</v>
      </c>
      <c r="S682" s="5">
        <f>[1]raw_orders!S682</f>
        <v>2752.57</v>
      </c>
      <c r="T682" s="5">
        <f t="shared" si="80"/>
        <v>27.525700000000001</v>
      </c>
      <c r="U682" s="5">
        <f t="shared" si="81"/>
        <v>-392605.82467199996</v>
      </c>
      <c r="V682" s="5">
        <f t="shared" si="82"/>
        <v>-392605.82467199996</v>
      </c>
      <c r="W682" s="5">
        <f t="shared" si="83"/>
        <v>1</v>
      </c>
      <c r="X682" s="5">
        <f t="shared" si="84"/>
        <v>7</v>
      </c>
      <c r="Y682" s="5">
        <f t="shared" si="85"/>
        <v>5</v>
      </c>
      <c r="Z682" s="5">
        <f t="shared" si="86"/>
        <v>2024</v>
      </c>
      <c r="AA682" t="str">
        <f t="shared" si="87"/>
        <v>Clean</v>
      </c>
    </row>
    <row r="683" spans="1:27" x14ac:dyDescent="0.3">
      <c r="A683" t="str">
        <f>[1]raw_orders!A683</f>
        <v>ORD-2024-10682</v>
      </c>
      <c r="B683" s="4">
        <f>IFERROR(DATEVALUE([1]raw_orders!B683), "Invalid Date")</f>
        <v>45389</v>
      </c>
      <c r="C683" s="4">
        <f>IFERROR(DATEVALUE([1]raw_orders!C683), "Invalid Date")</f>
        <v>45483</v>
      </c>
      <c r="D683" t="str">
        <f>[1]raw_orders!D683</f>
        <v>CUST-1376</v>
      </c>
      <c r="E683" t="str">
        <f>PROPER(TRIM([1]raw_orders!E683))</f>
        <v>Vikram Iyer</v>
      </c>
      <c r="F683" t="str">
        <f>PROPER(TRIM([1]raw_orders!F683))</f>
        <v>Corporate</v>
      </c>
      <c r="G683" t="str">
        <f>IF(TRIM([1]raw_orders!G683)="","Unknown",PROPER(TRIM([1]raw_orders!G683)))</f>
        <v>North</v>
      </c>
      <c r="H683" t="str">
        <f>PROPER(TRIM([1]raw_orders!H683))</f>
        <v>Delhi</v>
      </c>
      <c r="I683" t="str">
        <f>PROPER(TRIM([1]raw_orders!I683))</f>
        <v>New Delhi</v>
      </c>
      <c r="J683" t="str">
        <f>PROPER(TRIM([1]raw_orders!J683))</f>
        <v>Furniture</v>
      </c>
      <c r="K683" t="str">
        <f>PROPER(TRIM([1]raw_orders!K683))</f>
        <v>Tables</v>
      </c>
      <c r="L683" t="str">
        <f>[1]raw_orders!L683</f>
        <v>Smart Tables 777</v>
      </c>
      <c r="M683" t="str">
        <f>IF(TRIM([1]raw_orders!M683)="","Unknown",PROPER(TRIM([1]raw_orders!M683)))</f>
        <v>Second Class</v>
      </c>
      <c r="N683" s="5">
        <f>[1]raw_orders!N683</f>
        <v>5</v>
      </c>
      <c r="O683" s="5">
        <f>[1]raw_orders!O683</f>
        <v>1200.27</v>
      </c>
      <c r="P683" s="5">
        <f>[1]raw_orders!P683</f>
        <v>0</v>
      </c>
      <c r="Q683" t="str">
        <f>PROPER(TRIM([1]raw_orders!T683))</f>
        <v>Paid</v>
      </c>
      <c r="R683" t="str">
        <f>PROPER(TRIM([1]raw_orders!U683))</f>
        <v>Cancelled</v>
      </c>
      <c r="S683" s="5">
        <f>[1]raw_orders!S683</f>
        <v>1818.36</v>
      </c>
      <c r="T683" s="5">
        <f t="shared" si="80"/>
        <v>18.183599999999998</v>
      </c>
      <c r="U683" s="5">
        <f t="shared" si="81"/>
        <v>-103124.79785999999</v>
      </c>
      <c r="V683" s="5">
        <f t="shared" si="82"/>
        <v>-103124.79785999999</v>
      </c>
      <c r="W683" s="5">
        <f t="shared" si="83"/>
        <v>1</v>
      </c>
      <c r="X683" s="5">
        <f t="shared" si="84"/>
        <v>94</v>
      </c>
      <c r="Y683" s="5">
        <f t="shared" si="85"/>
        <v>4</v>
      </c>
      <c r="Z683" s="5">
        <f t="shared" si="86"/>
        <v>2024</v>
      </c>
      <c r="AA683" t="str">
        <f t="shared" si="87"/>
        <v>Clean</v>
      </c>
    </row>
    <row r="684" spans="1:27" x14ac:dyDescent="0.3">
      <c r="A684" t="str">
        <f>[1]raw_orders!A684</f>
        <v>ORD-2025-10683</v>
      </c>
      <c r="B684" s="4">
        <f>IFERROR(DATEVALUE([1]raw_orders!B684), "Invalid Date")</f>
        <v>45693</v>
      </c>
      <c r="C684" s="4">
        <f>IFERROR(DATEVALUE([1]raw_orders!C684), "Invalid Date")</f>
        <v>45693</v>
      </c>
      <c r="D684" t="str">
        <f>[1]raw_orders!D684</f>
        <v>CUST-1553</v>
      </c>
      <c r="E684" t="str">
        <f>PROPER(TRIM([1]raw_orders!E684))</f>
        <v>Ananya Rao</v>
      </c>
      <c r="F684" t="str">
        <f>PROPER(TRIM([1]raw_orders!F684))</f>
        <v>Corporate</v>
      </c>
      <c r="G684" t="str">
        <f>IF(TRIM([1]raw_orders!G684)="","Unknown",PROPER(TRIM([1]raw_orders!G684)))</f>
        <v>North</v>
      </c>
      <c r="H684" t="str">
        <f>PROPER(TRIM([1]raw_orders!H684))</f>
        <v>Haryana</v>
      </c>
      <c r="I684" t="str">
        <f>PROPER(TRIM([1]raw_orders!I684))</f>
        <v>Gurugram</v>
      </c>
      <c r="J684" t="str">
        <f>PROPER(TRIM([1]raw_orders!J684))</f>
        <v>Office Supplies</v>
      </c>
      <c r="K684" t="str">
        <f>PROPER(TRIM([1]raw_orders!K684))</f>
        <v>Storage</v>
      </c>
      <c r="L684" t="str">
        <f>[1]raw_orders!L684</f>
        <v>Eco Storage 861</v>
      </c>
      <c r="M684" t="str">
        <f>IF(TRIM([1]raw_orders!M684)="","Unknown",PROPER(TRIM([1]raw_orders!M684)))</f>
        <v>Same Day</v>
      </c>
      <c r="N684" s="5">
        <f>[1]raw_orders!N684</f>
        <v>3</v>
      </c>
      <c r="O684" s="5">
        <f>[1]raw_orders!O684</f>
        <v>2590.7800000000002</v>
      </c>
      <c r="P684" s="5">
        <f>[1]raw_orders!P684</f>
        <v>0</v>
      </c>
      <c r="Q684" t="str">
        <f>PROPER(TRIM([1]raw_orders!T684))</f>
        <v>Paid</v>
      </c>
      <c r="R684" t="str">
        <f>PROPER(TRIM([1]raw_orders!U684))</f>
        <v>Completed</v>
      </c>
      <c r="S684" s="5">
        <f>[1]raw_orders!S684</f>
        <v>3270.06</v>
      </c>
      <c r="T684" s="5">
        <f t="shared" si="80"/>
        <v>32.700600000000001</v>
      </c>
      <c r="U684" s="5">
        <f t="shared" si="81"/>
        <v>-246387.84140400001</v>
      </c>
      <c r="V684" s="5">
        <f t="shared" si="82"/>
        <v>-246387.84140400001</v>
      </c>
      <c r="W684" s="5">
        <f t="shared" si="83"/>
        <v>1</v>
      </c>
      <c r="X684" s="5">
        <f t="shared" si="84"/>
        <v>0</v>
      </c>
      <c r="Y684" s="5">
        <f t="shared" si="85"/>
        <v>2</v>
      </c>
      <c r="Z684" s="5">
        <f t="shared" si="86"/>
        <v>2025</v>
      </c>
      <c r="AA684" t="str">
        <f t="shared" si="87"/>
        <v>Clean</v>
      </c>
    </row>
    <row r="685" spans="1:27" x14ac:dyDescent="0.3">
      <c r="A685" t="str">
        <f>[1]raw_orders!A685</f>
        <v>ORD-2025-10684</v>
      </c>
      <c r="B685" s="4">
        <f>IFERROR(DATEVALUE([1]raw_orders!B685), "Invalid Date")</f>
        <v>45858</v>
      </c>
      <c r="C685" s="4">
        <f>IFERROR(DATEVALUE([1]raw_orders!C685), "Invalid Date")</f>
        <v>45862</v>
      </c>
      <c r="D685" t="str">
        <f>[1]raw_orders!D685</f>
        <v>CUST-5704</v>
      </c>
      <c r="E685" t="str">
        <f>PROPER(TRIM([1]raw_orders!E685))</f>
        <v>Arjun Bose</v>
      </c>
      <c r="F685" t="str">
        <f>PROPER(TRIM([1]raw_orders!F685))</f>
        <v>Small Business</v>
      </c>
      <c r="G685" t="str">
        <f>IF(TRIM([1]raw_orders!G685)="","Unknown",PROPER(TRIM([1]raw_orders!G685)))</f>
        <v>South</v>
      </c>
      <c r="H685" t="str">
        <f>PROPER(TRIM([1]raw_orders!H685))</f>
        <v>Telangana</v>
      </c>
      <c r="I685" t="str">
        <f>PROPER(TRIM([1]raw_orders!I685))</f>
        <v>Hyderabad</v>
      </c>
      <c r="J685" t="str">
        <f>PROPER(TRIM([1]raw_orders!J685))</f>
        <v>Furniture</v>
      </c>
      <c r="K685" t="str">
        <f>PROPER(TRIM([1]raw_orders!K685))</f>
        <v>Furnishings</v>
      </c>
      <c r="L685" t="str">
        <f>[1]raw_orders!L685</f>
        <v>Eco Furnishings 875</v>
      </c>
      <c r="M685" t="str">
        <f>IF(TRIM([1]raw_orders!M685)="","Unknown",PROPER(TRIM([1]raw_orders!M685)))</f>
        <v>Second Class</v>
      </c>
      <c r="N685" s="5">
        <f>[1]raw_orders!N685</f>
        <v>6</v>
      </c>
      <c r="O685" s="5">
        <f>[1]raw_orders!O685</f>
        <v>1646.45</v>
      </c>
      <c r="P685" s="5">
        <f>[1]raw_orders!P685</f>
        <v>0.2</v>
      </c>
      <c r="Q685" t="str">
        <f>PROPER(TRIM([1]raw_orders!T685))</f>
        <v>Refunded</v>
      </c>
      <c r="R685" t="str">
        <f>PROPER(TRIM([1]raw_orders!U685))</f>
        <v>Cancelled</v>
      </c>
      <c r="S685" s="5">
        <f>[1]raw_orders!S685</f>
        <v>2390.9299999999998</v>
      </c>
      <c r="T685" s="5">
        <f t="shared" si="80"/>
        <v>23.909299999999998</v>
      </c>
      <c r="U685" s="5">
        <f t="shared" si="81"/>
        <v>-226314.10191</v>
      </c>
      <c r="V685" s="5">
        <f t="shared" si="82"/>
        <v>-226314.30191000001</v>
      </c>
      <c r="W685" s="5">
        <f t="shared" si="83"/>
        <v>1.0000008837275201</v>
      </c>
      <c r="X685" s="5">
        <f t="shared" si="84"/>
        <v>4</v>
      </c>
      <c r="Y685" s="5">
        <f t="shared" si="85"/>
        <v>7</v>
      </c>
      <c r="Z685" s="5">
        <f t="shared" si="86"/>
        <v>2025</v>
      </c>
      <c r="AA685" t="str">
        <f t="shared" si="87"/>
        <v>Clean</v>
      </c>
    </row>
    <row r="686" spans="1:27" x14ac:dyDescent="0.3">
      <c r="A686" t="str">
        <f>[1]raw_orders!A686</f>
        <v>ORD-2025-10685</v>
      </c>
      <c r="B686" s="4">
        <f>IFERROR(DATEVALUE([1]raw_orders!B686), "Invalid Date")</f>
        <v>45859</v>
      </c>
      <c r="C686" s="4">
        <f>IFERROR(DATEVALUE([1]raw_orders!C686), "Invalid Date")</f>
        <v>45859</v>
      </c>
      <c r="D686" t="str">
        <f>[1]raw_orders!D686</f>
        <v>CUST-6738</v>
      </c>
      <c r="E686" t="str">
        <f>PROPER(TRIM([1]raw_orders!E686))</f>
        <v>Isha Nair</v>
      </c>
      <c r="F686" t="str">
        <f>PROPER(TRIM([1]raw_orders!F686))</f>
        <v>Home Office</v>
      </c>
      <c r="G686" t="str">
        <f>IF(TRIM([1]raw_orders!G686)="","Unknown",PROPER(TRIM([1]raw_orders!G686)))</f>
        <v>South</v>
      </c>
      <c r="H686" t="str">
        <f>PROPER(TRIM([1]raw_orders!H686))</f>
        <v>Tamil Nadu</v>
      </c>
      <c r="I686" t="str">
        <f>PROPER(TRIM([1]raw_orders!I686))</f>
        <v>Chennai</v>
      </c>
      <c r="J686" t="str">
        <f>PROPER(TRIM([1]raw_orders!J686))</f>
        <v>Furniture</v>
      </c>
      <c r="K686" t="str">
        <f>PROPER(TRIM([1]raw_orders!K686))</f>
        <v>Bookcases</v>
      </c>
      <c r="L686" t="str">
        <f>[1]raw_orders!L686</f>
        <v>Prime Bookcases 784</v>
      </c>
      <c r="M686" t="str">
        <f>IF(TRIM([1]raw_orders!M686)="","Unknown",PROPER(TRIM([1]raw_orders!M686)))</f>
        <v>First Class</v>
      </c>
      <c r="N686" s="5">
        <f>[1]raw_orders!N686</f>
        <v>7</v>
      </c>
      <c r="O686" s="5">
        <f>[1]raw_orders!O686</f>
        <v>4396.6499999999996</v>
      </c>
      <c r="P686" s="5">
        <f>[1]raw_orders!P686</f>
        <v>0.2</v>
      </c>
      <c r="Q686" t="str">
        <f>PROPER(TRIM([1]raw_orders!T686))</f>
        <v>Refunded</v>
      </c>
      <c r="R686" t="str">
        <f>PROPER(TRIM([1]raw_orders!U686))</f>
        <v>Cancelled</v>
      </c>
      <c r="S686" s="5">
        <f>[1]raw_orders!S686</f>
        <v>7465.76</v>
      </c>
      <c r="T686" s="5">
        <f t="shared" si="80"/>
        <v>74.657600000000002</v>
      </c>
      <c r="U686" s="5">
        <f t="shared" si="81"/>
        <v>-2266926.8092799997</v>
      </c>
      <c r="V686" s="5">
        <f t="shared" si="82"/>
        <v>-2266927.0092799999</v>
      </c>
      <c r="W686" s="5">
        <f t="shared" si="83"/>
        <v>1.0000000882251687</v>
      </c>
      <c r="X686" s="5">
        <f t="shared" si="84"/>
        <v>0</v>
      </c>
      <c r="Y686" s="5">
        <f t="shared" si="85"/>
        <v>7</v>
      </c>
      <c r="Z686" s="5">
        <f t="shared" si="86"/>
        <v>2025</v>
      </c>
      <c r="AA686" t="str">
        <f t="shared" si="87"/>
        <v>Clean</v>
      </c>
    </row>
    <row r="687" spans="1:27" x14ac:dyDescent="0.3">
      <c r="A687" t="str">
        <f>[1]raw_orders!A687</f>
        <v>ORD-2025-10686</v>
      </c>
      <c r="B687" s="4">
        <f>IFERROR(DATEVALUE([1]raw_orders!B687), "Invalid Date")</f>
        <v>45931</v>
      </c>
      <c r="C687" s="4">
        <f>IFERROR(DATEVALUE([1]raw_orders!C687), "Invalid Date")</f>
        <v>45933</v>
      </c>
      <c r="D687" t="str">
        <f>[1]raw_orders!D687</f>
        <v>CUST-2586</v>
      </c>
      <c r="E687" t="str">
        <f>PROPER(TRIM([1]raw_orders!E687))</f>
        <v>Neha Gupta</v>
      </c>
      <c r="F687" t="str">
        <f>PROPER(TRIM([1]raw_orders!F687))</f>
        <v>Corporate</v>
      </c>
      <c r="G687" t="str">
        <f>IF(TRIM([1]raw_orders!G687)="","Unknown",PROPER(TRIM([1]raw_orders!G687)))</f>
        <v>West</v>
      </c>
      <c r="H687" t="str">
        <f>PROPER(TRIM([1]raw_orders!H687))</f>
        <v>Goa</v>
      </c>
      <c r="I687" t="str">
        <f>PROPER(TRIM([1]raw_orders!I687))</f>
        <v>Panaji</v>
      </c>
      <c r="J687" t="str">
        <f>PROPER(TRIM([1]raw_orders!J687))</f>
        <v>Office Supplies</v>
      </c>
      <c r="K687" t="str">
        <f>PROPER(TRIM([1]raw_orders!K687))</f>
        <v>Art</v>
      </c>
      <c r="L687" t="str">
        <f>[1]raw_orders!L687</f>
        <v>Classic Art 380</v>
      </c>
      <c r="M687" t="str">
        <f>IF(TRIM([1]raw_orders!M687)="","Unknown",PROPER(TRIM([1]raw_orders!M687)))</f>
        <v>Standard Class</v>
      </c>
      <c r="N687" s="5">
        <f>[1]raw_orders!N687</f>
        <v>9</v>
      </c>
      <c r="O687" s="5">
        <f>[1]raw_orders!O687</f>
        <v>818.15</v>
      </c>
      <c r="P687" s="5">
        <f>[1]raw_orders!P687</f>
        <v>0.55000000000000004</v>
      </c>
      <c r="Q687" t="str">
        <f>PROPER(TRIM([1]raw_orders!T687))</f>
        <v>Failed</v>
      </c>
      <c r="R687" t="str">
        <f>PROPER(TRIM([1]raw_orders!U687))</f>
        <v>Cancelled</v>
      </c>
      <c r="S687" s="5">
        <f>[1]raw_orders!S687</f>
        <v>1020.22</v>
      </c>
      <c r="T687" s="5">
        <f t="shared" si="80"/>
        <v>10.202199999999999</v>
      </c>
      <c r="U687" s="5">
        <f t="shared" si="81"/>
        <v>-67759.019369999995</v>
      </c>
      <c r="V687" s="5">
        <f t="shared" si="82"/>
        <v>-67759.569369999997</v>
      </c>
      <c r="W687" s="5">
        <f t="shared" si="83"/>
        <v>1.000008117000587</v>
      </c>
      <c r="X687" s="5">
        <f t="shared" si="84"/>
        <v>2</v>
      </c>
      <c r="Y687" s="5">
        <f t="shared" si="85"/>
        <v>10</v>
      </c>
      <c r="Z687" s="5">
        <f t="shared" si="86"/>
        <v>2025</v>
      </c>
      <c r="AA687" t="str">
        <f t="shared" si="87"/>
        <v>Clean</v>
      </c>
    </row>
    <row r="688" spans="1:27" x14ac:dyDescent="0.3">
      <c r="A688" t="str">
        <f>[1]raw_orders!A688</f>
        <v>ORD-2024-10687</v>
      </c>
      <c r="B688" s="4">
        <f>IFERROR(DATEVALUE([1]raw_orders!B688), "Invalid Date")</f>
        <v>45376</v>
      </c>
      <c r="C688" s="4">
        <f>IFERROR(DATEVALUE([1]raw_orders!C688), "Invalid Date")</f>
        <v>45326</v>
      </c>
      <c r="D688" t="str">
        <f>[1]raw_orders!D688</f>
        <v>CUST-3127</v>
      </c>
      <c r="E688" t="str">
        <f>PROPER(TRIM([1]raw_orders!E688))</f>
        <v>Sneha Kapoor</v>
      </c>
      <c r="F688" t="str">
        <f>PROPER(TRIM([1]raw_orders!F688))</f>
        <v>Home Office</v>
      </c>
      <c r="G688" t="str">
        <f>IF(TRIM([1]raw_orders!G688)="","Unknown",PROPER(TRIM([1]raw_orders!G688)))</f>
        <v>South</v>
      </c>
      <c r="H688" t="str">
        <f>PROPER(TRIM([1]raw_orders!H688))</f>
        <v>Tamil Nadu</v>
      </c>
      <c r="I688" t="str">
        <f>PROPER(TRIM([1]raw_orders!I688))</f>
        <v>Chennai</v>
      </c>
      <c r="J688" t="str">
        <f>PROPER(TRIM([1]raw_orders!J688))</f>
        <v>Technology</v>
      </c>
      <c r="K688" t="str">
        <f>PROPER(TRIM([1]raw_orders!K688))</f>
        <v>Copiers</v>
      </c>
      <c r="L688" t="str">
        <f>[1]raw_orders!L688</f>
        <v>Pro Copiers 502</v>
      </c>
      <c r="M688" t="str">
        <f>IF(TRIM([1]raw_orders!M688)="","Unknown",PROPER(TRIM([1]raw_orders!M688)))</f>
        <v>Standard Class</v>
      </c>
      <c r="N688" s="5">
        <f>[1]raw_orders!N688</f>
        <v>2</v>
      </c>
      <c r="O688" s="5">
        <f>[1]raw_orders!O688</f>
        <v>2349.13</v>
      </c>
      <c r="P688" s="5">
        <f>[1]raw_orders!P688</f>
        <v>0</v>
      </c>
      <c r="Q688" t="str">
        <f>PROPER(TRIM([1]raw_orders!T688))</f>
        <v>Paid</v>
      </c>
      <c r="R688" t="str">
        <f>PROPER(TRIM([1]raw_orders!U688))</f>
        <v>Completed</v>
      </c>
      <c r="S688" s="5">
        <f>[1]raw_orders!S688</f>
        <v>2043.34</v>
      </c>
      <c r="T688" s="5">
        <f t="shared" si="80"/>
        <v>20.433399999999999</v>
      </c>
      <c r="U688" s="5">
        <f t="shared" si="81"/>
        <v>-91303.165884000002</v>
      </c>
      <c r="V688" s="5">
        <f t="shared" si="82"/>
        <v>-91303.165884000002</v>
      </c>
      <c r="W688" s="5">
        <f t="shared" si="83"/>
        <v>1</v>
      </c>
      <c r="X688" s="5">
        <f t="shared" si="84"/>
        <v>-50</v>
      </c>
      <c r="Y688" s="5">
        <f t="shared" si="85"/>
        <v>3</v>
      </c>
      <c r="Z688" s="5">
        <f t="shared" si="86"/>
        <v>2024</v>
      </c>
      <c r="AA688" t="str">
        <f t="shared" si="87"/>
        <v>Invalid</v>
      </c>
    </row>
    <row r="689" spans="1:27" x14ac:dyDescent="0.3">
      <c r="A689" t="str">
        <f>[1]raw_orders!A689</f>
        <v>ORD-2025-10688</v>
      </c>
      <c r="B689" s="4">
        <f>IFERROR(DATEVALUE([1]raw_orders!B689), "Invalid Date")</f>
        <v>45938</v>
      </c>
      <c r="C689" s="4">
        <f>IFERROR(DATEVALUE([1]raw_orders!C689), "Invalid Date")</f>
        <v>45943</v>
      </c>
      <c r="D689" t="str">
        <f>[1]raw_orders!D689</f>
        <v>CUST-9347</v>
      </c>
      <c r="E689" t="str">
        <f>PROPER(TRIM([1]raw_orders!E689))</f>
        <v>Mira Das</v>
      </c>
      <c r="F689" t="str">
        <f>PROPER(TRIM([1]raw_orders!F689))</f>
        <v>Home Office</v>
      </c>
      <c r="G689" t="str">
        <f>IF(TRIM([1]raw_orders!G689)="","Unknown",PROPER(TRIM([1]raw_orders!G689)))</f>
        <v>North</v>
      </c>
      <c r="H689" t="str">
        <f>PROPER(TRIM([1]raw_orders!H689))</f>
        <v>Punjab</v>
      </c>
      <c r="I689" t="str">
        <f>PROPER(TRIM([1]raw_orders!I689))</f>
        <v>Ludhiana</v>
      </c>
      <c r="J689" t="str">
        <f>PROPER(TRIM([1]raw_orders!J689))</f>
        <v>Furniture</v>
      </c>
      <c r="K689" t="str">
        <f>PROPER(TRIM([1]raw_orders!K689))</f>
        <v>Tables</v>
      </c>
      <c r="L689" t="str">
        <f>[1]raw_orders!L689</f>
        <v>Prime Tables 604</v>
      </c>
      <c r="M689" t="str">
        <f>IF(TRIM([1]raw_orders!M689)="","Unknown",PROPER(TRIM([1]raw_orders!M689)))</f>
        <v>First Class</v>
      </c>
      <c r="N689" s="5">
        <f>[1]raw_orders!N689</f>
        <v>4</v>
      </c>
      <c r="O689" s="5">
        <f>[1]raw_orders!O689</f>
        <v>172.05</v>
      </c>
      <c r="P689" s="5">
        <f>[1]raw_orders!P689</f>
        <v>0</v>
      </c>
      <c r="Q689" t="str">
        <f>PROPER(TRIM([1]raw_orders!T689))</f>
        <v>Failed</v>
      </c>
      <c r="R689" t="str">
        <f>PROPER(TRIM([1]raw_orders!U689))</f>
        <v>Cancelled</v>
      </c>
      <c r="S689" s="5">
        <f>[1]raw_orders!S689</f>
        <v>190.52</v>
      </c>
      <c r="T689" s="5">
        <f t="shared" si="80"/>
        <v>1.9052</v>
      </c>
      <c r="U689" s="5">
        <f t="shared" si="81"/>
        <v>-622.95864000000006</v>
      </c>
      <c r="V689" s="5">
        <f t="shared" si="82"/>
        <v>-622.95864000000006</v>
      </c>
      <c r="W689" s="5">
        <f t="shared" si="83"/>
        <v>1</v>
      </c>
      <c r="X689" s="5">
        <f t="shared" si="84"/>
        <v>5</v>
      </c>
      <c r="Y689" s="5">
        <f t="shared" si="85"/>
        <v>10</v>
      </c>
      <c r="Z689" s="5">
        <f t="shared" si="86"/>
        <v>2025</v>
      </c>
      <c r="AA689" t="str">
        <f t="shared" si="87"/>
        <v>Clean</v>
      </c>
    </row>
    <row r="690" spans="1:27" x14ac:dyDescent="0.3">
      <c r="A690" t="str">
        <f>[1]raw_orders!A690</f>
        <v>ORD-2025-10689</v>
      </c>
      <c r="B690" s="4">
        <f>IFERROR(DATEVALUE([1]raw_orders!B690), "Invalid Date")</f>
        <v>45714</v>
      </c>
      <c r="C690" s="4">
        <f>IFERROR(DATEVALUE([1]raw_orders!C690), "Invalid Date")</f>
        <v>45715</v>
      </c>
      <c r="D690" t="str">
        <f>[1]raw_orders!D690</f>
        <v>CUST-8575</v>
      </c>
      <c r="E690" t="str">
        <f>PROPER(TRIM([1]raw_orders!E690))</f>
        <v>Neha Gupta</v>
      </c>
      <c r="F690" t="str">
        <f>PROPER(TRIM([1]raw_orders!F690))</f>
        <v>Home Office</v>
      </c>
      <c r="G690" t="str">
        <f>IF(TRIM([1]raw_orders!G690)="","Unknown",PROPER(TRIM([1]raw_orders!G690)))</f>
        <v>North</v>
      </c>
      <c r="H690" t="str">
        <f>PROPER(TRIM([1]raw_orders!H690))</f>
        <v>Haryana</v>
      </c>
      <c r="I690" t="str">
        <f>PROPER(TRIM([1]raw_orders!I690))</f>
        <v>Gurugram</v>
      </c>
      <c r="J690" t="str">
        <f>PROPER(TRIM([1]raw_orders!J690))</f>
        <v>Office Supplies</v>
      </c>
      <c r="K690" t="str">
        <f>PROPER(TRIM([1]raw_orders!K690))</f>
        <v>Art</v>
      </c>
      <c r="L690" t="str">
        <f>[1]raw_orders!L690</f>
        <v>Basic Art 798</v>
      </c>
      <c r="M690" t="str">
        <f>IF(TRIM([1]raw_orders!M690)="","Unknown",PROPER(TRIM([1]raw_orders!M690)))</f>
        <v>Second Class</v>
      </c>
      <c r="N690" s="5">
        <f>[1]raw_orders!N690</f>
        <v>6</v>
      </c>
      <c r="O690" s="5">
        <f>[1]raw_orders!O690</f>
        <v>3037.66</v>
      </c>
      <c r="P690" s="5">
        <f>[1]raw_orders!P690</f>
        <v>0.15</v>
      </c>
      <c r="Q690" t="str">
        <f>PROPER(TRIM([1]raw_orders!T690))</f>
        <v>Paid</v>
      </c>
      <c r="R690" t="str">
        <f>PROPER(TRIM([1]raw_orders!U690))</f>
        <v>Completed</v>
      </c>
      <c r="S690" s="5">
        <f>[1]raw_orders!S690</f>
        <v>2910.84</v>
      </c>
      <c r="T690" s="5">
        <f t="shared" si="80"/>
        <v>29.108400000000003</v>
      </c>
      <c r="U690" s="5">
        <f t="shared" si="81"/>
        <v>-512302.57406400004</v>
      </c>
      <c r="V690" s="5">
        <f t="shared" si="82"/>
        <v>-512302.72406400007</v>
      </c>
      <c r="W690" s="5">
        <f t="shared" si="83"/>
        <v>1.0000002927957181</v>
      </c>
      <c r="X690" s="5">
        <f t="shared" si="84"/>
        <v>1</v>
      </c>
      <c r="Y690" s="5">
        <f t="shared" si="85"/>
        <v>2</v>
      </c>
      <c r="Z690" s="5">
        <f t="shared" si="86"/>
        <v>2025</v>
      </c>
      <c r="AA690" t="str">
        <f t="shared" si="87"/>
        <v>Clean</v>
      </c>
    </row>
    <row r="691" spans="1:27" x14ac:dyDescent="0.3">
      <c r="A691" t="str">
        <f>[1]raw_orders!A691</f>
        <v>ORD-2024-10690</v>
      </c>
      <c r="B691" s="4">
        <f>IFERROR(DATEVALUE([1]raw_orders!B691), "Invalid Date")</f>
        <v>45570</v>
      </c>
      <c r="C691" s="4">
        <f>IFERROR(DATEVALUE([1]raw_orders!C691), "Invalid Date")</f>
        <v>45571</v>
      </c>
      <c r="D691" t="str">
        <f>[1]raw_orders!D691</f>
        <v>CUST-4382</v>
      </c>
      <c r="E691" t="str">
        <f>PROPER(TRIM([1]raw_orders!E691))</f>
        <v>Rohan Mehta</v>
      </c>
      <c r="F691" t="str">
        <f>PROPER(TRIM([1]raw_orders!F691))</f>
        <v>Small Business</v>
      </c>
      <c r="G691" t="str">
        <f>IF(TRIM([1]raw_orders!G691)="","Unknown",PROPER(TRIM([1]raw_orders!G691)))</f>
        <v>North</v>
      </c>
      <c r="H691" t="str">
        <f>PROPER(TRIM([1]raw_orders!H691))</f>
        <v>Punjab</v>
      </c>
      <c r="I691" t="str">
        <f>PROPER(TRIM([1]raw_orders!I691))</f>
        <v>Ludhiana</v>
      </c>
      <c r="J691" t="str">
        <f>PROPER(TRIM([1]raw_orders!J691))</f>
        <v>Furniture</v>
      </c>
      <c r="K691" t="str">
        <f>PROPER(TRIM([1]raw_orders!K691))</f>
        <v>Tables</v>
      </c>
      <c r="L691" t="str">
        <f>[1]raw_orders!L691</f>
        <v>Elite Tables 717</v>
      </c>
      <c r="M691" t="str">
        <f>IF(TRIM([1]raw_orders!M691)="","Unknown",PROPER(TRIM([1]raw_orders!M691)))</f>
        <v>Standard Class</v>
      </c>
      <c r="N691" s="5">
        <f>[1]raw_orders!N691</f>
        <v>9</v>
      </c>
      <c r="O691" s="5">
        <f>[1]raw_orders!O691</f>
        <v>489.58</v>
      </c>
      <c r="P691" s="5">
        <f>[1]raw_orders!P691</f>
        <v>0.15</v>
      </c>
      <c r="Q691" t="str">
        <f>PROPER(TRIM([1]raw_orders!T691))</f>
        <v>Failed</v>
      </c>
      <c r="R691" t="str">
        <f>PROPER(TRIM([1]raw_orders!U691))</f>
        <v>Cancelled</v>
      </c>
      <c r="S691" s="5">
        <f>[1]raw_orders!S691</f>
        <v>1442.64</v>
      </c>
      <c r="T691" s="5">
        <f t="shared" si="80"/>
        <v>14.426400000000001</v>
      </c>
      <c r="U691" s="5">
        <f t="shared" si="81"/>
        <v>-59159.672208000011</v>
      </c>
      <c r="V691" s="5">
        <f t="shared" si="82"/>
        <v>-59159.822208000012</v>
      </c>
      <c r="W691" s="5">
        <f t="shared" si="83"/>
        <v>1.000002535511006</v>
      </c>
      <c r="X691" s="5">
        <f t="shared" si="84"/>
        <v>1</v>
      </c>
      <c r="Y691" s="5">
        <f t="shared" si="85"/>
        <v>10</v>
      </c>
      <c r="Z691" s="5">
        <f t="shared" si="86"/>
        <v>2024</v>
      </c>
      <c r="AA691" t="str">
        <f t="shared" si="87"/>
        <v>Clean</v>
      </c>
    </row>
    <row r="692" spans="1:27" x14ac:dyDescent="0.3">
      <c r="A692" t="str">
        <f>[1]raw_orders!A692</f>
        <v>ORD-2024-10691</v>
      </c>
      <c r="B692" s="4">
        <f>IFERROR(DATEVALUE([1]raw_orders!B692), "Invalid Date")</f>
        <v>45605</v>
      </c>
      <c r="C692" s="4">
        <f>IFERROR(DATEVALUE([1]raw_orders!C692), "Invalid Date")</f>
        <v>45550</v>
      </c>
      <c r="D692" t="str">
        <f>[1]raw_orders!D692</f>
        <v>CUST-6815</v>
      </c>
      <c r="E692" t="str">
        <f>PROPER(TRIM([1]raw_orders!E692))</f>
        <v>Sneha Kapoor</v>
      </c>
      <c r="F692" t="str">
        <f>PROPER(TRIM([1]raw_orders!F692))</f>
        <v>Corporate</v>
      </c>
      <c r="G692" t="str">
        <f>IF(TRIM([1]raw_orders!G692)="","Unknown",PROPER(TRIM([1]raw_orders!G692)))</f>
        <v>South</v>
      </c>
      <c r="H692" t="str">
        <f>PROPER(TRIM([1]raw_orders!H692))</f>
        <v>Tamil Nadu</v>
      </c>
      <c r="I692" t="str">
        <f>PROPER(TRIM([1]raw_orders!I692))</f>
        <v>Chennai</v>
      </c>
      <c r="J692" t="str">
        <f>PROPER(TRIM([1]raw_orders!J692))</f>
        <v>Office Supplies</v>
      </c>
      <c r="K692" t="str">
        <f>PROPER(TRIM([1]raw_orders!K692))</f>
        <v>Art</v>
      </c>
      <c r="L692" t="str">
        <f>[1]raw_orders!L692</f>
        <v>Max Art 725</v>
      </c>
      <c r="M692" t="str">
        <f>IF(TRIM([1]raw_orders!M692)="","Unknown",PROPER(TRIM([1]raw_orders!M692)))</f>
        <v>Standard Class</v>
      </c>
      <c r="N692" s="5">
        <f>[1]raw_orders!N692</f>
        <v>4</v>
      </c>
      <c r="O692" s="5">
        <f>[1]raw_orders!O692</f>
        <v>865.63</v>
      </c>
      <c r="P692" s="5">
        <f>[1]raw_orders!P692</f>
        <v>0</v>
      </c>
      <c r="Q692" t="str">
        <f>PROPER(TRIM([1]raw_orders!T692))</f>
        <v>Failed</v>
      </c>
      <c r="R692" t="str">
        <f>PROPER(TRIM([1]raw_orders!U692))</f>
        <v>Returned</v>
      </c>
      <c r="S692" s="5">
        <f>[1]raw_orders!S692</f>
        <v>665.23</v>
      </c>
      <c r="T692" s="5">
        <f t="shared" si="80"/>
        <v>6.6523000000000003</v>
      </c>
      <c r="U692" s="5">
        <f t="shared" si="81"/>
        <v>-19571.201796000001</v>
      </c>
      <c r="V692" s="5">
        <f t="shared" si="82"/>
        <v>-19571.201796000001</v>
      </c>
      <c r="W692" s="5">
        <f t="shared" si="83"/>
        <v>1</v>
      </c>
      <c r="X692" s="5">
        <f t="shared" si="84"/>
        <v>-55</v>
      </c>
      <c r="Y692" s="5">
        <f t="shared" si="85"/>
        <v>11</v>
      </c>
      <c r="Z692" s="5">
        <f t="shared" si="86"/>
        <v>2024</v>
      </c>
      <c r="AA692" t="str">
        <f t="shared" si="87"/>
        <v>Invalid</v>
      </c>
    </row>
    <row r="693" spans="1:27" x14ac:dyDescent="0.3">
      <c r="A693" t="str">
        <f>[1]raw_orders!A693</f>
        <v>ORD-2024-10692</v>
      </c>
      <c r="B693" s="4">
        <f>IFERROR(DATEVALUE([1]raw_orders!B693), "Invalid Date")</f>
        <v>45641</v>
      </c>
      <c r="C693" s="4">
        <f>IFERROR(DATEVALUE([1]raw_orders!C693), "Invalid Date")</f>
        <v>45642</v>
      </c>
      <c r="D693" t="str">
        <f>[1]raw_orders!D693</f>
        <v>CUST-7309</v>
      </c>
      <c r="E693" t="str">
        <f>PROPER(TRIM([1]raw_orders!E693))</f>
        <v>Rohan Mehta</v>
      </c>
      <c r="F693" t="str">
        <f>PROPER(TRIM([1]raw_orders!F693))</f>
        <v>Consumer</v>
      </c>
      <c r="G693" t="str">
        <f>IF(TRIM([1]raw_orders!G693)="","Unknown",PROPER(TRIM([1]raw_orders!G693)))</f>
        <v>East</v>
      </c>
      <c r="H693" t="str">
        <f>PROPER(TRIM([1]raw_orders!H693))</f>
        <v>Odisha</v>
      </c>
      <c r="I693" t="str">
        <f>PROPER(TRIM([1]raw_orders!I693))</f>
        <v>Bhubaneswar</v>
      </c>
      <c r="J693" t="str">
        <f>PROPER(TRIM([1]raw_orders!J693))</f>
        <v>Technology</v>
      </c>
      <c r="K693" t="str">
        <f>PROPER(TRIM([1]raw_orders!K693))</f>
        <v>Copiers</v>
      </c>
      <c r="L693" t="str">
        <f>[1]raw_orders!L693</f>
        <v>Smart Copiers 456</v>
      </c>
      <c r="M693" t="str">
        <f>IF(TRIM([1]raw_orders!M693)="","Unknown",PROPER(TRIM([1]raw_orders!M693)))</f>
        <v>Second Class</v>
      </c>
      <c r="N693" s="5">
        <f>[1]raw_orders!N693</f>
        <v>6</v>
      </c>
      <c r="O693" s="5">
        <f>[1]raw_orders!O693</f>
        <v>1538.1</v>
      </c>
      <c r="P693" s="5">
        <f>[1]raw_orders!P693</f>
        <v>0.05</v>
      </c>
      <c r="Q693" t="str">
        <f>PROPER(TRIM([1]raw_orders!T693))</f>
        <v>Paid</v>
      </c>
      <c r="R693" t="str">
        <f>PROPER(TRIM([1]raw_orders!U693))</f>
        <v>Completed</v>
      </c>
      <c r="S693" s="5">
        <f>[1]raw_orders!S693</f>
        <v>3668.97</v>
      </c>
      <c r="T693" s="5">
        <f t="shared" si="80"/>
        <v>36.689699999999995</v>
      </c>
      <c r="U693" s="5">
        <f t="shared" si="81"/>
        <v>-329365.96541999991</v>
      </c>
      <c r="V693" s="5">
        <f t="shared" si="82"/>
        <v>-329366.01541999989</v>
      </c>
      <c r="W693" s="5">
        <f t="shared" si="83"/>
        <v>1.0000001518068204</v>
      </c>
      <c r="X693" s="5">
        <f t="shared" si="84"/>
        <v>1</v>
      </c>
      <c r="Y693" s="5">
        <f t="shared" si="85"/>
        <v>12</v>
      </c>
      <c r="Z693" s="5">
        <f t="shared" si="86"/>
        <v>2024</v>
      </c>
      <c r="AA693" t="str">
        <f t="shared" si="87"/>
        <v>Clean</v>
      </c>
    </row>
    <row r="694" spans="1:27" x14ac:dyDescent="0.3">
      <c r="A694" t="str">
        <f>[1]raw_orders!A694</f>
        <v>ORD-2025-10693</v>
      </c>
      <c r="B694" s="4">
        <f>IFERROR(DATEVALUE([1]raw_orders!B694), "Invalid Date")</f>
        <v>45935</v>
      </c>
      <c r="C694" s="4">
        <f>IFERROR(DATEVALUE([1]raw_orders!C694), "Invalid Date")</f>
        <v>45940</v>
      </c>
      <c r="D694" t="str">
        <f>[1]raw_orders!D694</f>
        <v>CUST-9531</v>
      </c>
      <c r="E694" t="str">
        <f>PROPER(TRIM([1]raw_orders!E694))</f>
        <v>Isha Nair</v>
      </c>
      <c r="F694" t="str">
        <f>PROPER(TRIM([1]raw_orders!F694))</f>
        <v>Corporate</v>
      </c>
      <c r="G694" t="str">
        <f>IF(TRIM([1]raw_orders!G694)="","Unknown",PROPER(TRIM([1]raw_orders!G694)))</f>
        <v>South</v>
      </c>
      <c r="H694" t="str">
        <f>PROPER(TRIM([1]raw_orders!H694))</f>
        <v>Karnataka</v>
      </c>
      <c r="I694" t="str">
        <f>PROPER(TRIM([1]raw_orders!I694))</f>
        <v>Bengaluru</v>
      </c>
      <c r="J694" t="str">
        <f>PROPER(TRIM([1]raw_orders!J694))</f>
        <v>Furniture</v>
      </c>
      <c r="K694" t="str">
        <f>PROPER(TRIM([1]raw_orders!K694))</f>
        <v>Furnishings</v>
      </c>
      <c r="L694" t="str">
        <f>[1]raw_orders!L694</f>
        <v>Prime Furnishings 883</v>
      </c>
      <c r="M694" t="str">
        <f>IF(TRIM([1]raw_orders!M694)="","Unknown",PROPER(TRIM([1]raw_orders!M694)))</f>
        <v>Second Class</v>
      </c>
      <c r="N694" s="5">
        <f>[1]raw_orders!N694</f>
        <v>4</v>
      </c>
      <c r="O694" s="5">
        <f>[1]raw_orders!O694</f>
        <v>2365.6799999999998</v>
      </c>
      <c r="P694" s="5">
        <f>[1]raw_orders!P694</f>
        <v>0.1</v>
      </c>
      <c r="Q694" t="str">
        <f>PROPER(TRIM([1]raw_orders!T694))</f>
        <v>Paid</v>
      </c>
      <c r="R694" t="str">
        <f>PROPER(TRIM([1]raw_orders!U694))</f>
        <v>Completed</v>
      </c>
      <c r="S694" s="5">
        <f>[1]raw_orders!S694</f>
        <v>2612.64</v>
      </c>
      <c r="T694" s="5">
        <f t="shared" si="80"/>
        <v>26.1264</v>
      </c>
      <c r="U694" s="5">
        <f t="shared" si="81"/>
        <v>-237764.08780799998</v>
      </c>
      <c r="V694" s="5">
        <f t="shared" si="82"/>
        <v>-237764.18780799999</v>
      </c>
      <c r="W694" s="5">
        <f t="shared" si="83"/>
        <v>1.0000004205849626</v>
      </c>
      <c r="X694" s="5">
        <f t="shared" si="84"/>
        <v>5</v>
      </c>
      <c r="Y694" s="5">
        <f t="shared" si="85"/>
        <v>10</v>
      </c>
      <c r="Z694" s="5">
        <f t="shared" si="86"/>
        <v>2025</v>
      </c>
      <c r="AA694" t="str">
        <f t="shared" si="87"/>
        <v>Clean</v>
      </c>
    </row>
    <row r="695" spans="1:27" x14ac:dyDescent="0.3">
      <c r="A695" t="str">
        <f>[1]raw_orders!A695</f>
        <v>ORD-2025-10694</v>
      </c>
      <c r="B695" s="4">
        <f>IFERROR(DATEVALUE([1]raw_orders!B695), "Invalid Date")</f>
        <v>45750</v>
      </c>
      <c r="C695" s="4">
        <f>IFERROR(DATEVALUE([1]raw_orders!C695), "Invalid Date")</f>
        <v>45758</v>
      </c>
      <c r="D695" t="str">
        <f>[1]raw_orders!D695</f>
        <v>CUST-6032</v>
      </c>
      <c r="E695" t="str">
        <f>PROPER(TRIM([1]raw_orders!E695))</f>
        <v>Arjun Bose</v>
      </c>
      <c r="F695" t="str">
        <f>PROPER(TRIM([1]raw_orders!F695))</f>
        <v>Consumer</v>
      </c>
      <c r="G695" t="str">
        <f>IF(TRIM([1]raw_orders!G695)="","Unknown",PROPER(TRIM([1]raw_orders!G695)))</f>
        <v>South</v>
      </c>
      <c r="H695" t="str">
        <f>PROPER(TRIM([1]raw_orders!H695))</f>
        <v>Tamil Nadu</v>
      </c>
      <c r="I695" t="str">
        <f>PROPER(TRIM([1]raw_orders!I695))</f>
        <v>Chennai</v>
      </c>
      <c r="J695" t="str">
        <f>PROPER(TRIM([1]raw_orders!J695))</f>
        <v>Furniture</v>
      </c>
      <c r="K695" t="str">
        <f>PROPER(TRIM([1]raw_orders!K695))</f>
        <v>Bookcases</v>
      </c>
      <c r="L695" t="str">
        <f>[1]raw_orders!L695</f>
        <v>Smart Bookcases 828</v>
      </c>
      <c r="M695" t="str">
        <f>IF(TRIM([1]raw_orders!M695)="","Unknown",PROPER(TRIM([1]raw_orders!M695)))</f>
        <v>Second Class</v>
      </c>
      <c r="N695" s="5">
        <f>[1]raw_orders!N695</f>
        <v>3</v>
      </c>
      <c r="O695" s="5">
        <f>[1]raw_orders!O695</f>
        <v>4149.7700000000004</v>
      </c>
      <c r="P695" s="5">
        <f>[1]raw_orders!P695</f>
        <v>0.05</v>
      </c>
      <c r="Q695" t="str">
        <f>PROPER(TRIM([1]raw_orders!T695))</f>
        <v>Paid</v>
      </c>
      <c r="R695" t="str">
        <f>PROPER(TRIM([1]raw_orders!U695))</f>
        <v>Completed</v>
      </c>
      <c r="S695" s="5">
        <f>[1]raw_orders!S695</f>
        <v>3790.88</v>
      </c>
      <c r="T695" s="5">
        <f t="shared" si="80"/>
        <v>37.908799999999999</v>
      </c>
      <c r="U695" s="5">
        <f t="shared" si="81"/>
        <v>-459489.09292800003</v>
      </c>
      <c r="V695" s="5">
        <f t="shared" si="82"/>
        <v>-459489.14292800002</v>
      </c>
      <c r="W695" s="5">
        <f t="shared" si="83"/>
        <v>1.0000001088165111</v>
      </c>
      <c r="X695" s="5">
        <f t="shared" si="84"/>
        <v>8</v>
      </c>
      <c r="Y695" s="5">
        <f t="shared" si="85"/>
        <v>4</v>
      </c>
      <c r="Z695" s="5">
        <f t="shared" si="86"/>
        <v>2025</v>
      </c>
      <c r="AA695" t="str">
        <f t="shared" si="87"/>
        <v>Clean</v>
      </c>
    </row>
    <row r="696" spans="1:27" x14ac:dyDescent="0.3">
      <c r="A696" t="str">
        <f>[1]raw_orders!A696</f>
        <v>ORD-2025-10695</v>
      </c>
      <c r="B696" s="4">
        <f>IFERROR(DATEVALUE([1]raw_orders!B696), "Invalid Date")</f>
        <v>45870</v>
      </c>
      <c r="C696" s="4">
        <f>IFERROR(DATEVALUE([1]raw_orders!C696), "Invalid Date")</f>
        <v>45878</v>
      </c>
      <c r="D696" t="str">
        <f>[1]raw_orders!D696</f>
        <v>CUST-8025</v>
      </c>
      <c r="E696" t="str">
        <f>PROPER(TRIM([1]raw_orders!E696))</f>
        <v>Isha Nair</v>
      </c>
      <c r="F696" t="str">
        <f>PROPER(TRIM([1]raw_orders!F696))</f>
        <v>Consumer</v>
      </c>
      <c r="G696" t="str">
        <f>IF(TRIM([1]raw_orders!G696)="","Unknown",PROPER(TRIM([1]raw_orders!G696)))</f>
        <v>South</v>
      </c>
      <c r="H696" t="str">
        <f>PROPER(TRIM([1]raw_orders!H696))</f>
        <v>Andhra Pradesh</v>
      </c>
      <c r="I696" t="str">
        <f>PROPER(TRIM([1]raw_orders!I696))</f>
        <v>Vijayawada</v>
      </c>
      <c r="J696" t="str">
        <f>PROPER(TRIM([1]raw_orders!J696))</f>
        <v>Office Supplies</v>
      </c>
      <c r="K696" t="str">
        <f>PROPER(TRIM([1]raw_orders!K696))</f>
        <v>Storage</v>
      </c>
      <c r="L696" t="str">
        <f>[1]raw_orders!L696</f>
        <v>Classic Storage 291</v>
      </c>
      <c r="M696" t="str">
        <f>IF(TRIM([1]raw_orders!M696)="","Unknown",PROPER(TRIM([1]raw_orders!M696)))</f>
        <v>First Class</v>
      </c>
      <c r="N696" s="5">
        <f>[1]raw_orders!N696</f>
        <v>5</v>
      </c>
      <c r="O696" s="5">
        <f>[1]raw_orders!O696</f>
        <v>2736.24</v>
      </c>
      <c r="P696" s="5">
        <f>[1]raw_orders!P696</f>
        <v>0.15</v>
      </c>
      <c r="Q696" t="str">
        <f>PROPER(TRIM([1]raw_orders!T696))</f>
        <v>Paid</v>
      </c>
      <c r="R696" t="str">
        <f>PROPER(TRIM([1]raw_orders!U696))</f>
        <v>Completed</v>
      </c>
      <c r="S696" s="5">
        <f>[1]raw_orders!S696</f>
        <v>2001.81</v>
      </c>
      <c r="T696" s="5">
        <f t="shared" si="80"/>
        <v>20.0181</v>
      </c>
      <c r="U696" s="5">
        <f t="shared" si="81"/>
        <v>-260190.42971999999</v>
      </c>
      <c r="V696" s="5">
        <f t="shared" si="82"/>
        <v>-260190.57971999998</v>
      </c>
      <c r="W696" s="5">
        <f t="shared" si="83"/>
        <v>1.0000005765008351</v>
      </c>
      <c r="X696" s="5">
        <f t="shared" si="84"/>
        <v>8</v>
      </c>
      <c r="Y696" s="5">
        <f t="shared" si="85"/>
        <v>8</v>
      </c>
      <c r="Z696" s="5">
        <f t="shared" si="86"/>
        <v>2025</v>
      </c>
      <c r="AA696" t="str">
        <f t="shared" si="87"/>
        <v>Clean</v>
      </c>
    </row>
    <row r="697" spans="1:27" x14ac:dyDescent="0.3">
      <c r="A697" t="str">
        <f>[1]raw_orders!A697</f>
        <v>ORD-2024-10696</v>
      </c>
      <c r="B697" s="4">
        <f>IFERROR(DATEVALUE([1]raw_orders!B697), "Invalid Date")</f>
        <v>45474</v>
      </c>
      <c r="C697" s="4">
        <f>IFERROR(DATEVALUE([1]raw_orders!C697), "Invalid Date")</f>
        <v>45474</v>
      </c>
      <c r="D697" t="str">
        <f>[1]raw_orders!D697</f>
        <v>CUST-6257</v>
      </c>
      <c r="E697" t="str">
        <f>PROPER(TRIM([1]raw_orders!E697))</f>
        <v>Aarav Sharma</v>
      </c>
      <c r="F697" t="str">
        <f>PROPER(TRIM([1]raw_orders!F697))</f>
        <v>Consumer</v>
      </c>
      <c r="G697" t="str">
        <f>IF(TRIM([1]raw_orders!G697)="","Unknown",PROPER(TRIM([1]raw_orders!G697)))</f>
        <v>West</v>
      </c>
      <c r="H697" t="str">
        <f>PROPER(TRIM([1]raw_orders!H697))</f>
        <v>Madhya Pradesh</v>
      </c>
      <c r="I697" t="str">
        <f>PROPER(TRIM([1]raw_orders!I697))</f>
        <v>Indore</v>
      </c>
      <c r="J697" t="str">
        <f>PROPER(TRIM([1]raw_orders!J697))</f>
        <v>Technology</v>
      </c>
      <c r="K697" t="str">
        <f>PROPER(TRIM([1]raw_orders!K697))</f>
        <v>Machines</v>
      </c>
      <c r="L697" t="str">
        <f>[1]raw_orders!L697</f>
        <v>Prime Machines 102</v>
      </c>
      <c r="M697" t="str">
        <f>IF(TRIM([1]raw_orders!M697)="","Unknown",PROPER(TRIM([1]raw_orders!M697)))</f>
        <v>Standard Class</v>
      </c>
      <c r="N697" s="5">
        <f>[1]raw_orders!N697</f>
        <v>4</v>
      </c>
      <c r="O697" s="5">
        <f>[1]raw_orders!O697</f>
        <v>257.39</v>
      </c>
      <c r="P697" s="5">
        <f>[1]raw_orders!P697</f>
        <v>0</v>
      </c>
      <c r="Q697" t="str">
        <f>PROPER(TRIM([1]raw_orders!T697))</f>
        <v>Paid</v>
      </c>
      <c r="R697" t="str">
        <f>PROPER(TRIM([1]raw_orders!U697))</f>
        <v>Completed</v>
      </c>
      <c r="S697" s="5">
        <f>[1]raw_orders!S697</f>
        <v>403.23</v>
      </c>
      <c r="T697" s="5">
        <f t="shared" si="80"/>
        <v>4.0323000000000002</v>
      </c>
      <c r="U697" s="5">
        <f t="shared" si="81"/>
        <v>-3121.934788</v>
      </c>
      <c r="V697" s="5">
        <f t="shared" si="82"/>
        <v>-3121.934788</v>
      </c>
      <c r="W697" s="5">
        <f t="shared" si="83"/>
        <v>1</v>
      </c>
      <c r="X697" s="5">
        <f t="shared" si="84"/>
        <v>0</v>
      </c>
      <c r="Y697" s="5">
        <f t="shared" si="85"/>
        <v>7</v>
      </c>
      <c r="Z697" s="5">
        <f t="shared" si="86"/>
        <v>2024</v>
      </c>
      <c r="AA697" t="str">
        <f t="shared" si="87"/>
        <v>Clean</v>
      </c>
    </row>
    <row r="698" spans="1:27" x14ac:dyDescent="0.3">
      <c r="A698" t="str">
        <f>[1]raw_orders!A698</f>
        <v>ORD-2025-10697</v>
      </c>
      <c r="B698" s="4">
        <f>IFERROR(DATEVALUE([1]raw_orders!B698), "Invalid Date")</f>
        <v>45922</v>
      </c>
      <c r="C698" s="4">
        <f>IFERROR(DATEVALUE([1]raw_orders!C698), "Invalid Date")</f>
        <v>45925</v>
      </c>
      <c r="D698" t="str">
        <f>[1]raw_orders!D698</f>
        <v>CUST-7812</v>
      </c>
      <c r="E698" t="str">
        <f>PROPER(TRIM([1]raw_orders!E698))</f>
        <v>Isha Nair</v>
      </c>
      <c r="F698" t="str">
        <f>PROPER(TRIM([1]raw_orders!F698))</f>
        <v>Small Business</v>
      </c>
      <c r="G698" t="str">
        <f>IF(TRIM([1]raw_orders!G698)="","Unknown",PROPER(TRIM([1]raw_orders!G698)))</f>
        <v>South</v>
      </c>
      <c r="H698" t="str">
        <f>PROPER(TRIM([1]raw_orders!H698))</f>
        <v>Kerala</v>
      </c>
      <c r="I698" t="str">
        <f>PROPER(TRIM([1]raw_orders!I698))</f>
        <v>Kochi</v>
      </c>
      <c r="J698" t="str">
        <f>PROPER(TRIM([1]raw_orders!J698))</f>
        <v>Technology</v>
      </c>
      <c r="K698" t="str">
        <f>PROPER(TRIM([1]raw_orders!K698))</f>
        <v>Phones</v>
      </c>
      <c r="L698" t="str">
        <f>[1]raw_orders!L698</f>
        <v>Classic Phones 842</v>
      </c>
      <c r="M698" t="str">
        <f>IF(TRIM([1]raw_orders!M698)="","Unknown",PROPER(TRIM([1]raw_orders!M698)))</f>
        <v>Unknown</v>
      </c>
      <c r="N698" s="5">
        <f>[1]raw_orders!N698</f>
        <v>4</v>
      </c>
      <c r="O698" s="5">
        <f>[1]raw_orders!O698</f>
        <v>1178.8399999999999</v>
      </c>
      <c r="P698" s="5">
        <f>[1]raw_orders!P698</f>
        <v>0.25</v>
      </c>
      <c r="Q698" t="str">
        <f>PROPER(TRIM([1]raw_orders!T698))</f>
        <v>Paid</v>
      </c>
      <c r="R698" t="str">
        <f>PROPER(TRIM([1]raw_orders!U698))</f>
        <v>Completed</v>
      </c>
      <c r="S698" s="5">
        <f>[1]raw_orders!S698</f>
        <v>1363.28</v>
      </c>
      <c r="T698" s="5">
        <f t="shared" si="80"/>
        <v>13.6328</v>
      </c>
      <c r="U698" s="5">
        <f t="shared" si="81"/>
        <v>-59568.19980799999</v>
      </c>
      <c r="V698" s="5">
        <f t="shared" si="82"/>
        <v>-59568.44980799999</v>
      </c>
      <c r="W698" s="5">
        <f t="shared" si="83"/>
        <v>1.0000041968701556</v>
      </c>
      <c r="X698" s="5">
        <f t="shared" si="84"/>
        <v>3</v>
      </c>
      <c r="Y698" s="5">
        <f t="shared" si="85"/>
        <v>9</v>
      </c>
      <c r="Z698" s="5">
        <f t="shared" si="86"/>
        <v>2025</v>
      </c>
      <c r="AA698" t="str">
        <f t="shared" si="87"/>
        <v>Warning</v>
      </c>
    </row>
    <row r="699" spans="1:27" x14ac:dyDescent="0.3">
      <c r="A699" t="str">
        <f>[1]raw_orders!A699</f>
        <v>ORD-2025-10698</v>
      </c>
      <c r="B699" s="4">
        <f>IFERROR(DATEVALUE([1]raw_orders!B699), "Invalid Date")</f>
        <v>45660</v>
      </c>
      <c r="C699" s="4">
        <f>IFERROR(DATEVALUE([1]raw_orders!C699), "Invalid Date")</f>
        <v>45723</v>
      </c>
      <c r="D699" t="str">
        <f>[1]raw_orders!D699</f>
        <v>CUST-6205</v>
      </c>
      <c r="E699" t="str">
        <f>PROPER(TRIM([1]raw_orders!E699))</f>
        <v>Arjun Bose</v>
      </c>
      <c r="F699" t="str">
        <f>PROPER(TRIM([1]raw_orders!F699))</f>
        <v>Corporate</v>
      </c>
      <c r="G699" t="str">
        <f>IF(TRIM([1]raw_orders!G699)="","Unknown",PROPER(TRIM([1]raw_orders!G699)))</f>
        <v>South</v>
      </c>
      <c r="H699" t="str">
        <f>PROPER(TRIM([1]raw_orders!H699))</f>
        <v>Andhra Pradesh</v>
      </c>
      <c r="I699" t="str">
        <f>PROPER(TRIM([1]raw_orders!I699))</f>
        <v>Vijayawada</v>
      </c>
      <c r="J699" t="str">
        <f>PROPER(TRIM([1]raw_orders!J699))</f>
        <v>Office Supplies</v>
      </c>
      <c r="K699" t="str">
        <f>PROPER(TRIM([1]raw_orders!K699))</f>
        <v>Labels</v>
      </c>
      <c r="L699" t="str">
        <f>[1]raw_orders!L699</f>
        <v>Max Labels 970</v>
      </c>
      <c r="M699" t="str">
        <f>IF(TRIM([1]raw_orders!M699)="","Unknown",PROPER(TRIM([1]raw_orders!M699)))</f>
        <v>First Class</v>
      </c>
      <c r="N699" s="5">
        <f>[1]raw_orders!N699</f>
        <v>7</v>
      </c>
      <c r="O699" s="5">
        <f>[1]raw_orders!O699</f>
        <v>567.15</v>
      </c>
      <c r="P699" s="5">
        <f>[1]raw_orders!P699</f>
        <v>0</v>
      </c>
      <c r="Q699" t="str">
        <f>PROPER(TRIM([1]raw_orders!T699))</f>
        <v>Refunded</v>
      </c>
      <c r="R699" t="str">
        <f>PROPER(TRIM([1]raw_orders!U699))</f>
        <v>Returned</v>
      </c>
      <c r="S699" s="5">
        <f>[1]raw_orders!S699</f>
        <v>1128.24</v>
      </c>
      <c r="T699" s="5">
        <f t="shared" si="80"/>
        <v>11.282400000000001</v>
      </c>
      <c r="U699" s="5">
        <f t="shared" si="81"/>
        <v>-40821.642120000004</v>
      </c>
      <c r="V699" s="5">
        <f t="shared" si="82"/>
        <v>-40821.642120000004</v>
      </c>
      <c r="W699" s="5">
        <f t="shared" si="83"/>
        <v>1</v>
      </c>
      <c r="X699" s="5">
        <f t="shared" si="84"/>
        <v>63</v>
      </c>
      <c r="Y699" s="5">
        <f t="shared" si="85"/>
        <v>1</v>
      </c>
      <c r="Z699" s="5">
        <f t="shared" si="86"/>
        <v>2025</v>
      </c>
      <c r="AA699" t="str">
        <f t="shared" si="87"/>
        <v>Clean</v>
      </c>
    </row>
    <row r="700" spans="1:27" x14ac:dyDescent="0.3">
      <c r="A700" t="str">
        <f>[1]raw_orders!A700</f>
        <v>ORD-2024-10699</v>
      </c>
      <c r="B700" s="4">
        <f>IFERROR(DATEVALUE([1]raw_orders!B700), "Invalid Date")</f>
        <v>45549</v>
      </c>
      <c r="C700" s="4">
        <f>IFERROR(DATEVALUE([1]raw_orders!C700), "Invalid Date")</f>
        <v>45549</v>
      </c>
      <c r="D700" t="str">
        <f>[1]raw_orders!D700</f>
        <v>CUST-5357</v>
      </c>
      <c r="E700" t="str">
        <f>PROPER(TRIM([1]raw_orders!E700))</f>
        <v>Mira Das</v>
      </c>
      <c r="F700" t="str">
        <f>PROPER(TRIM([1]raw_orders!F700))</f>
        <v>Corporate</v>
      </c>
      <c r="G700" t="str">
        <f>IF(TRIM([1]raw_orders!G700)="","Unknown",PROPER(TRIM([1]raw_orders!G700)))</f>
        <v>North</v>
      </c>
      <c r="H700" t="str">
        <f>PROPER(TRIM([1]raw_orders!H700))</f>
        <v>Rajasthan</v>
      </c>
      <c r="I700" t="str">
        <f>PROPER(TRIM([1]raw_orders!I700))</f>
        <v>Jaipur</v>
      </c>
      <c r="J700" t="str">
        <f>PROPER(TRIM([1]raw_orders!J700))</f>
        <v>Technology</v>
      </c>
      <c r="K700" t="str">
        <f>PROPER(TRIM([1]raw_orders!K700))</f>
        <v>Machines</v>
      </c>
      <c r="L700" t="str">
        <f>[1]raw_orders!L700</f>
        <v>Classic Machines 648</v>
      </c>
      <c r="M700" t="str">
        <f>IF(TRIM([1]raw_orders!M700)="","Unknown",PROPER(TRIM([1]raw_orders!M700)))</f>
        <v>Standard Class</v>
      </c>
      <c r="N700" s="5">
        <f>[1]raw_orders!N700</f>
        <v>8</v>
      </c>
      <c r="O700" s="5">
        <f>[1]raw_orders!O700</f>
        <v>4081.66</v>
      </c>
      <c r="P700" s="5">
        <f>[1]raw_orders!P700</f>
        <v>0.15</v>
      </c>
      <c r="Q700" t="str">
        <f>PROPER(TRIM([1]raw_orders!T700))</f>
        <v>Paid</v>
      </c>
      <c r="R700" t="str">
        <f>PROPER(TRIM([1]raw_orders!U700))</f>
        <v>Returned</v>
      </c>
      <c r="S700" s="5">
        <f>[1]raw_orders!S700</f>
        <v>4003.38</v>
      </c>
      <c r="T700" s="5">
        <f t="shared" si="80"/>
        <v>40.033799999999999</v>
      </c>
      <c r="U700" s="5">
        <f t="shared" si="81"/>
        <v>-1274581.6008639999</v>
      </c>
      <c r="V700" s="5">
        <f t="shared" si="82"/>
        <v>-1274581.7508639998</v>
      </c>
      <c r="W700" s="5">
        <f t="shared" si="83"/>
        <v>1.0000001176856781</v>
      </c>
      <c r="X700" s="5">
        <f t="shared" si="84"/>
        <v>0</v>
      </c>
      <c r="Y700" s="5">
        <f t="shared" si="85"/>
        <v>9</v>
      </c>
      <c r="Z700" s="5">
        <f t="shared" si="86"/>
        <v>2024</v>
      </c>
      <c r="AA700" t="str">
        <f t="shared" si="87"/>
        <v>Clean</v>
      </c>
    </row>
    <row r="701" spans="1:27" x14ac:dyDescent="0.3">
      <c r="A701" t="str">
        <f>[1]raw_orders!A701</f>
        <v>ORD-2024-10700</v>
      </c>
      <c r="B701" s="4">
        <f>IFERROR(DATEVALUE([1]raw_orders!B701), "Invalid Date")</f>
        <v>45454</v>
      </c>
      <c r="C701" s="4">
        <f>IFERROR(DATEVALUE([1]raw_orders!C701), "Invalid Date")</f>
        <v>45454</v>
      </c>
      <c r="D701" t="str">
        <f>[1]raw_orders!D701</f>
        <v>CUST-9802</v>
      </c>
      <c r="E701" t="str">
        <f>PROPER(TRIM([1]raw_orders!E701))</f>
        <v>Arjun Bose</v>
      </c>
      <c r="F701" t="str">
        <f>PROPER(TRIM([1]raw_orders!F701))</f>
        <v>Small Business</v>
      </c>
      <c r="G701" t="str">
        <f>IF(TRIM([1]raw_orders!G701)="","Unknown",PROPER(TRIM([1]raw_orders!G701)))</f>
        <v>South</v>
      </c>
      <c r="H701" t="str">
        <f>PROPER(TRIM([1]raw_orders!H701))</f>
        <v>Karnataka</v>
      </c>
      <c r="I701" t="str">
        <f>PROPER(TRIM([1]raw_orders!I701))</f>
        <v>Bengaluru</v>
      </c>
      <c r="J701" t="str">
        <f>PROPER(TRIM([1]raw_orders!J701))</f>
        <v>Furniture</v>
      </c>
      <c r="K701" t="str">
        <f>PROPER(TRIM([1]raw_orders!K701))</f>
        <v>Bookcases</v>
      </c>
      <c r="L701" t="str">
        <f>[1]raw_orders!L701</f>
        <v>Max Bookcases 565</v>
      </c>
      <c r="M701" t="str">
        <f>IF(TRIM([1]raw_orders!M701)="","Unknown",PROPER(TRIM([1]raw_orders!M701)))</f>
        <v>Standard Class</v>
      </c>
      <c r="N701" s="5">
        <f>[1]raw_orders!N701</f>
        <v>9</v>
      </c>
      <c r="O701" s="5">
        <f>[1]raw_orders!O701</f>
        <v>1400.11</v>
      </c>
      <c r="P701" s="5">
        <f>[1]raw_orders!P701</f>
        <v>0.25</v>
      </c>
      <c r="Q701" t="str">
        <f>PROPER(TRIM([1]raw_orders!T701))</f>
        <v>Paid</v>
      </c>
      <c r="R701" t="str">
        <f>PROPER(TRIM([1]raw_orders!U701))</f>
        <v>Completed</v>
      </c>
      <c r="S701" s="5">
        <f>[1]raw_orders!S701</f>
        <v>1652.18</v>
      </c>
      <c r="T701" s="5">
        <f t="shared" si="80"/>
        <v>16.521799999999999</v>
      </c>
      <c r="U701" s="5">
        <f t="shared" si="81"/>
        <v>-195590.04658199998</v>
      </c>
      <c r="V701" s="5">
        <f t="shared" si="82"/>
        <v>-195590.29658199998</v>
      </c>
      <c r="W701" s="5">
        <f t="shared" si="83"/>
        <v>1.0000012781836518</v>
      </c>
      <c r="X701" s="5">
        <f t="shared" si="84"/>
        <v>0</v>
      </c>
      <c r="Y701" s="5">
        <f t="shared" si="85"/>
        <v>6</v>
      </c>
      <c r="Z701" s="5">
        <f t="shared" si="86"/>
        <v>2024</v>
      </c>
      <c r="AA701" t="str">
        <f t="shared" si="87"/>
        <v>Clean</v>
      </c>
    </row>
    <row r="702" spans="1:27" x14ac:dyDescent="0.3">
      <c r="A702" t="str">
        <f>[1]raw_orders!A702</f>
        <v>ORD-2024-10701</v>
      </c>
      <c r="B702" s="4">
        <f>IFERROR(DATEVALUE([1]raw_orders!B702), "Invalid Date")</f>
        <v>45553</v>
      </c>
      <c r="C702" s="4" t="str">
        <f>IFERROR(DATEVALUE([1]raw_orders!C702), "Invalid Date")</f>
        <v>Invalid Date</v>
      </c>
      <c r="D702" t="str">
        <f>[1]raw_orders!D702</f>
        <v>CUST-5646</v>
      </c>
      <c r="E702" t="str">
        <f>PROPER(TRIM([1]raw_orders!E702))</f>
        <v>Neha Gupta</v>
      </c>
      <c r="F702" t="str">
        <f>PROPER(TRIM([1]raw_orders!F702))</f>
        <v>Corporate</v>
      </c>
      <c r="G702" t="str">
        <f>IF(TRIM([1]raw_orders!G702)="","Unknown",PROPER(TRIM([1]raw_orders!G702)))</f>
        <v>East</v>
      </c>
      <c r="H702" t="str">
        <f>PROPER(TRIM([1]raw_orders!H702))</f>
        <v>West Bengal</v>
      </c>
      <c r="I702" t="str">
        <f>PROPER(TRIM([1]raw_orders!I702))</f>
        <v>Kolkata</v>
      </c>
      <c r="J702" t="str">
        <f>PROPER(TRIM([1]raw_orders!J702))</f>
        <v>Technology</v>
      </c>
      <c r="K702" t="str">
        <f>PROPER(TRIM([1]raw_orders!K702))</f>
        <v>Machines</v>
      </c>
      <c r="L702" t="str">
        <f>[1]raw_orders!L702</f>
        <v>Basic Machines 220</v>
      </c>
      <c r="M702" t="str">
        <f>IF(TRIM([1]raw_orders!M702)="","Unknown",PROPER(TRIM([1]raw_orders!M702)))</f>
        <v>Standard Class</v>
      </c>
      <c r="N702" s="5">
        <f>[1]raw_orders!N702</f>
        <v>3</v>
      </c>
      <c r="O702" s="5">
        <f>[1]raw_orders!O702</f>
        <v>3055.9</v>
      </c>
      <c r="P702" s="5">
        <f>[1]raw_orders!P702</f>
        <v>0.15</v>
      </c>
      <c r="Q702" t="str">
        <f>PROPER(TRIM([1]raw_orders!T702))</f>
        <v>Paid</v>
      </c>
      <c r="R702" t="str">
        <f>PROPER(TRIM([1]raw_orders!U702))</f>
        <v>Completed</v>
      </c>
      <c r="S702" s="5">
        <f>[1]raw_orders!S702</f>
        <v>3100.82</v>
      </c>
      <c r="T702" s="5">
        <f t="shared" si="80"/>
        <v>31.008200000000002</v>
      </c>
      <c r="U702" s="5">
        <f t="shared" si="81"/>
        <v>-275106.17514000006</v>
      </c>
      <c r="V702" s="5">
        <f t="shared" si="82"/>
        <v>-275106.32514000009</v>
      </c>
      <c r="W702" s="5">
        <f t="shared" si="83"/>
        <v>1.0000005452440315</v>
      </c>
      <c r="X702" s="5" t="str">
        <f t="shared" si="84"/>
        <v>Invalid Date</v>
      </c>
      <c r="Y702" s="5">
        <f t="shared" si="85"/>
        <v>9</v>
      </c>
      <c r="Z702" s="5">
        <f t="shared" si="86"/>
        <v>2024</v>
      </c>
      <c r="AA702" t="str">
        <f t="shared" si="87"/>
        <v>Clean</v>
      </c>
    </row>
    <row r="703" spans="1:27" x14ac:dyDescent="0.3">
      <c r="A703" t="str">
        <f>[1]raw_orders!A703</f>
        <v>ORD-2024-10702</v>
      </c>
      <c r="B703" s="4">
        <f>IFERROR(DATEVALUE([1]raw_orders!B703), "Invalid Date")</f>
        <v>45412</v>
      </c>
      <c r="C703" s="4">
        <f>IFERROR(DATEVALUE([1]raw_orders!C703), "Invalid Date")</f>
        <v>45416</v>
      </c>
      <c r="D703" t="str">
        <f>[1]raw_orders!D703</f>
        <v>CUST-7171</v>
      </c>
      <c r="E703" t="str">
        <f>PROPER(TRIM([1]raw_orders!E703))</f>
        <v>Rohan Mehta</v>
      </c>
      <c r="F703" t="str">
        <f>PROPER(TRIM([1]raw_orders!F703))</f>
        <v>Small Business</v>
      </c>
      <c r="G703" t="str">
        <f>IF(TRIM([1]raw_orders!G703)="","Unknown",PROPER(TRIM([1]raw_orders!G703)))</f>
        <v>West</v>
      </c>
      <c r="H703" t="str">
        <f>PROPER(TRIM([1]raw_orders!H703))</f>
        <v>Gujarat</v>
      </c>
      <c r="I703" t="str">
        <f>PROPER(TRIM([1]raw_orders!I703))</f>
        <v>Ahmedabad</v>
      </c>
      <c r="J703" t="str">
        <f>PROPER(TRIM([1]raw_orders!J703))</f>
        <v>Office Supplies</v>
      </c>
      <c r="K703" t="str">
        <f>PROPER(TRIM([1]raw_orders!K703))</f>
        <v>Art</v>
      </c>
      <c r="L703" t="str">
        <f>[1]raw_orders!L703</f>
        <v>Pro Art 151</v>
      </c>
      <c r="M703" t="str">
        <f>IF(TRIM([1]raw_orders!M703)="","Unknown",PROPER(TRIM([1]raw_orders!M703)))</f>
        <v>Same Day</v>
      </c>
      <c r="N703" s="5">
        <f>[1]raw_orders!N703</f>
        <v>7</v>
      </c>
      <c r="O703" s="5">
        <f>[1]raw_orders!O703</f>
        <v>1224.94</v>
      </c>
      <c r="P703" s="5">
        <f>[1]raw_orders!P703</f>
        <v>0</v>
      </c>
      <c r="Q703" t="str">
        <f>PROPER(TRIM([1]raw_orders!T703))</f>
        <v>Paid</v>
      </c>
      <c r="R703" t="str">
        <f>PROPER(TRIM([1]raw_orders!U703))</f>
        <v>Returned</v>
      </c>
      <c r="S703" s="5">
        <f>[1]raw_orders!S703</f>
        <v>1888.77</v>
      </c>
      <c r="T703" s="5">
        <f t="shared" si="80"/>
        <v>18.887699999999999</v>
      </c>
      <c r="U703" s="5">
        <f t="shared" si="81"/>
        <v>-153379.514666</v>
      </c>
      <c r="V703" s="5">
        <f t="shared" si="82"/>
        <v>-153379.514666</v>
      </c>
      <c r="W703" s="5">
        <f t="shared" si="83"/>
        <v>1</v>
      </c>
      <c r="X703" s="5">
        <f t="shared" si="84"/>
        <v>4</v>
      </c>
      <c r="Y703" s="5">
        <f t="shared" si="85"/>
        <v>4</v>
      </c>
      <c r="Z703" s="5">
        <f t="shared" si="86"/>
        <v>2024</v>
      </c>
      <c r="AA703" t="str">
        <f t="shared" si="87"/>
        <v>Clean</v>
      </c>
    </row>
    <row r="704" spans="1:27" x14ac:dyDescent="0.3">
      <c r="A704" t="str">
        <f>[1]raw_orders!A704</f>
        <v>ORD-2025-10703</v>
      </c>
      <c r="B704" s="4">
        <f>IFERROR(DATEVALUE([1]raw_orders!B704), "Invalid Date")</f>
        <v>45690</v>
      </c>
      <c r="C704" s="4">
        <f>IFERROR(DATEVALUE([1]raw_orders!C704), "Invalid Date")</f>
        <v>45810</v>
      </c>
      <c r="D704" t="str">
        <f>[1]raw_orders!D704</f>
        <v>CUST-5231</v>
      </c>
      <c r="E704" t="str">
        <f>PROPER(TRIM([1]raw_orders!E704))</f>
        <v>Karan Malhotra</v>
      </c>
      <c r="F704" t="str">
        <f>PROPER(TRIM([1]raw_orders!F704))</f>
        <v>Small Business</v>
      </c>
      <c r="G704" t="str">
        <f>IF(TRIM([1]raw_orders!G704)="","Unknown",PROPER(TRIM([1]raw_orders!G704)))</f>
        <v>West</v>
      </c>
      <c r="H704" t="str">
        <f>PROPER(TRIM([1]raw_orders!H704))</f>
        <v>Rajasthan</v>
      </c>
      <c r="I704" t="str">
        <f>PROPER(TRIM([1]raw_orders!I704))</f>
        <v>Udaipur</v>
      </c>
      <c r="J704" t="str">
        <f>PROPER(TRIM([1]raw_orders!J704))</f>
        <v>Furniture</v>
      </c>
      <c r="K704" t="str">
        <f>PROPER(TRIM([1]raw_orders!K704))</f>
        <v>Tables</v>
      </c>
      <c r="L704" t="str">
        <f>[1]raw_orders!L704</f>
        <v>Pro Tables 980</v>
      </c>
      <c r="M704" t="str">
        <f>IF(TRIM([1]raw_orders!M704)="","Unknown",PROPER(TRIM([1]raw_orders!M704)))</f>
        <v>Second Class</v>
      </c>
      <c r="N704" s="5">
        <f>[1]raw_orders!N704</f>
        <v>3</v>
      </c>
      <c r="O704" s="5">
        <f>[1]raw_orders!O704</f>
        <v>997.34</v>
      </c>
      <c r="P704" s="5">
        <f>[1]raw_orders!P704</f>
        <v>0.1</v>
      </c>
      <c r="Q704" t="str">
        <f>PROPER(TRIM([1]raw_orders!T704))</f>
        <v>Paid</v>
      </c>
      <c r="R704" t="str">
        <f>PROPER(TRIM([1]raw_orders!U704))</f>
        <v>Completed</v>
      </c>
      <c r="S704" s="5">
        <f>[1]raw_orders!S704</f>
        <v>872.74</v>
      </c>
      <c r="T704" s="5">
        <f t="shared" si="80"/>
        <v>8.7273999999999994</v>
      </c>
      <c r="U704" s="5">
        <f t="shared" si="81"/>
        <v>-23120.535347999998</v>
      </c>
      <c r="V704" s="5">
        <f t="shared" si="82"/>
        <v>-23120.635347999996</v>
      </c>
      <c r="W704" s="5">
        <f t="shared" si="83"/>
        <v>1.0000043251593655</v>
      </c>
      <c r="X704" s="5">
        <f t="shared" si="84"/>
        <v>120</v>
      </c>
      <c r="Y704" s="5">
        <f t="shared" si="85"/>
        <v>2</v>
      </c>
      <c r="Z704" s="5">
        <f t="shared" si="86"/>
        <v>2025</v>
      </c>
      <c r="AA704" t="str">
        <f t="shared" si="87"/>
        <v>Clean</v>
      </c>
    </row>
    <row r="705" spans="1:27" x14ac:dyDescent="0.3">
      <c r="A705" t="str">
        <f>[1]raw_orders!A705</f>
        <v>ORD-2024-10704</v>
      </c>
      <c r="B705" s="4">
        <f>IFERROR(DATEVALUE([1]raw_orders!B705), "Invalid Date")</f>
        <v>45584</v>
      </c>
      <c r="C705" s="4">
        <f>IFERROR(DATEVALUE([1]raw_orders!C705), "Invalid Date")</f>
        <v>45585</v>
      </c>
      <c r="D705" t="str">
        <f>[1]raw_orders!D705</f>
        <v>CUST-8734</v>
      </c>
      <c r="E705" t="str">
        <f>PROPER(TRIM([1]raw_orders!E705))</f>
        <v>Aditi Sen</v>
      </c>
      <c r="F705" t="str">
        <f>PROPER(TRIM([1]raw_orders!F705))</f>
        <v>Corporate</v>
      </c>
      <c r="G705" t="str">
        <f>IF(TRIM([1]raw_orders!G705)="","Unknown",PROPER(TRIM([1]raw_orders!G705)))</f>
        <v>North</v>
      </c>
      <c r="H705" t="str">
        <f>PROPER(TRIM([1]raw_orders!H705))</f>
        <v>Rajasthan</v>
      </c>
      <c r="I705" t="str">
        <f>PROPER(TRIM([1]raw_orders!I705))</f>
        <v>Jaipur</v>
      </c>
      <c r="J705" t="str">
        <f>PROPER(TRIM([1]raw_orders!J705))</f>
        <v>Furniture</v>
      </c>
      <c r="K705" t="str">
        <f>PROPER(TRIM([1]raw_orders!K705))</f>
        <v>Tables</v>
      </c>
      <c r="L705" t="str">
        <f>[1]raw_orders!L705</f>
        <v>Classic Tables 997</v>
      </c>
      <c r="M705" t="str">
        <f>IF(TRIM([1]raw_orders!M705)="","Unknown",PROPER(TRIM([1]raw_orders!M705)))</f>
        <v>First Class</v>
      </c>
      <c r="N705" s="5">
        <f>[1]raw_orders!N705</f>
        <v>1</v>
      </c>
      <c r="O705" s="5">
        <f>[1]raw_orders!O705</f>
        <v>1150.03</v>
      </c>
      <c r="P705" s="5">
        <f>[1]raw_orders!P705</f>
        <v>0.1</v>
      </c>
      <c r="Q705" t="str">
        <f>PROPER(TRIM([1]raw_orders!T705))</f>
        <v>Paid</v>
      </c>
      <c r="R705" t="str">
        <f>PROPER(TRIM([1]raw_orders!U705))</f>
        <v>Completed</v>
      </c>
      <c r="S705" s="5">
        <f>[1]raw_orders!S705</f>
        <v>180.68</v>
      </c>
      <c r="T705" s="5">
        <f t="shared" si="80"/>
        <v>1.8068</v>
      </c>
      <c r="U705" s="5">
        <f t="shared" si="81"/>
        <v>-927.84420399999999</v>
      </c>
      <c r="V705" s="5">
        <f t="shared" si="82"/>
        <v>-927.94420400000001</v>
      </c>
      <c r="W705" s="5">
        <f t="shared" si="83"/>
        <v>1.0001077767146347</v>
      </c>
      <c r="X705" s="5">
        <f t="shared" si="84"/>
        <v>1</v>
      </c>
      <c r="Y705" s="5">
        <f t="shared" si="85"/>
        <v>10</v>
      </c>
      <c r="Z705" s="5">
        <f t="shared" si="86"/>
        <v>2024</v>
      </c>
      <c r="AA705" t="str">
        <f t="shared" si="87"/>
        <v>Clean</v>
      </c>
    </row>
    <row r="706" spans="1:27" x14ac:dyDescent="0.3">
      <c r="A706" t="str">
        <f>[1]raw_orders!A706</f>
        <v>ORD-2024-10705</v>
      </c>
      <c r="B706" s="4">
        <f>IFERROR(DATEVALUE([1]raw_orders!B706), "Invalid Date")</f>
        <v>45364</v>
      </c>
      <c r="C706" s="4" t="str">
        <f>IFERROR(DATEVALUE([1]raw_orders!C706), "Invalid Date")</f>
        <v>Invalid Date</v>
      </c>
      <c r="D706" t="str">
        <f>[1]raw_orders!D706</f>
        <v>CUST-4916</v>
      </c>
      <c r="E706" t="str">
        <f>PROPER(TRIM([1]raw_orders!E706))</f>
        <v>Priya Menon</v>
      </c>
      <c r="F706" t="str">
        <f>PROPER(TRIM([1]raw_orders!F706))</f>
        <v>Home Office</v>
      </c>
      <c r="G706" t="str">
        <f>IF(TRIM([1]raw_orders!G706)="","Unknown",PROPER(TRIM([1]raw_orders!G706)))</f>
        <v>South</v>
      </c>
      <c r="H706" t="str">
        <f>PROPER(TRIM([1]raw_orders!H706))</f>
        <v>Tamil Nadu</v>
      </c>
      <c r="I706" t="str">
        <f>PROPER(TRIM([1]raw_orders!I706))</f>
        <v>Chennai</v>
      </c>
      <c r="J706" t="str">
        <f>PROPER(TRIM([1]raw_orders!J706))</f>
        <v>Furniture</v>
      </c>
      <c r="K706" t="str">
        <f>PROPER(TRIM([1]raw_orders!K706))</f>
        <v>Bookcases</v>
      </c>
      <c r="L706" t="str">
        <f>[1]raw_orders!L706</f>
        <v>Max Bookcases 738</v>
      </c>
      <c r="M706" t="str">
        <f>IF(TRIM([1]raw_orders!M706)="","Unknown",PROPER(TRIM([1]raw_orders!M706)))</f>
        <v>Unknown</v>
      </c>
      <c r="N706" s="5">
        <f>[1]raw_orders!N706</f>
        <v>1</v>
      </c>
      <c r="O706" s="5">
        <f>[1]raw_orders!O706</f>
        <v>2825.63</v>
      </c>
      <c r="P706" s="5">
        <f>[1]raw_orders!P706</f>
        <v>0.15</v>
      </c>
      <c r="Q706" t="str">
        <f>PROPER(TRIM([1]raw_orders!T706))</f>
        <v>Paid</v>
      </c>
      <c r="R706" t="str">
        <f>PROPER(TRIM([1]raw_orders!U706))</f>
        <v>Completed</v>
      </c>
      <c r="S706" s="5">
        <f>[1]raw_orders!S706</f>
        <v>581.45000000000005</v>
      </c>
      <c r="T706" s="5">
        <f t="shared" si="80"/>
        <v>5.8145000000000007</v>
      </c>
      <c r="U706" s="5">
        <f t="shared" si="81"/>
        <v>-13603.995635000003</v>
      </c>
      <c r="V706" s="5">
        <f t="shared" si="82"/>
        <v>-13604.145635000003</v>
      </c>
      <c r="W706" s="5">
        <f t="shared" si="83"/>
        <v>1.0000110261723116</v>
      </c>
      <c r="X706" s="5" t="str">
        <f t="shared" si="84"/>
        <v>Invalid Date</v>
      </c>
      <c r="Y706" s="5">
        <f t="shared" si="85"/>
        <v>3</v>
      </c>
      <c r="Z706" s="5">
        <f t="shared" si="86"/>
        <v>2024</v>
      </c>
      <c r="AA706" t="str">
        <f t="shared" si="87"/>
        <v>Warning</v>
      </c>
    </row>
    <row r="707" spans="1:27" x14ac:dyDescent="0.3">
      <c r="A707" t="str">
        <f>[1]raw_orders!A707</f>
        <v>ORD-2024-10706</v>
      </c>
      <c r="B707" s="4">
        <f>IFERROR(DATEVALUE([1]raw_orders!B707), "Invalid Date")</f>
        <v>45543</v>
      </c>
      <c r="C707" s="4" t="str">
        <f>IFERROR(DATEVALUE([1]raw_orders!C707), "Invalid Date")</f>
        <v>Invalid Date</v>
      </c>
      <c r="D707" t="str">
        <f>[1]raw_orders!D707</f>
        <v>CUST-3289</v>
      </c>
      <c r="E707" t="str">
        <f>PROPER(TRIM([1]raw_orders!E707))</f>
        <v>Rohan Mehta</v>
      </c>
      <c r="F707" t="str">
        <f>PROPER(TRIM([1]raw_orders!F707))</f>
        <v>Consumer</v>
      </c>
      <c r="G707" t="str">
        <f>IF(TRIM([1]raw_orders!G707)="","Unknown",PROPER(TRIM([1]raw_orders!G707)))</f>
        <v>North</v>
      </c>
      <c r="H707" t="str">
        <f>PROPER(TRIM([1]raw_orders!H707))</f>
        <v>Rajasthan</v>
      </c>
      <c r="I707" t="str">
        <f>PROPER(TRIM([1]raw_orders!I707))</f>
        <v>Jaipur</v>
      </c>
      <c r="J707" t="str">
        <f>PROPER(TRIM([1]raw_orders!J707))</f>
        <v>Office Supplies</v>
      </c>
      <c r="K707" t="str">
        <f>PROPER(TRIM([1]raw_orders!K707))</f>
        <v>Binders</v>
      </c>
      <c r="L707" t="str">
        <f>[1]raw_orders!L707</f>
        <v>Max Binders 411</v>
      </c>
      <c r="M707" t="str">
        <f>IF(TRIM([1]raw_orders!M707)="","Unknown",PROPER(TRIM([1]raw_orders!M707)))</f>
        <v>Standard Class</v>
      </c>
      <c r="N707" s="5">
        <f>[1]raw_orders!N707</f>
        <v>5</v>
      </c>
      <c r="O707" s="5">
        <f>[1]raw_orders!O707</f>
        <v>3371.75</v>
      </c>
      <c r="P707" s="5">
        <f>[1]raw_orders!P707</f>
        <v>0.05</v>
      </c>
      <c r="Q707" t="str">
        <f>PROPER(TRIM([1]raw_orders!T707))</f>
        <v>Paid</v>
      </c>
      <c r="R707" t="str">
        <f>PROPER(TRIM([1]raw_orders!U707))</f>
        <v>Completed</v>
      </c>
      <c r="S707" s="5">
        <f>[1]raw_orders!S707</f>
        <v>4663.43</v>
      </c>
      <c r="T707" s="5">
        <f t="shared" ref="T707:T770" si="88">IF(AND(ISNUMBER(S707),S707&gt;=0,S707&lt;=1),S707,IF(S707="",0,IF(S707&lt;0,"INVALID - Negative",IF(S707&gt;1,S707/100,"INVALID"))))</f>
        <v>46.634300000000003</v>
      </c>
      <c r="U707" s="5">
        <f t="shared" ref="U707:U770" si="89">IF(AND(ISNUMBER(N707),ISNUMBER(O707),OR(ISNUMBER(T707),T707=0)),N707*O707*(1-IF(ISNUMBER(T707),T707,0)),"Calculation Error")</f>
        <v>-769337.25512500003</v>
      </c>
      <c r="V707" s="5">
        <f t="shared" ref="V707:V770" si="90">IF(AND(ISNUMBER(U707),ISNUMBER(P707)),U707-P707,"Calculation Error")</f>
        <v>-769337.30512500007</v>
      </c>
      <c r="W707" s="5">
        <f t="shared" ref="W707:W770" si="91">IF(AND(ISNUMBER(V707),ISNUMBER(U707),U707&lt;&gt;0),V707/U707,IF(U707=0,"N/A","Calculation Error"))</f>
        <v>1.0000000649910032</v>
      </c>
      <c r="X707" s="5" t="str">
        <f t="shared" ref="X707:X770" si="92">IF(AND(ISNUMBER(B707),ISNUMBER(C707)),C707-B707,"Invalid Date")</f>
        <v>Invalid Date</v>
      </c>
      <c r="Y707" s="5">
        <f t="shared" ref="Y707:Y770" si="93">MONTH(B707)</f>
        <v>9</v>
      </c>
      <c r="Z707" s="5">
        <f t="shared" ref="Z707:Z770" si="94">YEAR(B707)</f>
        <v>2024</v>
      </c>
      <c r="AA707" t="str">
        <f t="shared" ref="AA707:AA770" si="95">IF(OR(G707="Unknown",M707="Unknown",T707="INVALID - Negative",T707="INVALID",X707&lt;0,R707="Duplicate ID - Review Required"),IF(OR(T707="INVALID - Negative",T707="INVALID",X707&lt;0,R707="Duplicate ID - Review Required"),"Invalid","Warning"),"Clean")</f>
        <v>Clean</v>
      </c>
    </row>
    <row r="708" spans="1:27" x14ac:dyDescent="0.3">
      <c r="A708" t="str">
        <f>[1]raw_orders!A708</f>
        <v>ORD-2024-10707</v>
      </c>
      <c r="B708" s="4">
        <f>IFERROR(DATEVALUE([1]raw_orders!B708), "Invalid Date")</f>
        <v>45467</v>
      </c>
      <c r="C708" s="4">
        <f>IFERROR(DATEVALUE([1]raw_orders!C708), "Invalid Date")</f>
        <v>45471</v>
      </c>
      <c r="D708" t="str">
        <f>[1]raw_orders!D708</f>
        <v>CUST-4928</v>
      </c>
      <c r="E708" t="str">
        <f>PROPER(TRIM([1]raw_orders!E708))</f>
        <v>Isha Nair</v>
      </c>
      <c r="F708" t="str">
        <f>PROPER(TRIM([1]raw_orders!F708))</f>
        <v>Small Business</v>
      </c>
      <c r="G708" t="str">
        <f>IF(TRIM([1]raw_orders!G708)="","Unknown",PROPER(TRIM([1]raw_orders!G708)))</f>
        <v>East</v>
      </c>
      <c r="H708" t="str">
        <f>PROPER(TRIM([1]raw_orders!H708))</f>
        <v>Odisha</v>
      </c>
      <c r="I708" t="str">
        <f>PROPER(TRIM([1]raw_orders!I708))</f>
        <v>Bhubaneswar</v>
      </c>
      <c r="J708" t="str">
        <f>PROPER(TRIM([1]raw_orders!J708))</f>
        <v>Office Supplies</v>
      </c>
      <c r="K708" t="str">
        <f>PROPER(TRIM([1]raw_orders!K708))</f>
        <v>Paper</v>
      </c>
      <c r="L708" t="str">
        <f>[1]raw_orders!L708</f>
        <v>Max Paper 343</v>
      </c>
      <c r="M708" t="str">
        <f>IF(TRIM([1]raw_orders!M708)="","Unknown",PROPER(TRIM([1]raw_orders!M708)))</f>
        <v>Same Day</v>
      </c>
      <c r="N708" s="5">
        <f>[1]raw_orders!N708</f>
        <v>1</v>
      </c>
      <c r="O708" s="5">
        <f>[1]raw_orders!O708</f>
        <v>2112.75</v>
      </c>
      <c r="P708" s="5">
        <f>[1]raw_orders!P708</f>
        <v>0.1</v>
      </c>
      <c r="Q708" t="str">
        <f>PROPER(TRIM([1]raw_orders!T708))</f>
        <v>Paid</v>
      </c>
      <c r="R708" t="str">
        <f>PROPER(TRIM([1]raw_orders!U708))</f>
        <v>Completed</v>
      </c>
      <c r="S708" s="5">
        <f>[1]raw_orders!S708</f>
        <v>547.20000000000005</v>
      </c>
      <c r="T708" s="5">
        <f t="shared" si="88"/>
        <v>5.4720000000000004</v>
      </c>
      <c r="U708" s="5">
        <f t="shared" si="89"/>
        <v>-9448.2180000000008</v>
      </c>
      <c r="V708" s="5">
        <f t="shared" si="90"/>
        <v>-9448.3180000000011</v>
      </c>
      <c r="W708" s="5">
        <f t="shared" si="91"/>
        <v>1.0000105840064233</v>
      </c>
      <c r="X708" s="5">
        <f t="shared" si="92"/>
        <v>4</v>
      </c>
      <c r="Y708" s="5">
        <f t="shared" si="93"/>
        <v>6</v>
      </c>
      <c r="Z708" s="5">
        <f t="shared" si="94"/>
        <v>2024</v>
      </c>
      <c r="AA708" t="str">
        <f t="shared" si="95"/>
        <v>Clean</v>
      </c>
    </row>
    <row r="709" spans="1:27" x14ac:dyDescent="0.3">
      <c r="A709" t="str">
        <f>[1]raw_orders!A709</f>
        <v>ORD-2025-10708</v>
      </c>
      <c r="B709" s="4">
        <f>IFERROR(DATEVALUE([1]raw_orders!B709), "Invalid Date")</f>
        <v>45832</v>
      </c>
      <c r="C709" s="4" t="str">
        <f>IFERROR(DATEVALUE([1]raw_orders!C709), "Invalid Date")</f>
        <v>Invalid Date</v>
      </c>
      <c r="D709" t="str">
        <f>[1]raw_orders!D709</f>
        <v>CUST-4902</v>
      </c>
      <c r="E709" t="str">
        <f>PROPER(TRIM([1]raw_orders!E709))</f>
        <v>Vikram Iyer</v>
      </c>
      <c r="F709" t="str">
        <f>PROPER(TRIM([1]raw_orders!F709))</f>
        <v>Consumer</v>
      </c>
      <c r="G709" t="str">
        <f>IF(TRIM([1]raw_orders!G709)="","Unknown",PROPER(TRIM([1]raw_orders!G709)))</f>
        <v>North</v>
      </c>
      <c r="H709" t="str">
        <f>PROPER(TRIM([1]raw_orders!H709))</f>
        <v>Rajasthan</v>
      </c>
      <c r="I709" t="str">
        <f>PROPER(TRIM([1]raw_orders!I709))</f>
        <v>Jaipur</v>
      </c>
      <c r="J709" t="str">
        <f>PROPER(TRIM([1]raw_orders!J709))</f>
        <v>Technology</v>
      </c>
      <c r="K709" t="str">
        <f>PROPER(TRIM([1]raw_orders!K709))</f>
        <v>Accessories</v>
      </c>
      <c r="L709" t="str">
        <f>[1]raw_orders!L709</f>
        <v>Pro Accessories 485</v>
      </c>
      <c r="M709" t="str">
        <f>IF(TRIM([1]raw_orders!M709)="","Unknown",PROPER(TRIM([1]raw_orders!M709)))</f>
        <v>Same Day</v>
      </c>
      <c r="N709" s="5">
        <f>[1]raw_orders!N709</f>
        <v>5</v>
      </c>
      <c r="O709" s="5">
        <f>[1]raw_orders!O709</f>
        <v>3722.66</v>
      </c>
      <c r="P709" s="5">
        <f>[1]raw_orders!P709</f>
        <v>0.55000000000000004</v>
      </c>
      <c r="Q709" t="str">
        <f>PROPER(TRIM([1]raw_orders!T709))</f>
        <v>Paid</v>
      </c>
      <c r="R709" t="str">
        <f>PROPER(TRIM([1]raw_orders!U709))</f>
        <v>Completed</v>
      </c>
      <c r="S709" s="5">
        <f>[1]raw_orders!S709</f>
        <v>5073.6499999999996</v>
      </c>
      <c r="T709" s="5">
        <f t="shared" si="88"/>
        <v>50.736499999999999</v>
      </c>
      <c r="U709" s="5">
        <f t="shared" si="89"/>
        <v>-925760.39544999995</v>
      </c>
      <c r="V709" s="5">
        <f t="shared" si="90"/>
        <v>-925760.94545</v>
      </c>
      <c r="W709" s="5">
        <f t="shared" si="91"/>
        <v>1.0000005941062102</v>
      </c>
      <c r="X709" s="5" t="str">
        <f t="shared" si="92"/>
        <v>Invalid Date</v>
      </c>
      <c r="Y709" s="5">
        <f t="shared" si="93"/>
        <v>6</v>
      </c>
      <c r="Z709" s="5">
        <f t="shared" si="94"/>
        <v>2025</v>
      </c>
      <c r="AA709" t="str">
        <f t="shared" si="95"/>
        <v>Clean</v>
      </c>
    </row>
    <row r="710" spans="1:27" x14ac:dyDescent="0.3">
      <c r="A710" t="str">
        <f>[1]raw_orders!A710</f>
        <v>ORD-2025-10709</v>
      </c>
      <c r="B710" s="4" t="str">
        <f>IFERROR(DATEVALUE([1]raw_orders!B710), "Invalid Date")</f>
        <v>Invalid Date</v>
      </c>
      <c r="C710" s="4">
        <f>IFERROR(DATEVALUE([1]raw_orders!C710), "Invalid Date")</f>
        <v>45742</v>
      </c>
      <c r="D710" t="str">
        <f>[1]raw_orders!D710</f>
        <v>CUST-6504</v>
      </c>
      <c r="E710" t="str">
        <f>PROPER(TRIM([1]raw_orders!E710))</f>
        <v>Sneha Kapoor</v>
      </c>
      <c r="F710" t="str">
        <f>PROPER(TRIM([1]raw_orders!F710))</f>
        <v>Consumer</v>
      </c>
      <c r="G710" t="str">
        <f>IF(TRIM([1]raw_orders!G710)="","Unknown",PROPER(TRIM([1]raw_orders!G710)))</f>
        <v>East</v>
      </c>
      <c r="H710" t="str">
        <f>PROPER(TRIM([1]raw_orders!H710))</f>
        <v>Assam</v>
      </c>
      <c r="I710" t="str">
        <f>PROPER(TRIM([1]raw_orders!I710))</f>
        <v>Guwahati</v>
      </c>
      <c r="J710" t="str">
        <f>PROPER(TRIM([1]raw_orders!J710))</f>
        <v>Furniture</v>
      </c>
      <c r="K710" t="str">
        <f>PROPER(TRIM([1]raw_orders!K710))</f>
        <v>Bookcases</v>
      </c>
      <c r="L710" t="str">
        <f>[1]raw_orders!L710</f>
        <v>Elite Bookcases 113</v>
      </c>
      <c r="M710" t="str">
        <f>IF(TRIM([1]raw_orders!M710)="","Unknown",PROPER(TRIM([1]raw_orders!M710)))</f>
        <v>First Class</v>
      </c>
      <c r="N710" s="5">
        <f>[1]raw_orders!N710</f>
        <v>4</v>
      </c>
      <c r="O710" s="5">
        <f>[1]raw_orders!O710</f>
        <v>4357.66</v>
      </c>
      <c r="P710" s="5">
        <f>[1]raw_orders!P710</f>
        <v>0.05</v>
      </c>
      <c r="Q710" t="str">
        <f>PROPER(TRIM([1]raw_orders!T710))</f>
        <v>Paid</v>
      </c>
      <c r="R710" t="str">
        <f>PROPER(TRIM([1]raw_orders!U710))</f>
        <v>Completed</v>
      </c>
      <c r="S710" s="5">
        <f>[1]raw_orders!S710</f>
        <v>3325.32</v>
      </c>
      <c r="T710" s="5">
        <f t="shared" si="88"/>
        <v>33.2532</v>
      </c>
      <c r="U710" s="5">
        <f t="shared" si="89"/>
        <v>-562193.91804799996</v>
      </c>
      <c r="V710" s="5">
        <f t="shared" si="90"/>
        <v>-562193.96804800001</v>
      </c>
      <c r="W710" s="5">
        <f t="shared" si="91"/>
        <v>1.0000000889372838</v>
      </c>
      <c r="X710" s="5" t="str">
        <f t="shared" si="92"/>
        <v>Invalid Date</v>
      </c>
      <c r="Y710" s="5" t="e">
        <f t="shared" si="93"/>
        <v>#VALUE!</v>
      </c>
      <c r="Z710" s="5" t="e">
        <f t="shared" si="94"/>
        <v>#VALUE!</v>
      </c>
      <c r="AA710" t="str">
        <f t="shared" si="95"/>
        <v>Clean</v>
      </c>
    </row>
    <row r="711" spans="1:27" x14ac:dyDescent="0.3">
      <c r="A711" t="str">
        <f>[1]raw_orders!A711</f>
        <v>ORD-2025-10710</v>
      </c>
      <c r="B711" s="4">
        <f>IFERROR(DATEVALUE([1]raw_orders!B711), "Invalid Date")</f>
        <v>45676</v>
      </c>
      <c r="C711" s="4">
        <f>IFERROR(DATEVALUE([1]raw_orders!C711), "Invalid Date")</f>
        <v>45680</v>
      </c>
      <c r="D711" t="str">
        <f>[1]raw_orders!D711</f>
        <v>CUST-8036</v>
      </c>
      <c r="E711" t="str">
        <f>PROPER(TRIM([1]raw_orders!E711))</f>
        <v>Kabir Singh</v>
      </c>
      <c r="F711" t="str">
        <f>PROPER(TRIM([1]raw_orders!F711))</f>
        <v>Home Office</v>
      </c>
      <c r="G711" t="str">
        <f>IF(TRIM([1]raw_orders!G711)="","Unknown",PROPER(TRIM([1]raw_orders!G711)))</f>
        <v>North</v>
      </c>
      <c r="H711" t="str">
        <f>PROPER(TRIM([1]raw_orders!H711))</f>
        <v>Punjab</v>
      </c>
      <c r="I711" t="str">
        <f>PROPER(TRIM([1]raw_orders!I711))</f>
        <v>Ludhiana</v>
      </c>
      <c r="J711" t="str">
        <f>PROPER(TRIM([1]raw_orders!J711))</f>
        <v>Technology</v>
      </c>
      <c r="K711" t="str">
        <f>PROPER(TRIM([1]raw_orders!K711))</f>
        <v>Phones</v>
      </c>
      <c r="L711" t="str">
        <f>[1]raw_orders!L711</f>
        <v>Eco Phones 787</v>
      </c>
      <c r="M711" t="str">
        <f>IF(TRIM([1]raw_orders!M711)="","Unknown",PROPER(TRIM([1]raw_orders!M711)))</f>
        <v>Same Day</v>
      </c>
      <c r="N711" s="5">
        <f>[1]raw_orders!N711</f>
        <v>7</v>
      </c>
      <c r="O711" s="5">
        <f>[1]raw_orders!O711</f>
        <v>1363.04</v>
      </c>
      <c r="P711" s="5">
        <f>[1]raw_orders!P711</f>
        <v>0.15</v>
      </c>
      <c r="Q711" t="str">
        <f>PROPER(TRIM([1]raw_orders!T711))</f>
        <v>Paid</v>
      </c>
      <c r="R711" t="str">
        <f>PROPER(TRIM([1]raw_orders!U711))</f>
        <v>Cancelled</v>
      </c>
      <c r="S711" s="5">
        <f>[1]raw_orders!S711</f>
        <v>1692.77</v>
      </c>
      <c r="T711" s="5">
        <f t="shared" si="88"/>
        <v>16.927700000000002</v>
      </c>
      <c r="U711" s="5">
        <f t="shared" si="89"/>
        <v>-151970.645456</v>
      </c>
      <c r="V711" s="5">
        <f t="shared" si="90"/>
        <v>-151970.79545599999</v>
      </c>
      <c r="W711" s="5">
        <f t="shared" si="91"/>
        <v>1.0000009870327229</v>
      </c>
      <c r="X711" s="5">
        <f t="shared" si="92"/>
        <v>4</v>
      </c>
      <c r="Y711" s="5">
        <f t="shared" si="93"/>
        <v>1</v>
      </c>
      <c r="Z711" s="5">
        <f t="shared" si="94"/>
        <v>2025</v>
      </c>
      <c r="AA711" t="str">
        <f t="shared" si="95"/>
        <v>Clean</v>
      </c>
    </row>
    <row r="712" spans="1:27" x14ac:dyDescent="0.3">
      <c r="A712" t="str">
        <f>[1]raw_orders!A712</f>
        <v>ORD-2024-10711</v>
      </c>
      <c r="B712" s="4">
        <f>IFERROR(DATEVALUE([1]raw_orders!B712), "Invalid Date")</f>
        <v>45633</v>
      </c>
      <c r="C712" s="4" t="str">
        <f>IFERROR(DATEVALUE([1]raw_orders!C712), "Invalid Date")</f>
        <v>Invalid Date</v>
      </c>
      <c r="D712" t="str">
        <f>[1]raw_orders!D712</f>
        <v>CUST-7199</v>
      </c>
      <c r="E712" t="str">
        <f>PROPER(TRIM([1]raw_orders!E712))</f>
        <v>Vikram Iyer</v>
      </c>
      <c r="F712" t="str">
        <f>PROPER(TRIM([1]raw_orders!F712))</f>
        <v>Corporate</v>
      </c>
      <c r="G712" t="str">
        <f>IF(TRIM([1]raw_orders!G712)="","Unknown",PROPER(TRIM([1]raw_orders!G712)))</f>
        <v>North</v>
      </c>
      <c r="H712" t="str">
        <f>PROPER(TRIM([1]raw_orders!H712))</f>
        <v>Punjab</v>
      </c>
      <c r="I712" t="str">
        <f>PROPER(TRIM([1]raw_orders!I712))</f>
        <v>Ludhiana</v>
      </c>
      <c r="J712" t="str">
        <f>PROPER(TRIM([1]raw_orders!J712))</f>
        <v>Office Supplies</v>
      </c>
      <c r="K712" t="str">
        <f>PROPER(TRIM([1]raw_orders!K712))</f>
        <v>Art</v>
      </c>
      <c r="L712" t="str">
        <f>[1]raw_orders!L712</f>
        <v>Smart Art 279</v>
      </c>
      <c r="M712" t="str">
        <f>IF(TRIM([1]raw_orders!M712)="","Unknown",PROPER(TRIM([1]raw_orders!M712)))</f>
        <v>Second Class</v>
      </c>
      <c r="N712" s="5">
        <f>[1]raw_orders!N712</f>
        <v>5</v>
      </c>
      <c r="O712" s="5">
        <f>[1]raw_orders!O712</f>
        <v>1559.16</v>
      </c>
      <c r="P712" s="5">
        <f>[1]raw_orders!P712</f>
        <v>0.05</v>
      </c>
      <c r="Q712" t="str">
        <f>PROPER(TRIM([1]raw_orders!T712))</f>
        <v>Paid</v>
      </c>
      <c r="R712" t="str">
        <f>PROPER(TRIM([1]raw_orders!U712))</f>
        <v>Completed</v>
      </c>
      <c r="S712" s="5">
        <f>[1]raw_orders!S712</f>
        <v>1464.27</v>
      </c>
      <c r="T712" s="5">
        <f t="shared" si="88"/>
        <v>14.6427</v>
      </c>
      <c r="U712" s="5">
        <f t="shared" si="89"/>
        <v>-106355.76066</v>
      </c>
      <c r="V712" s="5">
        <f t="shared" si="90"/>
        <v>-106355.81066</v>
      </c>
      <c r="W712" s="5">
        <f t="shared" si="91"/>
        <v>1.0000004701202803</v>
      </c>
      <c r="X712" s="5" t="str">
        <f t="shared" si="92"/>
        <v>Invalid Date</v>
      </c>
      <c r="Y712" s="5">
        <f t="shared" si="93"/>
        <v>12</v>
      </c>
      <c r="Z712" s="5">
        <f t="shared" si="94"/>
        <v>2024</v>
      </c>
      <c r="AA712" t="str">
        <f t="shared" si="95"/>
        <v>Clean</v>
      </c>
    </row>
    <row r="713" spans="1:27" x14ac:dyDescent="0.3">
      <c r="A713" t="str">
        <f>[1]raw_orders!A713</f>
        <v>ORD-2025-10712</v>
      </c>
      <c r="B713" s="4">
        <f>IFERROR(DATEVALUE([1]raw_orders!B713), "Invalid Date")</f>
        <v>45690</v>
      </c>
      <c r="C713" s="4">
        <f>IFERROR(DATEVALUE([1]raw_orders!C713), "Invalid Date")</f>
        <v>45690</v>
      </c>
      <c r="D713" t="str">
        <f>[1]raw_orders!D713</f>
        <v>CUST-6176</v>
      </c>
      <c r="E713" t="str">
        <f>PROPER(TRIM([1]raw_orders!E713))</f>
        <v>Kabir Singh</v>
      </c>
      <c r="F713" t="str">
        <f>PROPER(TRIM([1]raw_orders!F713))</f>
        <v>Corporate</v>
      </c>
      <c r="G713" t="str">
        <f>IF(TRIM([1]raw_orders!G713)="","Unknown",PROPER(TRIM([1]raw_orders!G713)))</f>
        <v>East</v>
      </c>
      <c r="H713" t="str">
        <f>PROPER(TRIM([1]raw_orders!H713))</f>
        <v>West Bengal</v>
      </c>
      <c r="I713" t="str">
        <f>PROPER(TRIM([1]raw_orders!I713))</f>
        <v>Kolkata</v>
      </c>
      <c r="J713" t="str">
        <f>PROPER(TRIM([1]raw_orders!J713))</f>
        <v>Technology</v>
      </c>
      <c r="K713" t="str">
        <f>PROPER(TRIM([1]raw_orders!K713))</f>
        <v>Machines</v>
      </c>
      <c r="L713" t="str">
        <f>[1]raw_orders!L713</f>
        <v>Basic Machines 172</v>
      </c>
      <c r="M713" t="str">
        <f>IF(TRIM([1]raw_orders!M713)="","Unknown",PROPER(TRIM([1]raw_orders!M713)))</f>
        <v>First Class</v>
      </c>
      <c r="N713" s="5">
        <f>[1]raw_orders!N713</f>
        <v>1</v>
      </c>
      <c r="O713" s="5">
        <f>[1]raw_orders!O713</f>
        <v>4326.75</v>
      </c>
      <c r="P713" s="5">
        <f>[1]raw_orders!P713</f>
        <v>0.05</v>
      </c>
      <c r="Q713" t="str">
        <f>PROPER(TRIM([1]raw_orders!T713))</f>
        <v>Pending</v>
      </c>
      <c r="R713" t="str">
        <f>PROPER(TRIM([1]raw_orders!U713))</f>
        <v>Returned</v>
      </c>
      <c r="S713" s="5">
        <f>[1]raw_orders!S713</f>
        <v>1716.27</v>
      </c>
      <c r="T713" s="5">
        <f t="shared" si="88"/>
        <v>17.162700000000001</v>
      </c>
      <c r="U713" s="5">
        <f t="shared" si="89"/>
        <v>-69931.96222500001</v>
      </c>
      <c r="V713" s="5">
        <f t="shared" si="90"/>
        <v>-69932.012225000013</v>
      </c>
      <c r="W713" s="5">
        <f t="shared" si="91"/>
        <v>1.0000007149806529</v>
      </c>
      <c r="X713" s="5">
        <f t="shared" si="92"/>
        <v>0</v>
      </c>
      <c r="Y713" s="5">
        <f t="shared" si="93"/>
        <v>2</v>
      </c>
      <c r="Z713" s="5">
        <f t="shared" si="94"/>
        <v>2025</v>
      </c>
      <c r="AA713" t="str">
        <f t="shared" si="95"/>
        <v>Clean</v>
      </c>
    </row>
    <row r="714" spans="1:27" x14ac:dyDescent="0.3">
      <c r="A714" t="str">
        <f>[1]raw_orders!A714</f>
        <v>ORD-2024-10713</v>
      </c>
      <c r="B714" s="4">
        <f>IFERROR(DATEVALUE([1]raw_orders!B714), "Invalid Date")</f>
        <v>45332</v>
      </c>
      <c r="C714" s="4">
        <f>IFERROR(DATEVALUE([1]raw_orders!C714), "Invalid Date")</f>
        <v>45340</v>
      </c>
      <c r="D714" t="str">
        <f>[1]raw_orders!D714</f>
        <v>CUST-5127</v>
      </c>
      <c r="E714" t="str">
        <f>PROPER(TRIM([1]raw_orders!E714))</f>
        <v>Isha Nair</v>
      </c>
      <c r="F714" t="str">
        <f>PROPER(TRIM([1]raw_orders!F714))</f>
        <v>Home Office</v>
      </c>
      <c r="G714" t="str">
        <f>IF(TRIM([1]raw_orders!G714)="","Unknown",PROPER(TRIM([1]raw_orders!G714)))</f>
        <v>West</v>
      </c>
      <c r="H714" t="str">
        <f>PROPER(TRIM([1]raw_orders!H714))</f>
        <v>Madhya Pradesh</v>
      </c>
      <c r="I714" t="str">
        <f>PROPER(TRIM([1]raw_orders!I714))</f>
        <v>Indore</v>
      </c>
      <c r="J714" t="str">
        <f>PROPER(TRIM([1]raw_orders!J714))</f>
        <v>Furniture</v>
      </c>
      <c r="K714" t="str">
        <f>PROPER(TRIM([1]raw_orders!K714))</f>
        <v>Chairs</v>
      </c>
      <c r="L714" t="str">
        <f>[1]raw_orders!L714</f>
        <v>Smart Chairs 259</v>
      </c>
      <c r="M714" t="str">
        <f>IF(TRIM([1]raw_orders!M714)="","Unknown",PROPER(TRIM([1]raw_orders!M714)))</f>
        <v>First Class</v>
      </c>
      <c r="N714" s="5">
        <f>[1]raw_orders!N714</f>
        <v>7</v>
      </c>
      <c r="O714" s="5">
        <f>[1]raw_orders!O714</f>
        <v>1382.86</v>
      </c>
      <c r="P714" s="5">
        <f>[1]raw_orders!P714</f>
        <v>0</v>
      </c>
      <c r="Q714" t="str">
        <f>PROPER(TRIM([1]raw_orders!T714))</f>
        <v>Paid</v>
      </c>
      <c r="R714" t="str">
        <f>PROPER(TRIM([1]raw_orders!U714))</f>
        <v>Completed</v>
      </c>
      <c r="S714" s="5">
        <f>[1]raw_orders!S714</f>
        <v>2803.36</v>
      </c>
      <c r="T714" s="5">
        <f t="shared" si="88"/>
        <v>28.0336</v>
      </c>
      <c r="U714" s="5">
        <f t="shared" si="89"/>
        <v>-261685.78867199997</v>
      </c>
      <c r="V714" s="5">
        <f t="shared" si="90"/>
        <v>-261685.78867199997</v>
      </c>
      <c r="W714" s="5">
        <f t="shared" si="91"/>
        <v>1</v>
      </c>
      <c r="X714" s="5">
        <f t="shared" si="92"/>
        <v>8</v>
      </c>
      <c r="Y714" s="5">
        <f t="shared" si="93"/>
        <v>2</v>
      </c>
      <c r="Z714" s="5">
        <f t="shared" si="94"/>
        <v>2024</v>
      </c>
      <c r="AA714" t="str">
        <f t="shared" si="95"/>
        <v>Clean</v>
      </c>
    </row>
    <row r="715" spans="1:27" x14ac:dyDescent="0.3">
      <c r="A715" t="str">
        <f>[1]raw_orders!A715</f>
        <v>ORD-2025-10714</v>
      </c>
      <c r="B715" s="4">
        <f>IFERROR(DATEVALUE([1]raw_orders!B715), "Invalid Date")</f>
        <v>45814</v>
      </c>
      <c r="C715" s="4">
        <f>IFERROR(DATEVALUE([1]raw_orders!C715), "Invalid Date")</f>
        <v>45936</v>
      </c>
      <c r="D715" t="str">
        <f>[1]raw_orders!D715</f>
        <v>CUST-2548</v>
      </c>
      <c r="E715" t="str">
        <f>PROPER(TRIM([1]raw_orders!E715))</f>
        <v>Mira Das</v>
      </c>
      <c r="F715" t="str">
        <f>PROPER(TRIM([1]raw_orders!F715))</f>
        <v>Consumer</v>
      </c>
      <c r="G715" t="str">
        <f>IF(TRIM([1]raw_orders!G715)="","Unknown",PROPER(TRIM([1]raw_orders!G715)))</f>
        <v>West</v>
      </c>
      <c r="H715" t="str">
        <f>PROPER(TRIM([1]raw_orders!H715))</f>
        <v>Rajasthan</v>
      </c>
      <c r="I715" t="str">
        <f>PROPER(TRIM([1]raw_orders!I715))</f>
        <v>Udaipur</v>
      </c>
      <c r="J715" t="str">
        <f>PROPER(TRIM([1]raw_orders!J715))</f>
        <v>Technology</v>
      </c>
      <c r="K715" t="str">
        <f>PROPER(TRIM([1]raw_orders!K715))</f>
        <v>Machines</v>
      </c>
      <c r="L715" t="str">
        <f>[1]raw_orders!L715</f>
        <v>Pro Machines 987</v>
      </c>
      <c r="M715" t="str">
        <f>IF(TRIM([1]raw_orders!M715)="","Unknown",PROPER(TRIM([1]raw_orders!M715)))</f>
        <v>Second Class</v>
      </c>
      <c r="N715" s="5">
        <f>[1]raw_orders!N715</f>
        <v>1</v>
      </c>
      <c r="O715" s="5">
        <f>[1]raw_orders!O715</f>
        <v>289.97000000000003</v>
      </c>
      <c r="P715" s="5">
        <f>[1]raw_orders!P715</f>
        <v>0.25</v>
      </c>
      <c r="Q715" t="str">
        <f>PROPER(TRIM([1]raw_orders!T715))</f>
        <v>Paid</v>
      </c>
      <c r="R715" t="str">
        <f>PROPER(TRIM([1]raw_orders!U715))</f>
        <v>Completed</v>
      </c>
      <c r="S715" s="5">
        <f>[1]raw_orders!S715</f>
        <v>85.35</v>
      </c>
      <c r="T715" s="5">
        <f t="shared" si="88"/>
        <v>0.85349999999999993</v>
      </c>
      <c r="U715" s="5">
        <f t="shared" si="89"/>
        <v>42.480605000000025</v>
      </c>
      <c r="V715" s="5">
        <f t="shared" si="90"/>
        <v>42.230605000000025</v>
      </c>
      <c r="W715" s="5">
        <f t="shared" si="91"/>
        <v>0.99411496140415134</v>
      </c>
      <c r="X715" s="5">
        <f t="shared" si="92"/>
        <v>122</v>
      </c>
      <c r="Y715" s="5">
        <f t="shared" si="93"/>
        <v>6</v>
      </c>
      <c r="Z715" s="5">
        <f t="shared" si="94"/>
        <v>2025</v>
      </c>
      <c r="AA715" t="str">
        <f t="shared" si="95"/>
        <v>Clean</v>
      </c>
    </row>
    <row r="716" spans="1:27" x14ac:dyDescent="0.3">
      <c r="A716" t="str">
        <f>[1]raw_orders!A716</f>
        <v>ORD-2025-10715</v>
      </c>
      <c r="B716" s="4">
        <f>IFERROR(DATEVALUE([1]raw_orders!B716), "Invalid Date")</f>
        <v>45738</v>
      </c>
      <c r="C716" s="4">
        <f>IFERROR(DATEVALUE([1]raw_orders!C716), "Invalid Date")</f>
        <v>45739</v>
      </c>
      <c r="D716" t="str">
        <f>[1]raw_orders!D716</f>
        <v>CUST-9902</v>
      </c>
      <c r="E716" t="str">
        <f>PROPER(TRIM([1]raw_orders!E716))</f>
        <v>Karan Malhotra</v>
      </c>
      <c r="F716" t="str">
        <f>PROPER(TRIM([1]raw_orders!F716))</f>
        <v>Home Office</v>
      </c>
      <c r="G716" t="str">
        <f>IF(TRIM([1]raw_orders!G716)="","Unknown",PROPER(TRIM([1]raw_orders!G716)))</f>
        <v>North</v>
      </c>
      <c r="H716" t="str">
        <f>PROPER(TRIM([1]raw_orders!H716))</f>
        <v>Delhi</v>
      </c>
      <c r="I716" t="str">
        <f>PROPER(TRIM([1]raw_orders!I716))</f>
        <v>New Delhi</v>
      </c>
      <c r="J716" t="str">
        <f>PROPER(TRIM([1]raw_orders!J716))</f>
        <v>Technology</v>
      </c>
      <c r="K716" t="str">
        <f>PROPER(TRIM([1]raw_orders!K716))</f>
        <v>Copiers</v>
      </c>
      <c r="L716" t="str">
        <f>[1]raw_orders!L716</f>
        <v>Pro Copiers 206</v>
      </c>
      <c r="M716" t="str">
        <f>IF(TRIM([1]raw_orders!M716)="","Unknown",PROPER(TRIM([1]raw_orders!M716)))</f>
        <v>Standard Class</v>
      </c>
      <c r="N716" s="5">
        <f>[1]raw_orders!N716</f>
        <v>9</v>
      </c>
      <c r="O716" s="5">
        <f>[1]raw_orders!O716</f>
        <v>2075.02</v>
      </c>
      <c r="P716" s="5">
        <f>[1]raw_orders!P716</f>
        <v>0</v>
      </c>
      <c r="Q716" t="str">
        <f>PROPER(TRIM([1]raw_orders!T716))</f>
        <v>Paid</v>
      </c>
      <c r="R716" t="str">
        <f>PROPER(TRIM([1]raw_orders!U716))</f>
        <v>Completed</v>
      </c>
      <c r="S716" s="5">
        <f>[1]raw_orders!S716</f>
        <v>4700.4799999999996</v>
      </c>
      <c r="T716" s="5">
        <f t="shared" si="88"/>
        <v>47.004799999999996</v>
      </c>
      <c r="U716" s="5">
        <f t="shared" si="89"/>
        <v>-859147.92086399999</v>
      </c>
      <c r="V716" s="5">
        <f t="shared" si="90"/>
        <v>-859147.92086399999</v>
      </c>
      <c r="W716" s="5">
        <f t="shared" si="91"/>
        <v>1</v>
      </c>
      <c r="X716" s="5">
        <f t="shared" si="92"/>
        <v>1</v>
      </c>
      <c r="Y716" s="5">
        <f t="shared" si="93"/>
        <v>3</v>
      </c>
      <c r="Z716" s="5">
        <f t="shared" si="94"/>
        <v>2025</v>
      </c>
      <c r="AA716" t="str">
        <f t="shared" si="95"/>
        <v>Clean</v>
      </c>
    </row>
    <row r="717" spans="1:27" x14ac:dyDescent="0.3">
      <c r="A717" t="str">
        <f>[1]raw_orders!A717</f>
        <v>ORD-2025-10716</v>
      </c>
      <c r="B717" s="4">
        <f>IFERROR(DATEVALUE([1]raw_orders!B717), "Invalid Date")</f>
        <v>45891</v>
      </c>
      <c r="C717" s="4">
        <f>IFERROR(DATEVALUE([1]raw_orders!C717), "Invalid Date")</f>
        <v>45896</v>
      </c>
      <c r="D717" t="str">
        <f>[1]raw_orders!D717</f>
        <v>CUST-7446</v>
      </c>
      <c r="E717" t="str">
        <f>PROPER(TRIM([1]raw_orders!E717))</f>
        <v>Priya Menon</v>
      </c>
      <c r="F717" t="str">
        <f>PROPER(TRIM([1]raw_orders!F717))</f>
        <v>Consumer</v>
      </c>
      <c r="G717" t="str">
        <f>IF(TRIM([1]raw_orders!G717)="","Unknown",PROPER(TRIM([1]raw_orders!G717)))</f>
        <v>North</v>
      </c>
      <c r="H717" t="str">
        <f>PROPER(TRIM([1]raw_orders!H717))</f>
        <v>Haryana</v>
      </c>
      <c r="I717" t="str">
        <f>PROPER(TRIM([1]raw_orders!I717))</f>
        <v>Gurugram</v>
      </c>
      <c r="J717" t="str">
        <f>PROPER(TRIM([1]raw_orders!J717))</f>
        <v>Furniture</v>
      </c>
      <c r="K717" t="str">
        <f>PROPER(TRIM([1]raw_orders!K717))</f>
        <v>Chairs</v>
      </c>
      <c r="L717" t="str">
        <f>[1]raw_orders!L717</f>
        <v>Max Chairs 372</v>
      </c>
      <c r="M717" t="str">
        <f>IF(TRIM([1]raw_orders!M717)="","Unknown",PROPER(TRIM([1]raw_orders!M717)))</f>
        <v>Second Class</v>
      </c>
      <c r="N717" s="5">
        <f>[1]raw_orders!N717</f>
        <v>7</v>
      </c>
      <c r="O717" s="5">
        <f>[1]raw_orders!O717</f>
        <v>2843.09</v>
      </c>
      <c r="P717" s="5">
        <f>[1]raw_orders!P717</f>
        <v>0</v>
      </c>
      <c r="Q717" t="str">
        <f>PROPER(TRIM([1]raw_orders!T717))</f>
        <v>Refunded</v>
      </c>
      <c r="R717" t="str">
        <f>PROPER(TRIM([1]raw_orders!U717))</f>
        <v>Cancelled</v>
      </c>
      <c r="S717" s="5">
        <f>[1]raw_orders!S717</f>
        <v>4409.6000000000004</v>
      </c>
      <c r="T717" s="5">
        <f t="shared" si="88"/>
        <v>44.096000000000004</v>
      </c>
      <c r="U717" s="5">
        <f t="shared" si="89"/>
        <v>-857680.64648000011</v>
      </c>
      <c r="V717" s="5">
        <f t="shared" si="90"/>
        <v>-857680.64648000011</v>
      </c>
      <c r="W717" s="5">
        <f t="shared" si="91"/>
        <v>1</v>
      </c>
      <c r="X717" s="5">
        <f t="shared" si="92"/>
        <v>5</v>
      </c>
      <c r="Y717" s="5">
        <f t="shared" si="93"/>
        <v>8</v>
      </c>
      <c r="Z717" s="5">
        <f t="shared" si="94"/>
        <v>2025</v>
      </c>
      <c r="AA717" t="str">
        <f t="shared" si="95"/>
        <v>Clean</v>
      </c>
    </row>
    <row r="718" spans="1:27" x14ac:dyDescent="0.3">
      <c r="A718" t="str">
        <f>[1]raw_orders!A718</f>
        <v>ORD-2025-10717</v>
      </c>
      <c r="B718" s="4">
        <f>IFERROR(DATEVALUE([1]raw_orders!B718), "Invalid Date")</f>
        <v>45895</v>
      </c>
      <c r="C718" s="4">
        <f>IFERROR(DATEVALUE([1]raw_orders!C718), "Invalid Date")</f>
        <v>45900</v>
      </c>
      <c r="D718" t="str">
        <f>[1]raw_orders!D718</f>
        <v>CUST-7540</v>
      </c>
      <c r="E718" t="str">
        <f>PROPER(TRIM([1]raw_orders!E718))</f>
        <v>Diya Patel</v>
      </c>
      <c r="F718" t="str">
        <f>PROPER(TRIM([1]raw_orders!F718))</f>
        <v>Small Business</v>
      </c>
      <c r="G718" t="str">
        <f>IF(TRIM([1]raw_orders!G718)="","Unknown",PROPER(TRIM([1]raw_orders!G718)))</f>
        <v>North</v>
      </c>
      <c r="H718" t="str">
        <f>PROPER(TRIM([1]raw_orders!H718))</f>
        <v>Haryana</v>
      </c>
      <c r="I718" t="str">
        <f>PROPER(TRIM([1]raw_orders!I718))</f>
        <v>Gurugram</v>
      </c>
      <c r="J718" t="str">
        <f>PROPER(TRIM([1]raw_orders!J718))</f>
        <v>Technology</v>
      </c>
      <c r="K718" t="str">
        <f>PROPER(TRIM([1]raw_orders!K718))</f>
        <v>Phones</v>
      </c>
      <c r="L718" t="str">
        <f>[1]raw_orders!L718</f>
        <v>Basic Phones 496</v>
      </c>
      <c r="M718" t="str">
        <f>IF(TRIM([1]raw_orders!M718)="","Unknown",PROPER(TRIM([1]raw_orders!M718)))</f>
        <v>First Class</v>
      </c>
      <c r="N718" s="5">
        <f>[1]raw_orders!N718</f>
        <v>1</v>
      </c>
      <c r="O718" s="5">
        <f>[1]raw_orders!O718</f>
        <v>3388.02</v>
      </c>
      <c r="P718" s="5">
        <f>[1]raw_orders!P718</f>
        <v>0.15</v>
      </c>
      <c r="Q718" t="str">
        <f>PROPER(TRIM([1]raw_orders!T718))</f>
        <v>Paid</v>
      </c>
      <c r="R718" t="str">
        <f>PROPER(TRIM([1]raw_orders!U718))</f>
        <v>Completed</v>
      </c>
      <c r="S718" s="5">
        <f>[1]raw_orders!S718</f>
        <v>1054.94</v>
      </c>
      <c r="T718" s="5">
        <f t="shared" si="88"/>
        <v>10.5494</v>
      </c>
      <c r="U718" s="5">
        <f t="shared" si="89"/>
        <v>-32353.558188000003</v>
      </c>
      <c r="V718" s="5">
        <f t="shared" si="90"/>
        <v>-32353.708188000004</v>
      </c>
      <c r="W718" s="5">
        <f t="shared" si="91"/>
        <v>1.0000046362752169</v>
      </c>
      <c r="X718" s="5">
        <f t="shared" si="92"/>
        <v>5</v>
      </c>
      <c r="Y718" s="5">
        <f t="shared" si="93"/>
        <v>8</v>
      </c>
      <c r="Z718" s="5">
        <f t="shared" si="94"/>
        <v>2025</v>
      </c>
      <c r="AA718" t="str">
        <f t="shared" si="95"/>
        <v>Clean</v>
      </c>
    </row>
    <row r="719" spans="1:27" x14ac:dyDescent="0.3">
      <c r="A719" t="str">
        <f>[1]raw_orders!A719</f>
        <v>ORD-2025-10718</v>
      </c>
      <c r="B719" s="4">
        <f>IFERROR(DATEVALUE([1]raw_orders!B719), "Invalid Date")</f>
        <v>45942</v>
      </c>
      <c r="C719" s="4">
        <f>IFERROR(DATEVALUE([1]raw_orders!C719), "Invalid Date")</f>
        <v>45945</v>
      </c>
      <c r="D719" t="str">
        <f>[1]raw_orders!D719</f>
        <v>CUST-8351</v>
      </c>
      <c r="E719" t="str">
        <f>PROPER(TRIM([1]raw_orders!E719))</f>
        <v>Kabir Singh</v>
      </c>
      <c r="F719" t="str">
        <f>PROPER(TRIM([1]raw_orders!F719))</f>
        <v>Small Business</v>
      </c>
      <c r="G719" t="str">
        <f>IF(TRIM([1]raw_orders!G719)="","Unknown",PROPER(TRIM([1]raw_orders!G719)))</f>
        <v>North</v>
      </c>
      <c r="H719" t="str">
        <f>PROPER(TRIM([1]raw_orders!H719))</f>
        <v>Haryana</v>
      </c>
      <c r="I719" t="str">
        <f>PROPER(TRIM([1]raw_orders!I719))</f>
        <v>Gurugram</v>
      </c>
      <c r="J719" t="str">
        <f>PROPER(TRIM([1]raw_orders!J719))</f>
        <v>Technology</v>
      </c>
      <c r="K719" t="str">
        <f>PROPER(TRIM([1]raw_orders!K719))</f>
        <v>Machines</v>
      </c>
      <c r="L719" t="str">
        <f>[1]raw_orders!L719</f>
        <v>Prime Machines 612</v>
      </c>
      <c r="M719" t="str">
        <f>IF(TRIM([1]raw_orders!M719)="","Unknown",PROPER(TRIM([1]raw_orders!M719)))</f>
        <v>Standard Class</v>
      </c>
      <c r="N719" s="5">
        <f>[1]raw_orders!N719</f>
        <v>9</v>
      </c>
      <c r="O719" s="5">
        <f>[1]raw_orders!O719</f>
        <v>2598.92</v>
      </c>
      <c r="P719" s="5">
        <f>[1]raw_orders!P719</f>
        <v>0.2</v>
      </c>
      <c r="Q719" t="str">
        <f>PROPER(TRIM([1]raw_orders!T719))</f>
        <v>Pending</v>
      </c>
      <c r="R719" t="str">
        <f>PROPER(TRIM([1]raw_orders!U719))</f>
        <v>Cancelled</v>
      </c>
      <c r="S719" s="5">
        <f>[1]raw_orders!S719</f>
        <v>6860</v>
      </c>
      <c r="T719" s="5">
        <f t="shared" si="88"/>
        <v>68.599999999999994</v>
      </c>
      <c r="U719" s="5">
        <f t="shared" si="89"/>
        <v>-1581182.9279999998</v>
      </c>
      <c r="V719" s="5">
        <f t="shared" si="90"/>
        <v>-1581183.1279999998</v>
      </c>
      <c r="W719" s="5">
        <f t="shared" si="91"/>
        <v>1.0000001264875786</v>
      </c>
      <c r="X719" s="5">
        <f t="shared" si="92"/>
        <v>3</v>
      </c>
      <c r="Y719" s="5">
        <f t="shared" si="93"/>
        <v>10</v>
      </c>
      <c r="Z719" s="5">
        <f t="shared" si="94"/>
        <v>2025</v>
      </c>
      <c r="AA719" t="str">
        <f t="shared" si="95"/>
        <v>Clean</v>
      </c>
    </row>
    <row r="720" spans="1:27" x14ac:dyDescent="0.3">
      <c r="A720" t="str">
        <f>[1]raw_orders!A720</f>
        <v>ORD-2024-10719</v>
      </c>
      <c r="B720" s="4">
        <f>IFERROR(DATEVALUE([1]raw_orders!B720), "Invalid Date")</f>
        <v>45541</v>
      </c>
      <c r="C720" s="4">
        <f>IFERROR(DATEVALUE([1]raw_orders!C720), "Invalid Date")</f>
        <v>45544</v>
      </c>
      <c r="D720" t="str">
        <f>[1]raw_orders!D720</f>
        <v>CUST-3918</v>
      </c>
      <c r="E720" t="str">
        <f>PROPER(TRIM([1]raw_orders!E720))</f>
        <v>Mira Das</v>
      </c>
      <c r="F720" t="str">
        <f>PROPER(TRIM([1]raw_orders!F720))</f>
        <v>Consumer</v>
      </c>
      <c r="G720" t="str">
        <f>IF(TRIM([1]raw_orders!G720)="","Unknown",PROPER(TRIM([1]raw_orders!G720)))</f>
        <v>West</v>
      </c>
      <c r="H720" t="str">
        <f>PROPER(TRIM([1]raw_orders!H720))</f>
        <v>Maharashtra</v>
      </c>
      <c r="I720" t="str">
        <f>PROPER(TRIM([1]raw_orders!I720))</f>
        <v>Mumbai</v>
      </c>
      <c r="J720" t="str">
        <f>PROPER(TRIM([1]raw_orders!J720))</f>
        <v>Office Supplies</v>
      </c>
      <c r="K720" t="str">
        <f>PROPER(TRIM([1]raw_orders!K720))</f>
        <v>Art</v>
      </c>
      <c r="L720" t="str">
        <f>[1]raw_orders!L720</f>
        <v>Smart Art 866</v>
      </c>
      <c r="M720" t="str">
        <f>IF(TRIM([1]raw_orders!M720)="","Unknown",PROPER(TRIM([1]raw_orders!M720)))</f>
        <v>Same Day</v>
      </c>
      <c r="N720" s="5">
        <f>[1]raw_orders!N720</f>
        <v>3</v>
      </c>
      <c r="O720" s="5">
        <f>[1]raw_orders!O720</f>
        <v>1972.27</v>
      </c>
      <c r="P720" s="5">
        <f>[1]raw_orders!P720</f>
        <v>0.2</v>
      </c>
      <c r="Q720" t="str">
        <f>PROPER(TRIM([1]raw_orders!T720))</f>
        <v>Paid</v>
      </c>
      <c r="R720" t="str">
        <f>PROPER(TRIM([1]raw_orders!U720))</f>
        <v>Completed</v>
      </c>
      <c r="S720" s="5">
        <f>[1]raw_orders!S720</f>
        <v>1061.1300000000001</v>
      </c>
      <c r="T720" s="5">
        <f t="shared" si="88"/>
        <v>10.611300000000002</v>
      </c>
      <c r="U720" s="5">
        <f t="shared" si="89"/>
        <v>-56868.235953000003</v>
      </c>
      <c r="V720" s="5">
        <f t="shared" si="90"/>
        <v>-56868.435953</v>
      </c>
      <c r="W720" s="5">
        <f t="shared" si="91"/>
        <v>1.0000035169017756</v>
      </c>
      <c r="X720" s="5">
        <f t="shared" si="92"/>
        <v>3</v>
      </c>
      <c r="Y720" s="5">
        <f t="shared" si="93"/>
        <v>9</v>
      </c>
      <c r="Z720" s="5">
        <f t="shared" si="94"/>
        <v>2024</v>
      </c>
      <c r="AA720" t="str">
        <f t="shared" si="95"/>
        <v>Clean</v>
      </c>
    </row>
    <row r="721" spans="1:27" x14ac:dyDescent="0.3">
      <c r="A721" t="str">
        <f>[1]raw_orders!A721</f>
        <v>ORD-2025-10720</v>
      </c>
      <c r="B721" s="4">
        <f>IFERROR(DATEVALUE([1]raw_orders!B721), "Invalid Date")</f>
        <v>45908</v>
      </c>
      <c r="C721" s="4">
        <f>IFERROR(DATEVALUE([1]raw_orders!C721), "Invalid Date")</f>
        <v>45909</v>
      </c>
      <c r="D721" t="str">
        <f>[1]raw_orders!D721</f>
        <v>CUST-3190</v>
      </c>
      <c r="E721" t="str">
        <f>PROPER(TRIM([1]raw_orders!E721))</f>
        <v>Kabir Singh</v>
      </c>
      <c r="F721" t="str">
        <f>PROPER(TRIM([1]raw_orders!F721))</f>
        <v>Corporate</v>
      </c>
      <c r="G721" t="str">
        <f>IF(TRIM([1]raw_orders!G721)="","Unknown",PROPER(TRIM([1]raw_orders!G721)))</f>
        <v>West</v>
      </c>
      <c r="H721" t="str">
        <f>PROPER(TRIM([1]raw_orders!H721))</f>
        <v>Gujarat</v>
      </c>
      <c r="I721" t="str">
        <f>PROPER(TRIM([1]raw_orders!I721))</f>
        <v>Ahmedabad</v>
      </c>
      <c r="J721" t="str">
        <f>PROPER(TRIM([1]raw_orders!J721))</f>
        <v>Office Supplies</v>
      </c>
      <c r="K721" t="str">
        <f>PROPER(TRIM([1]raw_orders!K721))</f>
        <v>Art</v>
      </c>
      <c r="L721" t="str">
        <f>[1]raw_orders!L721</f>
        <v>Pro Art 447</v>
      </c>
      <c r="M721" t="str">
        <f>IF(TRIM([1]raw_orders!M721)="","Unknown",PROPER(TRIM([1]raw_orders!M721)))</f>
        <v>Same Day</v>
      </c>
      <c r="N721" s="5">
        <f>[1]raw_orders!N721</f>
        <v>2</v>
      </c>
      <c r="O721" s="5">
        <f>[1]raw_orders!O721</f>
        <v>2372.41</v>
      </c>
      <c r="P721" s="5">
        <f>[1]raw_orders!P721</f>
        <v>0.2</v>
      </c>
      <c r="Q721" t="str">
        <f>PROPER(TRIM([1]raw_orders!T721))</f>
        <v>Paid</v>
      </c>
      <c r="R721" t="str">
        <f>PROPER(TRIM([1]raw_orders!U721))</f>
        <v>Completed</v>
      </c>
      <c r="S721" s="5">
        <f>[1]raw_orders!S721</f>
        <v>1530.94</v>
      </c>
      <c r="T721" s="5">
        <f t="shared" si="88"/>
        <v>15.3094</v>
      </c>
      <c r="U721" s="5">
        <f t="shared" si="89"/>
        <v>-67895.52730799999</v>
      </c>
      <c r="V721" s="5">
        <f t="shared" si="90"/>
        <v>-67895.727307999987</v>
      </c>
      <c r="W721" s="5">
        <f t="shared" si="91"/>
        <v>1.0000029457021387</v>
      </c>
      <c r="X721" s="5">
        <f t="shared" si="92"/>
        <v>1</v>
      </c>
      <c r="Y721" s="5">
        <f t="shared" si="93"/>
        <v>9</v>
      </c>
      <c r="Z721" s="5">
        <f t="shared" si="94"/>
        <v>2025</v>
      </c>
      <c r="AA721" t="str">
        <f t="shared" si="95"/>
        <v>Clean</v>
      </c>
    </row>
    <row r="722" spans="1:27" x14ac:dyDescent="0.3">
      <c r="A722" t="str">
        <f>[1]raw_orders!A722</f>
        <v>ORD-2024-10721</v>
      </c>
      <c r="B722" s="4">
        <f>IFERROR(DATEVALUE([1]raw_orders!B722), "Invalid Date")</f>
        <v>45489</v>
      </c>
      <c r="C722" s="4" t="str">
        <f>IFERROR(DATEVALUE([1]raw_orders!C722), "Invalid Date")</f>
        <v>Invalid Date</v>
      </c>
      <c r="D722" t="str">
        <f>[1]raw_orders!D722</f>
        <v>CUST-1991</v>
      </c>
      <c r="E722" t="str">
        <f>PROPER(TRIM([1]raw_orders!E722))</f>
        <v>Aditi Sen</v>
      </c>
      <c r="F722" t="str">
        <f>PROPER(TRIM([1]raw_orders!F722))</f>
        <v>Home Office</v>
      </c>
      <c r="G722" t="str">
        <f>IF(TRIM([1]raw_orders!G722)="","Unknown",PROPER(TRIM([1]raw_orders!G722)))</f>
        <v>West</v>
      </c>
      <c r="H722" t="str">
        <f>PROPER(TRIM([1]raw_orders!H722))</f>
        <v>Madhya Pradesh</v>
      </c>
      <c r="I722" t="str">
        <f>PROPER(TRIM([1]raw_orders!I722))</f>
        <v>Indore</v>
      </c>
      <c r="J722" t="str">
        <f>PROPER(TRIM([1]raw_orders!J722))</f>
        <v>Technology</v>
      </c>
      <c r="K722" t="str">
        <f>PROPER(TRIM([1]raw_orders!K722))</f>
        <v>Copiers</v>
      </c>
      <c r="L722" t="str">
        <f>[1]raw_orders!L722</f>
        <v>Smart Copiers 196</v>
      </c>
      <c r="M722" t="str">
        <f>IF(TRIM([1]raw_orders!M722)="","Unknown",PROPER(TRIM([1]raw_orders!M722)))</f>
        <v>Same Day</v>
      </c>
      <c r="N722" s="5">
        <f>[1]raw_orders!N722</f>
        <v>4</v>
      </c>
      <c r="O722" s="5">
        <f>[1]raw_orders!O722</f>
        <v>4479.92</v>
      </c>
      <c r="P722" s="5">
        <f>[1]raw_orders!P722</f>
        <v>0.15</v>
      </c>
      <c r="Q722" t="str">
        <f>PROPER(TRIM([1]raw_orders!T722))</f>
        <v>Paid</v>
      </c>
      <c r="R722" t="str">
        <f>PROPER(TRIM([1]raw_orders!U722))</f>
        <v>Completed</v>
      </c>
      <c r="S722" s="5">
        <f>[1]raw_orders!S722</f>
        <v>2780.27</v>
      </c>
      <c r="T722" s="5">
        <f t="shared" si="88"/>
        <v>27.802700000000002</v>
      </c>
      <c r="U722" s="5">
        <f t="shared" si="89"/>
        <v>-480295.80713600002</v>
      </c>
      <c r="V722" s="5">
        <f t="shared" si="90"/>
        <v>-480295.95713600004</v>
      </c>
      <c r="W722" s="5">
        <f t="shared" si="91"/>
        <v>1.0000003123075358</v>
      </c>
      <c r="X722" s="5" t="str">
        <f t="shared" si="92"/>
        <v>Invalid Date</v>
      </c>
      <c r="Y722" s="5">
        <f t="shared" si="93"/>
        <v>7</v>
      </c>
      <c r="Z722" s="5">
        <f t="shared" si="94"/>
        <v>2024</v>
      </c>
      <c r="AA722" t="str">
        <f t="shared" si="95"/>
        <v>Clean</v>
      </c>
    </row>
    <row r="723" spans="1:27" x14ac:dyDescent="0.3">
      <c r="A723" t="str">
        <f>[1]raw_orders!A723</f>
        <v>ORD-2025-10722</v>
      </c>
      <c r="B723" s="4">
        <f>IFERROR(DATEVALUE([1]raw_orders!B723), "Invalid Date")</f>
        <v>45827</v>
      </c>
      <c r="C723" s="4">
        <f>IFERROR(DATEVALUE([1]raw_orders!C723), "Invalid Date")</f>
        <v>45831</v>
      </c>
      <c r="D723" t="str">
        <f>[1]raw_orders!D723</f>
        <v>CUST-7606</v>
      </c>
      <c r="E723" t="str">
        <f>PROPER(TRIM([1]raw_orders!E723))</f>
        <v>Sneha Kapoor</v>
      </c>
      <c r="F723" t="str">
        <f>PROPER(TRIM([1]raw_orders!F723))</f>
        <v>Consumer</v>
      </c>
      <c r="G723" t="str">
        <f>IF(TRIM([1]raw_orders!G723)="","Unknown",PROPER(TRIM([1]raw_orders!G723)))</f>
        <v>South</v>
      </c>
      <c r="H723" t="str">
        <f>PROPER(TRIM([1]raw_orders!H723))</f>
        <v>Karnataka</v>
      </c>
      <c r="I723" t="str">
        <f>PROPER(TRIM([1]raw_orders!I723))</f>
        <v>Bengaluru</v>
      </c>
      <c r="J723" t="str">
        <f>PROPER(TRIM([1]raw_orders!J723))</f>
        <v>Technology</v>
      </c>
      <c r="K723" t="str">
        <f>PROPER(TRIM([1]raw_orders!K723))</f>
        <v>Copiers</v>
      </c>
      <c r="L723" t="str">
        <f>[1]raw_orders!L723</f>
        <v>Pro Copiers 532</v>
      </c>
      <c r="M723" t="str">
        <f>IF(TRIM([1]raw_orders!M723)="","Unknown",PROPER(TRIM([1]raw_orders!M723)))</f>
        <v>First Class</v>
      </c>
      <c r="N723" s="5">
        <f>[1]raw_orders!N723</f>
        <v>5</v>
      </c>
      <c r="O723" s="5">
        <f>[1]raw_orders!O723</f>
        <v>2729.95</v>
      </c>
      <c r="P723" s="5">
        <f>[1]raw_orders!P723</f>
        <v>0</v>
      </c>
      <c r="Q723" t="str">
        <f>PROPER(TRIM([1]raw_orders!T723))</f>
        <v>Paid</v>
      </c>
      <c r="R723" t="str">
        <f>PROPER(TRIM([1]raw_orders!U723))</f>
        <v>Completed</v>
      </c>
      <c r="S723" s="5">
        <f>[1]raw_orders!S723</f>
        <v>3361.72</v>
      </c>
      <c r="T723" s="5">
        <f t="shared" si="88"/>
        <v>33.617199999999997</v>
      </c>
      <c r="U723" s="5">
        <f t="shared" si="89"/>
        <v>-445216.62569999998</v>
      </c>
      <c r="V723" s="5">
        <f t="shared" si="90"/>
        <v>-445216.62569999998</v>
      </c>
      <c r="W723" s="5">
        <f t="shared" si="91"/>
        <v>1</v>
      </c>
      <c r="X723" s="5">
        <f t="shared" si="92"/>
        <v>4</v>
      </c>
      <c r="Y723" s="5">
        <f t="shared" si="93"/>
        <v>6</v>
      </c>
      <c r="Z723" s="5">
        <f t="shared" si="94"/>
        <v>2025</v>
      </c>
      <c r="AA723" t="str">
        <f t="shared" si="95"/>
        <v>Clean</v>
      </c>
    </row>
    <row r="724" spans="1:27" x14ac:dyDescent="0.3">
      <c r="A724" t="str">
        <f>[1]raw_orders!A724</f>
        <v>ORD-2024-10723</v>
      </c>
      <c r="B724" s="4">
        <f>IFERROR(DATEVALUE([1]raw_orders!B724), "Invalid Date")</f>
        <v>45572</v>
      </c>
      <c r="C724" s="4">
        <f>IFERROR(DATEVALUE([1]raw_orders!C724), "Invalid Date")</f>
        <v>45575</v>
      </c>
      <c r="D724" t="str">
        <f>[1]raw_orders!D724</f>
        <v>CUST-8844</v>
      </c>
      <c r="E724" t="str">
        <f>PROPER(TRIM([1]raw_orders!E724))</f>
        <v>Vikram Iyer</v>
      </c>
      <c r="F724" t="str">
        <f>PROPER(TRIM([1]raw_orders!F724))</f>
        <v>Consumer</v>
      </c>
      <c r="G724" t="str">
        <f>IF(TRIM([1]raw_orders!G724)="","Unknown",PROPER(TRIM([1]raw_orders!G724)))</f>
        <v>East</v>
      </c>
      <c r="H724" t="str">
        <f>PROPER(TRIM([1]raw_orders!H724))</f>
        <v>West Bengal</v>
      </c>
      <c r="I724" t="str">
        <f>PROPER(TRIM([1]raw_orders!I724))</f>
        <v>Kolkata</v>
      </c>
      <c r="J724" t="str">
        <f>PROPER(TRIM([1]raw_orders!J724))</f>
        <v>Furniture</v>
      </c>
      <c r="K724" t="str">
        <f>PROPER(TRIM([1]raw_orders!K724))</f>
        <v>Chairs</v>
      </c>
      <c r="L724" t="str">
        <f>[1]raw_orders!L724</f>
        <v>Eco Chairs 442</v>
      </c>
      <c r="M724" t="str">
        <f>IF(TRIM([1]raw_orders!M724)="","Unknown",PROPER(TRIM([1]raw_orders!M724)))</f>
        <v>Second Class</v>
      </c>
      <c r="N724" s="5">
        <f>[1]raw_orders!N724</f>
        <v>9</v>
      </c>
      <c r="O724" s="5">
        <f>[1]raw_orders!O724</f>
        <v>481.51</v>
      </c>
      <c r="P724" s="5">
        <f>[1]raw_orders!P724</f>
        <v>0</v>
      </c>
      <c r="Q724" t="str">
        <f>PROPER(TRIM([1]raw_orders!T724))</f>
        <v>Refunded</v>
      </c>
      <c r="R724" t="str">
        <f>PROPER(TRIM([1]raw_orders!U724))</f>
        <v>Cancelled</v>
      </c>
      <c r="S724" s="5">
        <f>[1]raw_orders!S724</f>
        <v>1800</v>
      </c>
      <c r="T724" s="5">
        <f t="shared" si="88"/>
        <v>18</v>
      </c>
      <c r="U724" s="5">
        <f t="shared" si="89"/>
        <v>-73671.03</v>
      </c>
      <c r="V724" s="5">
        <f t="shared" si="90"/>
        <v>-73671.03</v>
      </c>
      <c r="W724" s="5">
        <f t="shared" si="91"/>
        <v>1</v>
      </c>
      <c r="X724" s="5">
        <f t="shared" si="92"/>
        <v>3</v>
      </c>
      <c r="Y724" s="5">
        <f t="shared" si="93"/>
        <v>10</v>
      </c>
      <c r="Z724" s="5">
        <f t="shared" si="94"/>
        <v>2024</v>
      </c>
      <c r="AA724" t="str">
        <f t="shared" si="95"/>
        <v>Clean</v>
      </c>
    </row>
    <row r="725" spans="1:27" x14ac:dyDescent="0.3">
      <c r="A725" t="str">
        <f>[1]raw_orders!A725</f>
        <v>ORD-2025-10724</v>
      </c>
      <c r="B725" s="4">
        <f>IFERROR(DATEVALUE([1]raw_orders!B725), "Invalid Date")</f>
        <v>45818</v>
      </c>
      <c r="C725" s="4">
        <f>IFERROR(DATEVALUE([1]raw_orders!C725), "Invalid Date")</f>
        <v>45943</v>
      </c>
      <c r="D725" t="str">
        <f>[1]raw_orders!D725</f>
        <v>CUST-4335</v>
      </c>
      <c r="E725" t="str">
        <f>PROPER(TRIM([1]raw_orders!E725))</f>
        <v>Kabir Singh</v>
      </c>
      <c r="F725" t="str">
        <f>PROPER(TRIM([1]raw_orders!F725))</f>
        <v>Home Office</v>
      </c>
      <c r="G725" t="str">
        <f>IF(TRIM([1]raw_orders!G725)="","Unknown",PROPER(TRIM([1]raw_orders!G725)))</f>
        <v>East</v>
      </c>
      <c r="H725" t="str">
        <f>PROPER(TRIM([1]raw_orders!H725))</f>
        <v>Jharkhand</v>
      </c>
      <c r="I725" t="str">
        <f>PROPER(TRIM([1]raw_orders!I725))</f>
        <v>Ranchi</v>
      </c>
      <c r="J725" t="str">
        <f>PROPER(TRIM([1]raw_orders!J725))</f>
        <v>Technology</v>
      </c>
      <c r="K725" t="str">
        <f>PROPER(TRIM([1]raw_orders!K725))</f>
        <v>Accessories</v>
      </c>
      <c r="L725" t="str">
        <f>[1]raw_orders!L725</f>
        <v>Eco Accessories 364</v>
      </c>
      <c r="M725" t="str">
        <f>IF(TRIM([1]raw_orders!M725)="","Unknown",PROPER(TRIM([1]raw_orders!M725)))</f>
        <v>Standard Class</v>
      </c>
      <c r="N725" s="5">
        <f>[1]raw_orders!N725</f>
        <v>6</v>
      </c>
      <c r="O725" s="5">
        <f>[1]raw_orders!O725</f>
        <v>2391.9299999999998</v>
      </c>
      <c r="P725" s="5">
        <f>[1]raw_orders!P725</f>
        <v>0.05</v>
      </c>
      <c r="Q725" t="str">
        <f>PROPER(TRIM([1]raw_orders!T725))</f>
        <v>Failed</v>
      </c>
      <c r="R725" t="str">
        <f>PROPER(TRIM([1]raw_orders!U725))</f>
        <v>Returned</v>
      </c>
      <c r="S725" s="5">
        <f>[1]raw_orders!S725</f>
        <v>4044.19</v>
      </c>
      <c r="T725" s="5">
        <f t="shared" si="88"/>
        <v>40.441900000000004</v>
      </c>
      <c r="U725" s="5">
        <f t="shared" si="89"/>
        <v>-566053.58320200001</v>
      </c>
      <c r="V725" s="5">
        <f t="shared" si="90"/>
        <v>-566053.63320200006</v>
      </c>
      <c r="W725" s="5">
        <f t="shared" si="91"/>
        <v>1.0000000883308604</v>
      </c>
      <c r="X725" s="5">
        <f t="shared" si="92"/>
        <v>125</v>
      </c>
      <c r="Y725" s="5">
        <f t="shared" si="93"/>
        <v>6</v>
      </c>
      <c r="Z725" s="5">
        <f t="shared" si="94"/>
        <v>2025</v>
      </c>
      <c r="AA725" t="str">
        <f t="shared" si="95"/>
        <v>Clean</v>
      </c>
    </row>
    <row r="726" spans="1:27" x14ac:dyDescent="0.3">
      <c r="A726" t="str">
        <f>[1]raw_orders!A726</f>
        <v>ORD-2024-10725</v>
      </c>
      <c r="B726" s="4">
        <f>IFERROR(DATEVALUE([1]raw_orders!B726), "Invalid Date")</f>
        <v>45567</v>
      </c>
      <c r="C726" s="4">
        <f>IFERROR(DATEVALUE([1]raw_orders!C726), "Invalid Date")</f>
        <v>45338</v>
      </c>
      <c r="D726" t="str">
        <f>[1]raw_orders!D726</f>
        <v>CUST-5891</v>
      </c>
      <c r="E726" t="str">
        <f>PROPER(TRIM([1]raw_orders!E726))</f>
        <v>Karan Malhotra</v>
      </c>
      <c r="F726" t="str">
        <f>PROPER(TRIM([1]raw_orders!F726))</f>
        <v>Consumer</v>
      </c>
      <c r="G726" t="str">
        <f>IF(TRIM([1]raw_orders!G726)="","Unknown",PROPER(TRIM([1]raw_orders!G726)))</f>
        <v>West</v>
      </c>
      <c r="H726" t="str">
        <f>PROPER(TRIM([1]raw_orders!H726))</f>
        <v>Goa</v>
      </c>
      <c r="I726" t="str">
        <f>PROPER(TRIM([1]raw_orders!I726))</f>
        <v>Panaji</v>
      </c>
      <c r="J726" t="str">
        <f>PROPER(TRIM([1]raw_orders!J726))</f>
        <v>Furniture</v>
      </c>
      <c r="K726" t="str">
        <f>PROPER(TRIM([1]raw_orders!K726))</f>
        <v>Furnishings</v>
      </c>
      <c r="L726" t="str">
        <f>[1]raw_orders!L726</f>
        <v>Elite Furnishings 921</v>
      </c>
      <c r="M726" t="str">
        <f>IF(TRIM([1]raw_orders!M726)="","Unknown",PROPER(TRIM([1]raw_orders!M726)))</f>
        <v>Second Class</v>
      </c>
      <c r="N726" s="5">
        <f>[1]raw_orders!N726</f>
        <v>3</v>
      </c>
      <c r="O726" s="5">
        <f>[1]raw_orders!O726</f>
        <v>253.43</v>
      </c>
      <c r="P726" s="5">
        <f>[1]raw_orders!P726</f>
        <v>0</v>
      </c>
      <c r="Q726" t="str">
        <f>PROPER(TRIM([1]raw_orders!T726))</f>
        <v>Paid</v>
      </c>
      <c r="R726" t="str">
        <f>PROPER(TRIM([1]raw_orders!U726))</f>
        <v>Completed</v>
      </c>
      <c r="S726" s="5">
        <f>[1]raw_orders!S726</f>
        <v>262.52</v>
      </c>
      <c r="T726" s="5">
        <f t="shared" si="88"/>
        <v>2.6252</v>
      </c>
      <c r="U726" s="5">
        <f t="shared" si="89"/>
        <v>-1235.623308</v>
      </c>
      <c r="V726" s="5">
        <f t="shared" si="90"/>
        <v>-1235.623308</v>
      </c>
      <c r="W726" s="5">
        <f t="shared" si="91"/>
        <v>1</v>
      </c>
      <c r="X726" s="5">
        <f t="shared" si="92"/>
        <v>-229</v>
      </c>
      <c r="Y726" s="5">
        <f t="shared" si="93"/>
        <v>10</v>
      </c>
      <c r="Z726" s="5">
        <f t="shared" si="94"/>
        <v>2024</v>
      </c>
      <c r="AA726" t="str">
        <f t="shared" si="95"/>
        <v>Invalid</v>
      </c>
    </row>
    <row r="727" spans="1:27" x14ac:dyDescent="0.3">
      <c r="A727" t="str">
        <f>[1]raw_orders!A727</f>
        <v>ORD-2025-10726</v>
      </c>
      <c r="B727" s="4">
        <f>IFERROR(DATEVALUE([1]raw_orders!B727), "Invalid Date")</f>
        <v>45787</v>
      </c>
      <c r="C727" s="4">
        <f>IFERROR(DATEVALUE([1]raw_orders!C727), "Invalid Date")</f>
        <v>45942</v>
      </c>
      <c r="D727" t="str">
        <f>[1]raw_orders!D727</f>
        <v>CUST-6371</v>
      </c>
      <c r="E727" t="str">
        <f>PROPER(TRIM([1]raw_orders!E727))</f>
        <v>Priya Menon</v>
      </c>
      <c r="F727" t="str">
        <f>PROPER(TRIM([1]raw_orders!F727))</f>
        <v>Corporate</v>
      </c>
      <c r="G727" t="str">
        <f>IF(TRIM([1]raw_orders!G727)="","Unknown",PROPER(TRIM([1]raw_orders!G727)))</f>
        <v>South</v>
      </c>
      <c r="H727" t="str">
        <f>PROPER(TRIM([1]raw_orders!H727))</f>
        <v>Karnataka</v>
      </c>
      <c r="I727" t="str">
        <f>PROPER(TRIM([1]raw_orders!I727))</f>
        <v>Bengaluru</v>
      </c>
      <c r="J727" t="str">
        <f>PROPER(TRIM([1]raw_orders!J727))</f>
        <v>Furniture</v>
      </c>
      <c r="K727" t="str">
        <f>PROPER(TRIM([1]raw_orders!K727))</f>
        <v>Tables</v>
      </c>
      <c r="L727" t="str">
        <f>[1]raw_orders!L727</f>
        <v>Max Tables 309</v>
      </c>
      <c r="M727" t="str">
        <f>IF(TRIM([1]raw_orders!M727)="","Unknown",PROPER(TRIM([1]raw_orders!M727)))</f>
        <v>Second Class</v>
      </c>
      <c r="N727" s="5">
        <f>[1]raw_orders!N727</f>
        <v>7</v>
      </c>
      <c r="O727" s="5">
        <f>[1]raw_orders!O727</f>
        <v>2134.73</v>
      </c>
      <c r="P727" s="5">
        <f>[1]raw_orders!P727</f>
        <v>0</v>
      </c>
      <c r="Q727" t="str">
        <f>PROPER(TRIM([1]raw_orders!T727))</f>
        <v>Paid</v>
      </c>
      <c r="R727" t="str">
        <f>PROPER(TRIM([1]raw_orders!U727))</f>
        <v>Completed</v>
      </c>
      <c r="S727" s="5">
        <f>[1]raw_orders!S727</f>
        <v>6421.61</v>
      </c>
      <c r="T727" s="5">
        <f t="shared" si="88"/>
        <v>64.216099999999997</v>
      </c>
      <c r="U727" s="5">
        <f t="shared" si="89"/>
        <v>-944645.13607100002</v>
      </c>
      <c r="V727" s="5">
        <f t="shared" si="90"/>
        <v>-944645.13607100002</v>
      </c>
      <c r="W727" s="5">
        <f t="shared" si="91"/>
        <v>1</v>
      </c>
      <c r="X727" s="5">
        <f t="shared" si="92"/>
        <v>155</v>
      </c>
      <c r="Y727" s="5">
        <f t="shared" si="93"/>
        <v>5</v>
      </c>
      <c r="Z727" s="5">
        <f t="shared" si="94"/>
        <v>2025</v>
      </c>
      <c r="AA727" t="str">
        <f t="shared" si="95"/>
        <v>Clean</v>
      </c>
    </row>
    <row r="728" spans="1:27" x14ac:dyDescent="0.3">
      <c r="A728" t="str">
        <f>[1]raw_orders!A728</f>
        <v>ORD-2024-10727</v>
      </c>
      <c r="B728" s="4">
        <f>IFERROR(DATEVALUE([1]raw_orders!B728), "Invalid Date")</f>
        <v>45308</v>
      </c>
      <c r="C728" s="4" t="str">
        <f>IFERROR(DATEVALUE([1]raw_orders!C728), "Invalid Date")</f>
        <v>Invalid Date</v>
      </c>
      <c r="D728" t="str">
        <f>[1]raw_orders!D728</f>
        <v>CUST-6655</v>
      </c>
      <c r="E728" t="str">
        <f>PROPER(TRIM([1]raw_orders!E728))</f>
        <v>Kabir Singh</v>
      </c>
      <c r="F728" t="str">
        <f>PROPER(TRIM([1]raw_orders!F728))</f>
        <v>Home Office</v>
      </c>
      <c r="G728" t="str">
        <f>IF(TRIM([1]raw_orders!G728)="","Unknown",PROPER(TRIM([1]raw_orders!G728)))</f>
        <v>West</v>
      </c>
      <c r="H728" t="str">
        <f>PROPER(TRIM([1]raw_orders!H728))</f>
        <v>Gujarat</v>
      </c>
      <c r="I728" t="str">
        <f>PROPER(TRIM([1]raw_orders!I728))</f>
        <v>Ahmedabad</v>
      </c>
      <c r="J728" t="str">
        <f>PROPER(TRIM([1]raw_orders!J728))</f>
        <v>Technology</v>
      </c>
      <c r="K728" t="str">
        <f>PROPER(TRIM([1]raw_orders!K728))</f>
        <v>Phones</v>
      </c>
      <c r="L728" t="str">
        <f>[1]raw_orders!L728</f>
        <v>Pro Phones 857</v>
      </c>
      <c r="M728" t="str">
        <f>IF(TRIM([1]raw_orders!M728)="","Unknown",PROPER(TRIM([1]raw_orders!M728)))</f>
        <v>Standard Class</v>
      </c>
      <c r="N728" s="5">
        <f>[1]raw_orders!N728</f>
        <v>5</v>
      </c>
      <c r="O728" s="5">
        <f>[1]raw_orders!O728</f>
        <v>2018</v>
      </c>
      <c r="P728" s="5">
        <f>[1]raw_orders!P728</f>
        <v>0.2</v>
      </c>
      <c r="Q728" t="str">
        <f>PROPER(TRIM([1]raw_orders!T728))</f>
        <v>Pending</v>
      </c>
      <c r="R728" t="str">
        <f>PROPER(TRIM([1]raw_orders!U728))</f>
        <v>Returned</v>
      </c>
      <c r="S728" s="5">
        <f>[1]raw_orders!S728</f>
        <v>2692.78</v>
      </c>
      <c r="T728" s="5">
        <f t="shared" si="88"/>
        <v>26.927800000000001</v>
      </c>
      <c r="U728" s="5">
        <f t="shared" si="89"/>
        <v>-261611.50200000001</v>
      </c>
      <c r="V728" s="5">
        <f t="shared" si="90"/>
        <v>-261611.70200000002</v>
      </c>
      <c r="W728" s="5">
        <f t="shared" si="91"/>
        <v>1.0000007644923807</v>
      </c>
      <c r="X728" s="5" t="str">
        <f t="shared" si="92"/>
        <v>Invalid Date</v>
      </c>
      <c r="Y728" s="5">
        <f t="shared" si="93"/>
        <v>1</v>
      </c>
      <c r="Z728" s="5">
        <f t="shared" si="94"/>
        <v>2024</v>
      </c>
      <c r="AA728" t="str">
        <f t="shared" si="95"/>
        <v>Clean</v>
      </c>
    </row>
    <row r="729" spans="1:27" x14ac:dyDescent="0.3">
      <c r="A729" t="str">
        <f>[1]raw_orders!A729</f>
        <v>ORD-2024-10728</v>
      </c>
      <c r="B729" s="4">
        <f>IFERROR(DATEVALUE([1]raw_orders!B729), "Invalid Date")</f>
        <v>45578</v>
      </c>
      <c r="C729" s="4">
        <f>IFERROR(DATEVALUE([1]raw_orders!C729), "Invalid Date")</f>
        <v>45578</v>
      </c>
      <c r="D729" t="str">
        <f>[1]raw_orders!D729</f>
        <v>CUST-6492</v>
      </c>
      <c r="E729" t="str">
        <f>PROPER(TRIM([1]raw_orders!E729))</f>
        <v>Aarav Sharma</v>
      </c>
      <c r="F729" t="str">
        <f>PROPER(TRIM([1]raw_orders!F729))</f>
        <v>Small Business</v>
      </c>
      <c r="G729" t="str">
        <f>IF(TRIM([1]raw_orders!G729)="","Unknown",PROPER(TRIM([1]raw_orders!G729)))</f>
        <v>East</v>
      </c>
      <c r="H729" t="str">
        <f>PROPER(TRIM([1]raw_orders!H729))</f>
        <v>Assam</v>
      </c>
      <c r="I729" t="str">
        <f>PROPER(TRIM([1]raw_orders!I729))</f>
        <v>Guwahati</v>
      </c>
      <c r="J729" t="str">
        <f>PROPER(TRIM([1]raw_orders!J729))</f>
        <v>Technology</v>
      </c>
      <c r="K729" t="str">
        <f>PROPER(TRIM([1]raw_orders!K729))</f>
        <v>Accessories</v>
      </c>
      <c r="L729" t="str">
        <f>[1]raw_orders!L729</f>
        <v>Max Accessories 567</v>
      </c>
      <c r="M729" t="str">
        <f>IF(TRIM([1]raw_orders!M729)="","Unknown",PROPER(TRIM([1]raw_orders!M729)))</f>
        <v>Second Class</v>
      </c>
      <c r="N729" s="5">
        <f>[1]raw_orders!N729</f>
        <v>8</v>
      </c>
      <c r="O729" s="5">
        <f>[1]raw_orders!O729</f>
        <v>3730.66</v>
      </c>
      <c r="P729" s="5">
        <f>[1]raw_orders!P729</f>
        <v>0.05</v>
      </c>
      <c r="Q729" t="str">
        <f>PROPER(TRIM([1]raw_orders!T729))</f>
        <v>Paid</v>
      </c>
      <c r="R729" t="str">
        <f>PROPER(TRIM([1]raw_orders!U729))</f>
        <v>Completed</v>
      </c>
      <c r="S729" s="5">
        <f>[1]raw_orders!S729</f>
        <v>9095.17</v>
      </c>
      <c r="T729" s="5">
        <f t="shared" si="88"/>
        <v>90.951700000000002</v>
      </c>
      <c r="U729" s="5">
        <f t="shared" si="89"/>
        <v>-2684633.6729759998</v>
      </c>
      <c r="V729" s="5">
        <f t="shared" si="90"/>
        <v>-2684633.7229759996</v>
      </c>
      <c r="W729" s="5">
        <f t="shared" si="91"/>
        <v>1.0000000186245148</v>
      </c>
      <c r="X729" s="5">
        <f t="shared" si="92"/>
        <v>0</v>
      </c>
      <c r="Y729" s="5">
        <f t="shared" si="93"/>
        <v>10</v>
      </c>
      <c r="Z729" s="5">
        <f t="shared" si="94"/>
        <v>2024</v>
      </c>
      <c r="AA729" t="str">
        <f t="shared" si="95"/>
        <v>Clean</v>
      </c>
    </row>
    <row r="730" spans="1:27" x14ac:dyDescent="0.3">
      <c r="A730" t="str">
        <f>[1]raw_orders!A730</f>
        <v>ORD-2024-10729</v>
      </c>
      <c r="B730" s="4">
        <f>IFERROR(DATEVALUE([1]raw_orders!B730), "Invalid Date")</f>
        <v>45295</v>
      </c>
      <c r="C730" s="4">
        <f>IFERROR(DATEVALUE([1]raw_orders!C730), "Invalid Date")</f>
        <v>45298</v>
      </c>
      <c r="D730" t="str">
        <f>[1]raw_orders!D730</f>
        <v>CUST-1154</v>
      </c>
      <c r="E730" t="str">
        <f>PROPER(TRIM([1]raw_orders!E730))</f>
        <v>Sneha Kapoor</v>
      </c>
      <c r="F730" t="str">
        <f>PROPER(TRIM([1]raw_orders!F730))</f>
        <v>Small Business</v>
      </c>
      <c r="G730" t="str">
        <f>IF(TRIM([1]raw_orders!G730)="","Unknown",PROPER(TRIM([1]raw_orders!G730)))</f>
        <v>South</v>
      </c>
      <c r="H730" t="str">
        <f>PROPER(TRIM([1]raw_orders!H730))</f>
        <v>Karnataka</v>
      </c>
      <c r="I730" t="str">
        <f>PROPER(TRIM([1]raw_orders!I730))</f>
        <v>Bengaluru</v>
      </c>
      <c r="J730" t="str">
        <f>PROPER(TRIM([1]raw_orders!J730))</f>
        <v>Technology</v>
      </c>
      <c r="K730" t="str">
        <f>PROPER(TRIM([1]raw_orders!K730))</f>
        <v>Machines</v>
      </c>
      <c r="L730" t="str">
        <f>[1]raw_orders!L730</f>
        <v>Max Machines 200</v>
      </c>
      <c r="M730" t="str">
        <f>IF(TRIM([1]raw_orders!M730)="","Unknown",PROPER(TRIM([1]raw_orders!M730)))</f>
        <v>First Class</v>
      </c>
      <c r="N730" s="5">
        <f>[1]raw_orders!N730</f>
        <v>1</v>
      </c>
      <c r="O730" s="5">
        <f>[1]raw_orders!O730</f>
        <v>2363.02</v>
      </c>
      <c r="P730" s="5">
        <f>[1]raw_orders!P730</f>
        <v>0.15</v>
      </c>
      <c r="Q730" t="str">
        <f>PROPER(TRIM([1]raw_orders!T730))</f>
        <v>Paid</v>
      </c>
      <c r="R730" t="str">
        <f>PROPER(TRIM([1]raw_orders!U730))</f>
        <v>Completed</v>
      </c>
      <c r="S730" s="5">
        <f>[1]raw_orders!S730</f>
        <v>813.74</v>
      </c>
      <c r="T730" s="5">
        <f t="shared" si="88"/>
        <v>8.1373999999999995</v>
      </c>
      <c r="U730" s="5">
        <f t="shared" si="89"/>
        <v>-16865.818948</v>
      </c>
      <c r="V730" s="5">
        <f t="shared" si="90"/>
        <v>-16865.968948000002</v>
      </c>
      <c r="W730" s="5">
        <f t="shared" si="91"/>
        <v>1.0000088937276312</v>
      </c>
      <c r="X730" s="5">
        <f t="shared" si="92"/>
        <v>3</v>
      </c>
      <c r="Y730" s="5">
        <f t="shared" si="93"/>
        <v>1</v>
      </c>
      <c r="Z730" s="5">
        <f t="shared" si="94"/>
        <v>2024</v>
      </c>
      <c r="AA730" t="str">
        <f t="shared" si="95"/>
        <v>Clean</v>
      </c>
    </row>
    <row r="731" spans="1:27" x14ac:dyDescent="0.3">
      <c r="A731" t="str">
        <f>[1]raw_orders!A731</f>
        <v>ORD-2025-10730</v>
      </c>
      <c r="B731" s="4">
        <f>IFERROR(DATEVALUE([1]raw_orders!B731), "Invalid Date")</f>
        <v>45794</v>
      </c>
      <c r="C731" s="4">
        <f>IFERROR(DATEVALUE([1]raw_orders!C731), "Invalid Date")</f>
        <v>45802</v>
      </c>
      <c r="D731" t="str">
        <f>[1]raw_orders!D731</f>
        <v>CUST-8713</v>
      </c>
      <c r="E731" t="str">
        <f>PROPER(TRIM([1]raw_orders!E731))</f>
        <v>Ananya Rao</v>
      </c>
      <c r="F731" t="str">
        <f>PROPER(TRIM([1]raw_orders!F731))</f>
        <v>Corporate</v>
      </c>
      <c r="G731" t="str">
        <f>IF(TRIM([1]raw_orders!G731)="","Unknown",PROPER(TRIM([1]raw_orders!G731)))</f>
        <v>South</v>
      </c>
      <c r="H731" t="str">
        <f>PROPER(TRIM([1]raw_orders!H731))</f>
        <v>Tamil Nadu</v>
      </c>
      <c r="I731" t="str">
        <f>PROPER(TRIM([1]raw_orders!I731))</f>
        <v>Chennai</v>
      </c>
      <c r="J731" t="str">
        <f>PROPER(TRIM([1]raw_orders!J731))</f>
        <v>Technology</v>
      </c>
      <c r="K731" t="str">
        <f>PROPER(TRIM([1]raw_orders!K731))</f>
        <v>Machines</v>
      </c>
      <c r="L731" t="str">
        <f>[1]raw_orders!L731</f>
        <v>Pro Machines 563</v>
      </c>
      <c r="M731" t="str">
        <f>IF(TRIM([1]raw_orders!M731)="","Unknown",PROPER(TRIM([1]raw_orders!M731)))</f>
        <v>Same Day</v>
      </c>
      <c r="N731" s="5">
        <f>[1]raw_orders!N731</f>
        <v>6</v>
      </c>
      <c r="O731" s="5">
        <f>[1]raw_orders!O731</f>
        <v>1810.63</v>
      </c>
      <c r="P731" s="5">
        <f>[1]raw_orders!P731</f>
        <v>0.15</v>
      </c>
      <c r="Q731" t="str">
        <f>PROPER(TRIM([1]raw_orders!T731))</f>
        <v>Paid</v>
      </c>
      <c r="R731" t="str">
        <f>PROPER(TRIM([1]raw_orders!U731))</f>
        <v>Completed</v>
      </c>
      <c r="S731" s="5">
        <f>[1]raw_orders!S731</f>
        <v>3717.69</v>
      </c>
      <c r="T731" s="5">
        <f t="shared" si="88"/>
        <v>37.176900000000003</v>
      </c>
      <c r="U731" s="5">
        <f t="shared" si="89"/>
        <v>-393017.88268200005</v>
      </c>
      <c r="V731" s="5">
        <f t="shared" si="90"/>
        <v>-393018.03268200008</v>
      </c>
      <c r="W731" s="5">
        <f t="shared" si="91"/>
        <v>1.0000003816620227</v>
      </c>
      <c r="X731" s="5">
        <f t="shared" si="92"/>
        <v>8</v>
      </c>
      <c r="Y731" s="5">
        <f t="shared" si="93"/>
        <v>5</v>
      </c>
      <c r="Z731" s="5">
        <f t="shared" si="94"/>
        <v>2025</v>
      </c>
      <c r="AA731" t="str">
        <f t="shared" si="95"/>
        <v>Clean</v>
      </c>
    </row>
    <row r="732" spans="1:27" x14ac:dyDescent="0.3">
      <c r="A732" t="str">
        <f>[1]raw_orders!A732</f>
        <v>ORD-2025-10731</v>
      </c>
      <c r="B732" s="4" t="str">
        <f>IFERROR(DATEVALUE([1]raw_orders!B732), "Invalid Date")</f>
        <v>Invalid Date</v>
      </c>
      <c r="C732" s="4">
        <f>IFERROR(DATEVALUE([1]raw_orders!C732), "Invalid Date")</f>
        <v>45832</v>
      </c>
      <c r="D732" t="str">
        <f>[1]raw_orders!D732</f>
        <v>CUST-6765</v>
      </c>
      <c r="E732" t="str">
        <f>PROPER(TRIM([1]raw_orders!E732))</f>
        <v>Arjun Bose</v>
      </c>
      <c r="F732" t="str">
        <f>PROPER(TRIM([1]raw_orders!F732))</f>
        <v>Consumer</v>
      </c>
      <c r="G732" t="str">
        <f>IF(TRIM([1]raw_orders!G732)="","Unknown",PROPER(TRIM([1]raw_orders!G732)))</f>
        <v>East</v>
      </c>
      <c r="H732" t="str">
        <f>PROPER(TRIM([1]raw_orders!H732))</f>
        <v>West Bengal</v>
      </c>
      <c r="I732" t="str">
        <f>PROPER(TRIM([1]raw_orders!I732))</f>
        <v>Kolkata</v>
      </c>
      <c r="J732" t="str">
        <f>PROPER(TRIM([1]raw_orders!J732))</f>
        <v>Office Supplies</v>
      </c>
      <c r="K732" t="str">
        <f>PROPER(TRIM([1]raw_orders!K732))</f>
        <v>Art</v>
      </c>
      <c r="L732" t="str">
        <f>[1]raw_orders!L732</f>
        <v>Elite Art 696</v>
      </c>
      <c r="M732" t="str">
        <f>IF(TRIM([1]raw_orders!M732)="","Unknown",PROPER(TRIM([1]raw_orders!M732)))</f>
        <v>Second Class</v>
      </c>
      <c r="N732" s="5">
        <f>[1]raw_orders!N732</f>
        <v>4</v>
      </c>
      <c r="O732" s="5">
        <f>[1]raw_orders!O732</f>
        <v>782.01</v>
      </c>
      <c r="P732" s="5">
        <f>[1]raw_orders!P732</f>
        <v>0.15</v>
      </c>
      <c r="Q732" t="str">
        <f>PROPER(TRIM([1]raw_orders!T732))</f>
        <v>Refunded</v>
      </c>
      <c r="R732" t="str">
        <f>PROPER(TRIM([1]raw_orders!U732))</f>
        <v>Returned</v>
      </c>
      <c r="S732" s="5">
        <f>[1]raw_orders!S732</f>
        <v>431.86</v>
      </c>
      <c r="T732" s="5">
        <f t="shared" si="88"/>
        <v>4.3186</v>
      </c>
      <c r="U732" s="5">
        <f t="shared" si="89"/>
        <v>-10380.713544</v>
      </c>
      <c r="V732" s="5">
        <f t="shared" si="90"/>
        <v>-10380.863544</v>
      </c>
      <c r="W732" s="5">
        <f t="shared" si="91"/>
        <v>1.000014449873736</v>
      </c>
      <c r="X732" s="5" t="str">
        <f t="shared" si="92"/>
        <v>Invalid Date</v>
      </c>
      <c r="Y732" s="5" t="e">
        <f t="shared" si="93"/>
        <v>#VALUE!</v>
      </c>
      <c r="Z732" s="5" t="e">
        <f t="shared" si="94"/>
        <v>#VALUE!</v>
      </c>
      <c r="AA732" t="str">
        <f t="shared" si="95"/>
        <v>Clean</v>
      </c>
    </row>
    <row r="733" spans="1:27" x14ac:dyDescent="0.3">
      <c r="A733" t="str">
        <f>[1]raw_orders!A733</f>
        <v>ORD-2024-10732</v>
      </c>
      <c r="B733" s="4">
        <f>IFERROR(DATEVALUE([1]raw_orders!B733), "Invalid Date")</f>
        <v>45368</v>
      </c>
      <c r="C733" s="4">
        <f>IFERROR(DATEVALUE([1]raw_orders!C733), "Invalid Date")</f>
        <v>45370</v>
      </c>
      <c r="D733" t="str">
        <f>[1]raw_orders!D733</f>
        <v>CUST-6849</v>
      </c>
      <c r="E733" t="str">
        <f>PROPER(TRIM([1]raw_orders!E733))</f>
        <v>Ananya Rao</v>
      </c>
      <c r="F733" t="str">
        <f>PROPER(TRIM([1]raw_orders!F733))</f>
        <v>Corporate</v>
      </c>
      <c r="G733" t="str">
        <f>IF(TRIM([1]raw_orders!G733)="","Unknown",PROPER(TRIM([1]raw_orders!G733)))</f>
        <v>East</v>
      </c>
      <c r="H733" t="str">
        <f>PROPER(TRIM([1]raw_orders!H733))</f>
        <v>Odisha</v>
      </c>
      <c r="I733" t="str">
        <f>PROPER(TRIM([1]raw_orders!I733))</f>
        <v>Bhubaneswar</v>
      </c>
      <c r="J733" t="str">
        <f>PROPER(TRIM([1]raw_orders!J733))</f>
        <v>Office Supplies</v>
      </c>
      <c r="K733" t="str">
        <f>PROPER(TRIM([1]raw_orders!K733))</f>
        <v>Binders</v>
      </c>
      <c r="L733" t="str">
        <f>[1]raw_orders!L733</f>
        <v>Eco Binders 178</v>
      </c>
      <c r="M733" t="str">
        <f>IF(TRIM([1]raw_orders!M733)="","Unknown",PROPER(TRIM([1]raw_orders!M733)))</f>
        <v>First Class</v>
      </c>
      <c r="N733" s="5">
        <f>[1]raw_orders!N733</f>
        <v>4</v>
      </c>
      <c r="O733" s="5">
        <f>[1]raw_orders!O733</f>
        <v>4376.68</v>
      </c>
      <c r="P733" s="5">
        <f>[1]raw_orders!P733</f>
        <v>0.1</v>
      </c>
      <c r="Q733" t="str">
        <f>PROPER(TRIM([1]raw_orders!T733))</f>
        <v>Paid</v>
      </c>
      <c r="R733" t="str">
        <f>PROPER(TRIM([1]raw_orders!U733))</f>
        <v>Completed</v>
      </c>
      <c r="S733" s="5">
        <f>[1]raw_orders!S733</f>
        <v>5510.61</v>
      </c>
      <c r="T733" s="5">
        <f t="shared" si="88"/>
        <v>55.106099999999998</v>
      </c>
      <c r="U733" s="5">
        <f t="shared" si="89"/>
        <v>-947220.34299200005</v>
      </c>
      <c r="V733" s="5">
        <f t="shared" si="90"/>
        <v>-947220.44299200003</v>
      </c>
      <c r="W733" s="5">
        <f t="shared" si="91"/>
        <v>1.0000001055720569</v>
      </c>
      <c r="X733" s="5">
        <f t="shared" si="92"/>
        <v>2</v>
      </c>
      <c r="Y733" s="5">
        <f t="shared" si="93"/>
        <v>3</v>
      </c>
      <c r="Z733" s="5">
        <f t="shared" si="94"/>
        <v>2024</v>
      </c>
      <c r="AA733" t="str">
        <f t="shared" si="95"/>
        <v>Clean</v>
      </c>
    </row>
    <row r="734" spans="1:27" x14ac:dyDescent="0.3">
      <c r="A734" t="str">
        <f>[1]raw_orders!A734</f>
        <v>ORD-2024-10733</v>
      </c>
      <c r="B734" s="4">
        <f>IFERROR(DATEVALUE([1]raw_orders!B734), "Invalid Date")</f>
        <v>45624</v>
      </c>
      <c r="C734" s="4">
        <f>IFERROR(DATEVALUE([1]raw_orders!C734), "Invalid Date")</f>
        <v>45632</v>
      </c>
      <c r="D734" t="str">
        <f>[1]raw_orders!D734</f>
        <v>CUST-4973</v>
      </c>
      <c r="E734" t="str">
        <f>PROPER(TRIM([1]raw_orders!E734))</f>
        <v>Arjun Bose</v>
      </c>
      <c r="F734" t="str">
        <f>PROPER(TRIM([1]raw_orders!F734))</f>
        <v>Small Business</v>
      </c>
      <c r="G734" t="str">
        <f>IF(TRIM([1]raw_orders!G734)="","Unknown",PROPER(TRIM([1]raw_orders!G734)))</f>
        <v>North</v>
      </c>
      <c r="H734" t="str">
        <f>PROPER(TRIM([1]raw_orders!H734))</f>
        <v>Punjab</v>
      </c>
      <c r="I734" t="str">
        <f>PROPER(TRIM([1]raw_orders!I734))</f>
        <v>Ludhiana</v>
      </c>
      <c r="J734" t="str">
        <f>PROPER(TRIM([1]raw_orders!J734))</f>
        <v>Technology</v>
      </c>
      <c r="K734" t="str">
        <f>PROPER(TRIM([1]raw_orders!K734))</f>
        <v>Phones</v>
      </c>
      <c r="L734" t="str">
        <f>[1]raw_orders!L734</f>
        <v>Max Phones 678</v>
      </c>
      <c r="M734" t="str">
        <f>IF(TRIM([1]raw_orders!M734)="","Unknown",PROPER(TRIM([1]raw_orders!M734)))</f>
        <v>Standard Class</v>
      </c>
      <c r="N734" s="5">
        <f>[1]raw_orders!N734</f>
        <v>6</v>
      </c>
      <c r="O734" s="5">
        <f>[1]raw_orders!O734</f>
        <v>2464.63</v>
      </c>
      <c r="P734" s="5">
        <f>[1]raw_orders!P734</f>
        <v>0</v>
      </c>
      <c r="Q734" t="str">
        <f>PROPER(TRIM([1]raw_orders!T734))</f>
        <v>Paid</v>
      </c>
      <c r="R734" t="str">
        <f>PROPER(TRIM([1]raw_orders!U734))</f>
        <v>Completed</v>
      </c>
      <c r="S734" s="5">
        <f>[1]raw_orders!S734</f>
        <v>6191.13</v>
      </c>
      <c r="T734" s="5">
        <f t="shared" si="88"/>
        <v>61.911300000000004</v>
      </c>
      <c r="U734" s="5">
        <f t="shared" si="89"/>
        <v>-900742.90391400014</v>
      </c>
      <c r="V734" s="5">
        <f t="shared" si="90"/>
        <v>-900742.90391400014</v>
      </c>
      <c r="W734" s="5">
        <f t="shared" si="91"/>
        <v>1</v>
      </c>
      <c r="X734" s="5">
        <f t="shared" si="92"/>
        <v>8</v>
      </c>
      <c r="Y734" s="5">
        <f t="shared" si="93"/>
        <v>11</v>
      </c>
      <c r="Z734" s="5">
        <f t="shared" si="94"/>
        <v>2024</v>
      </c>
      <c r="AA734" t="str">
        <f t="shared" si="95"/>
        <v>Clean</v>
      </c>
    </row>
    <row r="735" spans="1:27" x14ac:dyDescent="0.3">
      <c r="A735" t="str">
        <f>[1]raw_orders!A735</f>
        <v>ORD-2024-10734</v>
      </c>
      <c r="B735" s="4">
        <f>IFERROR(DATEVALUE([1]raw_orders!B735), "Invalid Date")</f>
        <v>45464</v>
      </c>
      <c r="C735" s="4">
        <f>IFERROR(DATEVALUE([1]raw_orders!C735), "Invalid Date")</f>
        <v>45471</v>
      </c>
      <c r="D735" t="str">
        <f>[1]raw_orders!D735</f>
        <v>CUST-2394</v>
      </c>
      <c r="E735" t="str">
        <f>PROPER(TRIM([1]raw_orders!E735))</f>
        <v>Aarav Sharma</v>
      </c>
      <c r="F735" t="str">
        <f>PROPER(TRIM([1]raw_orders!F735))</f>
        <v>Home Office</v>
      </c>
      <c r="G735" t="str">
        <f>IF(TRIM([1]raw_orders!G735)="","Unknown",PROPER(TRIM([1]raw_orders!G735)))</f>
        <v>North</v>
      </c>
      <c r="H735" t="str">
        <f>PROPER(TRIM([1]raw_orders!H735))</f>
        <v>Rajasthan</v>
      </c>
      <c r="I735" t="str">
        <f>PROPER(TRIM([1]raw_orders!I735))</f>
        <v>Jaipur</v>
      </c>
      <c r="J735" t="str">
        <f>PROPER(TRIM([1]raw_orders!J735))</f>
        <v>Furniture</v>
      </c>
      <c r="K735" t="str">
        <f>PROPER(TRIM([1]raw_orders!K735))</f>
        <v>Furnishings</v>
      </c>
      <c r="L735" t="str">
        <f>[1]raw_orders!L735</f>
        <v>Classic Furnishings 582</v>
      </c>
      <c r="M735" t="str">
        <f>IF(TRIM([1]raw_orders!M735)="","Unknown",PROPER(TRIM([1]raw_orders!M735)))</f>
        <v>First Class</v>
      </c>
      <c r="N735" s="5">
        <f>[1]raw_orders!N735</f>
        <v>9</v>
      </c>
      <c r="O735" s="5">
        <f>[1]raw_orders!O735</f>
        <v>2797.96</v>
      </c>
      <c r="P735" s="5">
        <f>[1]raw_orders!P735</f>
        <v>0</v>
      </c>
      <c r="Q735" t="str">
        <f>PROPER(TRIM([1]raw_orders!T735))</f>
        <v>Paid</v>
      </c>
      <c r="R735" t="str">
        <f>PROPER(TRIM([1]raw_orders!U735))</f>
        <v>Completed</v>
      </c>
      <c r="S735" s="5">
        <f>[1]raw_orders!S735</f>
        <v>9843.74</v>
      </c>
      <c r="T735" s="5">
        <f t="shared" si="88"/>
        <v>98.437399999999997</v>
      </c>
      <c r="U735" s="5">
        <f t="shared" si="89"/>
        <v>-2453633.5293359999</v>
      </c>
      <c r="V735" s="5">
        <f t="shared" si="90"/>
        <v>-2453633.5293359999</v>
      </c>
      <c r="W735" s="5">
        <f t="shared" si="91"/>
        <v>1</v>
      </c>
      <c r="X735" s="5">
        <f t="shared" si="92"/>
        <v>7</v>
      </c>
      <c r="Y735" s="5">
        <f t="shared" si="93"/>
        <v>6</v>
      </c>
      <c r="Z735" s="5">
        <f t="shared" si="94"/>
        <v>2024</v>
      </c>
      <c r="AA735" t="str">
        <f t="shared" si="95"/>
        <v>Clean</v>
      </c>
    </row>
    <row r="736" spans="1:27" x14ac:dyDescent="0.3">
      <c r="A736" t="str">
        <f>[1]raw_orders!A736</f>
        <v>ORD-2024-10735</v>
      </c>
      <c r="B736" s="4">
        <f>IFERROR(DATEVALUE([1]raw_orders!B736), "Invalid Date")</f>
        <v>45528</v>
      </c>
      <c r="C736" s="4">
        <f>IFERROR(DATEVALUE([1]raw_orders!C736), "Invalid Date")</f>
        <v>45528</v>
      </c>
      <c r="D736" t="str">
        <f>[1]raw_orders!D736</f>
        <v>CUST-5406</v>
      </c>
      <c r="E736" t="str">
        <f>PROPER(TRIM([1]raw_orders!E736))</f>
        <v>Ananya Rao</v>
      </c>
      <c r="F736" t="str">
        <f>PROPER(TRIM([1]raw_orders!F736))</f>
        <v>Small Business</v>
      </c>
      <c r="G736" t="str">
        <f>IF(TRIM([1]raw_orders!G736)="","Unknown",PROPER(TRIM([1]raw_orders!G736)))</f>
        <v>North</v>
      </c>
      <c r="H736" t="str">
        <f>PROPER(TRIM([1]raw_orders!H736))</f>
        <v>Rajasthan</v>
      </c>
      <c r="I736" t="str">
        <f>PROPER(TRIM([1]raw_orders!I736))</f>
        <v>Jaipur</v>
      </c>
      <c r="J736" t="str">
        <f>PROPER(TRIM([1]raw_orders!J736))</f>
        <v>Technology</v>
      </c>
      <c r="K736" t="str">
        <f>PROPER(TRIM([1]raw_orders!K736))</f>
        <v>Accessories</v>
      </c>
      <c r="L736" t="str">
        <f>[1]raw_orders!L736</f>
        <v>Classic Accessories 981</v>
      </c>
      <c r="M736" t="str">
        <f>IF(TRIM([1]raw_orders!M736)="","Unknown",PROPER(TRIM([1]raw_orders!M736)))</f>
        <v>First Class</v>
      </c>
      <c r="N736" s="5">
        <f>[1]raw_orders!N736</f>
        <v>4</v>
      </c>
      <c r="O736" s="5">
        <f>[1]raw_orders!O736</f>
        <v>2761.86</v>
      </c>
      <c r="P736" s="5">
        <f>[1]raw_orders!P736</f>
        <v>0.2</v>
      </c>
      <c r="Q736" t="str">
        <f>PROPER(TRIM([1]raw_orders!T736))</f>
        <v>Paid</v>
      </c>
      <c r="R736" t="str">
        <f>PROPER(TRIM([1]raw_orders!U736))</f>
        <v>Completed</v>
      </c>
      <c r="S736" s="5">
        <f>[1]raw_orders!S736</f>
        <v>2680.68</v>
      </c>
      <c r="T736" s="5">
        <f t="shared" si="88"/>
        <v>26.806799999999999</v>
      </c>
      <c r="U736" s="5">
        <f t="shared" si="89"/>
        <v>-285099.07459199999</v>
      </c>
      <c r="V736" s="5">
        <f t="shared" si="90"/>
        <v>-285099.274592</v>
      </c>
      <c r="W736" s="5">
        <f t="shared" si="91"/>
        <v>1.0000007015105199</v>
      </c>
      <c r="X736" s="5">
        <f t="shared" si="92"/>
        <v>0</v>
      </c>
      <c r="Y736" s="5">
        <f t="shared" si="93"/>
        <v>8</v>
      </c>
      <c r="Z736" s="5">
        <f t="shared" si="94"/>
        <v>2024</v>
      </c>
      <c r="AA736" t="str">
        <f t="shared" si="95"/>
        <v>Clean</v>
      </c>
    </row>
    <row r="737" spans="1:27" x14ac:dyDescent="0.3">
      <c r="A737" t="str">
        <f>[1]raw_orders!A737</f>
        <v>ORD-2024-10736</v>
      </c>
      <c r="B737" s="4">
        <f>IFERROR(DATEVALUE([1]raw_orders!B737), "Invalid Date")</f>
        <v>45515</v>
      </c>
      <c r="C737" s="4">
        <f>IFERROR(DATEVALUE([1]raw_orders!C737), "Invalid Date")</f>
        <v>45523</v>
      </c>
      <c r="D737" t="str">
        <f>[1]raw_orders!D737</f>
        <v>CUST-1963</v>
      </c>
      <c r="E737" t="str">
        <f>PROPER(TRIM([1]raw_orders!E737))</f>
        <v>Mira Das</v>
      </c>
      <c r="F737" t="str">
        <f>PROPER(TRIM([1]raw_orders!F737))</f>
        <v>Consumer</v>
      </c>
      <c r="G737" t="str">
        <f>IF(TRIM([1]raw_orders!G737)="","Unknown",PROPER(TRIM([1]raw_orders!G737)))</f>
        <v>West</v>
      </c>
      <c r="H737" t="str">
        <f>PROPER(TRIM([1]raw_orders!H737))</f>
        <v>Maharashtra</v>
      </c>
      <c r="I737" t="str">
        <f>PROPER(TRIM([1]raw_orders!I737))</f>
        <v>Mumbai</v>
      </c>
      <c r="J737" t="str">
        <f>PROPER(TRIM([1]raw_orders!J737))</f>
        <v>Furniture</v>
      </c>
      <c r="K737" t="str">
        <f>PROPER(TRIM([1]raw_orders!K737))</f>
        <v>Tables</v>
      </c>
      <c r="L737" t="str">
        <f>[1]raw_orders!L737</f>
        <v>Classic Tables 534</v>
      </c>
      <c r="M737" t="str">
        <f>IF(TRIM([1]raw_orders!M737)="","Unknown",PROPER(TRIM([1]raw_orders!M737)))</f>
        <v>Standard Class</v>
      </c>
      <c r="N737" s="5">
        <f>[1]raw_orders!N737</f>
        <v>6</v>
      </c>
      <c r="O737" s="5">
        <f>[1]raw_orders!O737</f>
        <v>1515.79</v>
      </c>
      <c r="P737" s="5">
        <f>[1]raw_orders!P737</f>
        <v>0.2</v>
      </c>
      <c r="Q737" t="str">
        <f>PROPER(TRIM([1]raw_orders!T737))</f>
        <v>Paid</v>
      </c>
      <c r="R737" t="str">
        <f>PROPER(TRIM([1]raw_orders!U737))</f>
        <v>Completed</v>
      </c>
      <c r="S737" s="5">
        <f>[1]raw_orders!S737</f>
        <v>1122.92</v>
      </c>
      <c r="T737" s="5">
        <f t="shared" si="88"/>
        <v>11.229200000000001</v>
      </c>
      <c r="U737" s="5">
        <f t="shared" si="89"/>
        <v>-93031.914407999997</v>
      </c>
      <c r="V737" s="5">
        <f t="shared" si="90"/>
        <v>-93032.114407999994</v>
      </c>
      <c r="W737" s="5">
        <f t="shared" si="91"/>
        <v>1.0000021497998968</v>
      </c>
      <c r="X737" s="5">
        <f t="shared" si="92"/>
        <v>8</v>
      </c>
      <c r="Y737" s="5">
        <f t="shared" si="93"/>
        <v>8</v>
      </c>
      <c r="Z737" s="5">
        <f t="shared" si="94"/>
        <v>2024</v>
      </c>
      <c r="AA737" t="str">
        <f t="shared" si="95"/>
        <v>Clean</v>
      </c>
    </row>
    <row r="738" spans="1:27" x14ac:dyDescent="0.3">
      <c r="A738" t="str">
        <f>[1]raw_orders!A738</f>
        <v>ORD-2024-10737</v>
      </c>
      <c r="B738" s="4">
        <f>IFERROR(DATEVALUE([1]raw_orders!B738), "Invalid Date")</f>
        <v>45632</v>
      </c>
      <c r="C738" s="4">
        <f>IFERROR(DATEVALUE([1]raw_orders!C738), "Invalid Date")</f>
        <v>45635</v>
      </c>
      <c r="D738" t="str">
        <f>[1]raw_orders!D738</f>
        <v>CUST-9017</v>
      </c>
      <c r="E738" t="str">
        <f>PROPER(TRIM([1]raw_orders!E738))</f>
        <v>Aditi Sen</v>
      </c>
      <c r="F738" t="str">
        <f>PROPER(TRIM([1]raw_orders!F738))</f>
        <v>Consumer</v>
      </c>
      <c r="G738" t="str">
        <f>IF(TRIM([1]raw_orders!G738)="","Unknown",PROPER(TRIM([1]raw_orders!G738)))</f>
        <v>West</v>
      </c>
      <c r="H738" t="str">
        <f>PROPER(TRIM([1]raw_orders!H738))</f>
        <v>Maharashtra</v>
      </c>
      <c r="I738" t="str">
        <f>PROPER(TRIM([1]raw_orders!I738))</f>
        <v>Mumbai</v>
      </c>
      <c r="J738" t="str">
        <f>PROPER(TRIM([1]raw_orders!J738))</f>
        <v>Furniture</v>
      </c>
      <c r="K738" t="str">
        <f>PROPER(TRIM([1]raw_orders!K738))</f>
        <v>Chairs</v>
      </c>
      <c r="L738" t="str">
        <f>[1]raw_orders!L738</f>
        <v>Pro Chairs 383</v>
      </c>
      <c r="M738" t="str">
        <f>IF(TRIM([1]raw_orders!M738)="","Unknown",PROPER(TRIM([1]raw_orders!M738)))</f>
        <v>Second Class</v>
      </c>
      <c r="N738" s="5">
        <f>[1]raw_orders!N738</f>
        <v>9</v>
      </c>
      <c r="O738" s="5">
        <f>[1]raw_orders!O738</f>
        <v>290.75</v>
      </c>
      <c r="P738" s="5">
        <f>[1]raw_orders!P738</f>
        <v>0.1</v>
      </c>
      <c r="Q738" t="str">
        <f>PROPER(TRIM([1]raw_orders!T738))</f>
        <v>Paid</v>
      </c>
      <c r="R738" t="str">
        <f>PROPER(TRIM([1]raw_orders!U738))</f>
        <v>Completed</v>
      </c>
      <c r="S738" s="5">
        <f>[1]raw_orders!S738</f>
        <v>1005.05</v>
      </c>
      <c r="T738" s="5">
        <f t="shared" si="88"/>
        <v>10.0505</v>
      </c>
      <c r="U738" s="5">
        <f t="shared" si="89"/>
        <v>-23682.895874999998</v>
      </c>
      <c r="V738" s="5">
        <f t="shared" si="90"/>
        <v>-23682.995874999997</v>
      </c>
      <c r="W738" s="5">
        <f t="shared" si="91"/>
        <v>1.0000042224566001</v>
      </c>
      <c r="X738" s="5">
        <f t="shared" si="92"/>
        <v>3</v>
      </c>
      <c r="Y738" s="5">
        <f t="shared" si="93"/>
        <v>12</v>
      </c>
      <c r="Z738" s="5">
        <f t="shared" si="94"/>
        <v>2024</v>
      </c>
      <c r="AA738" t="str">
        <f t="shared" si="95"/>
        <v>Clean</v>
      </c>
    </row>
    <row r="739" spans="1:27" x14ac:dyDescent="0.3">
      <c r="A739" t="str">
        <f>[1]raw_orders!A739</f>
        <v>ORD-2024-10738</v>
      </c>
      <c r="B739" s="4">
        <f>IFERROR(DATEVALUE([1]raw_orders!B739), "Invalid Date")</f>
        <v>45332</v>
      </c>
      <c r="C739" s="4">
        <f>IFERROR(DATEVALUE([1]raw_orders!C739), "Invalid Date")</f>
        <v>45332</v>
      </c>
      <c r="D739" t="str">
        <f>[1]raw_orders!D739</f>
        <v>CUST-7967</v>
      </c>
      <c r="E739" t="str">
        <f>PROPER(TRIM([1]raw_orders!E739))</f>
        <v>Isha Nair</v>
      </c>
      <c r="F739" t="str">
        <f>PROPER(TRIM([1]raw_orders!F739))</f>
        <v>Home Office</v>
      </c>
      <c r="G739" t="str">
        <f>IF(TRIM([1]raw_orders!G739)="","Unknown",PROPER(TRIM([1]raw_orders!G739)))</f>
        <v>West</v>
      </c>
      <c r="H739" t="str">
        <f>PROPER(TRIM([1]raw_orders!H739))</f>
        <v>Maharashtra</v>
      </c>
      <c r="I739" t="str">
        <f>PROPER(TRIM([1]raw_orders!I739))</f>
        <v>Mumbai</v>
      </c>
      <c r="J739" t="str">
        <f>PROPER(TRIM([1]raw_orders!J739))</f>
        <v>Furniture</v>
      </c>
      <c r="K739" t="str">
        <f>PROPER(TRIM([1]raw_orders!K739))</f>
        <v>Chairs</v>
      </c>
      <c r="L739" t="str">
        <f>[1]raw_orders!L739</f>
        <v>Max Chairs 845</v>
      </c>
      <c r="M739" t="str">
        <f>IF(TRIM([1]raw_orders!M739)="","Unknown",PROPER(TRIM([1]raw_orders!M739)))</f>
        <v>Same Day</v>
      </c>
      <c r="N739" s="5">
        <f>[1]raw_orders!N739</f>
        <v>6</v>
      </c>
      <c r="O739" s="5">
        <f>[1]raw_orders!O739</f>
        <v>601.52</v>
      </c>
      <c r="P739" s="5">
        <f>[1]raw_orders!P739</f>
        <v>0</v>
      </c>
      <c r="Q739" t="str">
        <f>PROPER(TRIM([1]raw_orders!T739))</f>
        <v>Paid</v>
      </c>
      <c r="R739" t="str">
        <f>PROPER(TRIM([1]raw_orders!U739))</f>
        <v>Completed</v>
      </c>
      <c r="S739" s="5">
        <f>[1]raw_orders!S739</f>
        <v>963.62</v>
      </c>
      <c r="T739" s="5">
        <f t="shared" si="88"/>
        <v>9.6362000000000005</v>
      </c>
      <c r="U739" s="5">
        <f t="shared" si="89"/>
        <v>-31169.082144</v>
      </c>
      <c r="V739" s="5">
        <f t="shared" si="90"/>
        <v>-31169.082144</v>
      </c>
      <c r="W739" s="5">
        <f t="shared" si="91"/>
        <v>1</v>
      </c>
      <c r="X739" s="5">
        <f t="shared" si="92"/>
        <v>0</v>
      </c>
      <c r="Y739" s="5">
        <f t="shared" si="93"/>
        <v>2</v>
      </c>
      <c r="Z739" s="5">
        <f t="shared" si="94"/>
        <v>2024</v>
      </c>
      <c r="AA739" t="str">
        <f t="shared" si="95"/>
        <v>Clean</v>
      </c>
    </row>
    <row r="740" spans="1:27" x14ac:dyDescent="0.3">
      <c r="A740" t="str">
        <f>[1]raw_orders!A740</f>
        <v>ORD-2025-10739</v>
      </c>
      <c r="B740" s="4">
        <f>IFERROR(DATEVALUE([1]raw_orders!B740), "Invalid Date")</f>
        <v>45708</v>
      </c>
      <c r="C740" s="4" t="str">
        <f>IFERROR(DATEVALUE([1]raw_orders!C740), "Invalid Date")</f>
        <v>Invalid Date</v>
      </c>
      <c r="D740" t="str">
        <f>[1]raw_orders!D740</f>
        <v>CUST-5334</v>
      </c>
      <c r="E740" t="str">
        <f>PROPER(TRIM([1]raw_orders!E740))</f>
        <v>Priya Menon</v>
      </c>
      <c r="F740" t="str">
        <f>PROPER(TRIM([1]raw_orders!F740))</f>
        <v>Corporate</v>
      </c>
      <c r="G740" t="str">
        <f>IF(TRIM([1]raw_orders!G740)="","Unknown",PROPER(TRIM([1]raw_orders!G740)))</f>
        <v>South</v>
      </c>
      <c r="H740" t="str">
        <f>PROPER(TRIM([1]raw_orders!H740))</f>
        <v>Kerala</v>
      </c>
      <c r="I740" t="str">
        <f>PROPER(TRIM([1]raw_orders!I740))</f>
        <v>Kochi</v>
      </c>
      <c r="J740" t="str">
        <f>PROPER(TRIM([1]raw_orders!J740))</f>
        <v>Office Supplies</v>
      </c>
      <c r="K740" t="str">
        <f>PROPER(TRIM([1]raw_orders!K740))</f>
        <v>Paper</v>
      </c>
      <c r="L740" t="str">
        <f>[1]raw_orders!L740</f>
        <v>Prime Paper 307</v>
      </c>
      <c r="M740" t="str">
        <f>IF(TRIM([1]raw_orders!M740)="","Unknown",PROPER(TRIM([1]raw_orders!M740)))</f>
        <v>First Class</v>
      </c>
      <c r="N740" s="5">
        <f>[1]raw_orders!N740</f>
        <v>1</v>
      </c>
      <c r="O740" s="5">
        <f>[1]raw_orders!O740</f>
        <v>2188.19</v>
      </c>
      <c r="P740" s="5">
        <f>[1]raw_orders!P740</f>
        <v>0</v>
      </c>
      <c r="Q740" t="str">
        <f>PROPER(TRIM([1]raw_orders!T740))</f>
        <v>Paid</v>
      </c>
      <c r="R740" t="str">
        <f>PROPER(TRIM([1]raw_orders!U740))</f>
        <v>Completed</v>
      </c>
      <c r="S740" s="5">
        <f>[1]raw_orders!S740</f>
        <v>889.35</v>
      </c>
      <c r="T740" s="5">
        <f t="shared" si="88"/>
        <v>8.8934999999999995</v>
      </c>
      <c r="U740" s="5">
        <f t="shared" si="89"/>
        <v>-17272.477765</v>
      </c>
      <c r="V740" s="5">
        <f t="shared" si="90"/>
        <v>-17272.477765</v>
      </c>
      <c r="W740" s="5">
        <f t="shared" si="91"/>
        <v>1</v>
      </c>
      <c r="X740" s="5" t="str">
        <f t="shared" si="92"/>
        <v>Invalid Date</v>
      </c>
      <c r="Y740" s="5">
        <f t="shared" si="93"/>
        <v>2</v>
      </c>
      <c r="Z740" s="5">
        <f t="shared" si="94"/>
        <v>2025</v>
      </c>
      <c r="AA740" t="str">
        <f t="shared" si="95"/>
        <v>Clean</v>
      </c>
    </row>
    <row r="741" spans="1:27" x14ac:dyDescent="0.3">
      <c r="A741" t="str">
        <f>[1]raw_orders!A741</f>
        <v>ORD-2024-10740</v>
      </c>
      <c r="B741" s="4">
        <f>IFERROR(DATEVALUE([1]raw_orders!B741), "Invalid Date")</f>
        <v>45629</v>
      </c>
      <c r="C741" s="4">
        <f>IFERROR(DATEVALUE([1]raw_orders!C741), "Invalid Date")</f>
        <v>45577</v>
      </c>
      <c r="D741" t="str">
        <f>[1]raw_orders!D741</f>
        <v>CUST-5846</v>
      </c>
      <c r="E741" t="str">
        <f>PROPER(TRIM([1]raw_orders!E741))</f>
        <v>Neha Gupta</v>
      </c>
      <c r="F741" t="str">
        <f>PROPER(TRIM([1]raw_orders!F741))</f>
        <v>Corporate</v>
      </c>
      <c r="G741" t="str">
        <f>IF(TRIM([1]raw_orders!G741)="","Unknown",PROPER(TRIM([1]raw_orders!G741)))</f>
        <v>North</v>
      </c>
      <c r="H741" t="str">
        <f>PROPER(TRIM([1]raw_orders!H741))</f>
        <v>Rajasthan</v>
      </c>
      <c r="I741" t="str">
        <f>PROPER(TRIM([1]raw_orders!I741))</f>
        <v>Jaipur</v>
      </c>
      <c r="J741" t="str">
        <f>PROPER(TRIM([1]raw_orders!J741))</f>
        <v>Technology</v>
      </c>
      <c r="K741" t="str">
        <f>PROPER(TRIM([1]raw_orders!K741))</f>
        <v>Phones</v>
      </c>
      <c r="L741" t="str">
        <f>[1]raw_orders!L741</f>
        <v>Basic Phones 859</v>
      </c>
      <c r="M741" t="str">
        <f>IF(TRIM([1]raw_orders!M741)="","Unknown",PROPER(TRIM([1]raw_orders!M741)))</f>
        <v>Standard Class</v>
      </c>
      <c r="N741" s="5">
        <f>[1]raw_orders!N741</f>
        <v>5</v>
      </c>
      <c r="O741" s="5">
        <f>[1]raw_orders!O741</f>
        <v>2393.86</v>
      </c>
      <c r="P741" s="5">
        <f>[1]raw_orders!P741</f>
        <v>0.05</v>
      </c>
      <c r="Q741" t="str">
        <f>PROPER(TRIM([1]raw_orders!T741))</f>
        <v>Paid</v>
      </c>
      <c r="R741" t="str">
        <f>PROPER(TRIM([1]raw_orders!U741))</f>
        <v>Completed</v>
      </c>
      <c r="S741" s="5">
        <f>[1]raw_orders!S741</f>
        <v>3901.26</v>
      </c>
      <c r="T741" s="5">
        <f t="shared" si="88"/>
        <v>39.012599999999999</v>
      </c>
      <c r="U741" s="5">
        <f t="shared" si="89"/>
        <v>-454984.21318000002</v>
      </c>
      <c r="V741" s="5">
        <f t="shared" si="90"/>
        <v>-454984.26318000001</v>
      </c>
      <c r="W741" s="5">
        <f t="shared" si="91"/>
        <v>1.0000001098939229</v>
      </c>
      <c r="X741" s="5">
        <f t="shared" si="92"/>
        <v>-52</v>
      </c>
      <c r="Y741" s="5">
        <f t="shared" si="93"/>
        <v>12</v>
      </c>
      <c r="Z741" s="5">
        <f t="shared" si="94"/>
        <v>2024</v>
      </c>
      <c r="AA741" t="str">
        <f t="shared" si="95"/>
        <v>Invalid</v>
      </c>
    </row>
    <row r="742" spans="1:27" x14ac:dyDescent="0.3">
      <c r="A742" t="str">
        <f>[1]raw_orders!A742</f>
        <v>ORD-2024-10741</v>
      </c>
      <c r="B742" s="4">
        <f>IFERROR(DATEVALUE([1]raw_orders!B742), "Invalid Date")</f>
        <v>45384</v>
      </c>
      <c r="C742" s="4">
        <f>IFERROR(DATEVALUE([1]raw_orders!C742), "Invalid Date")</f>
        <v>45326</v>
      </c>
      <c r="D742" t="str">
        <f>[1]raw_orders!D742</f>
        <v>CUST-7932</v>
      </c>
      <c r="E742" t="str">
        <f>PROPER(TRIM([1]raw_orders!E742))</f>
        <v>Sneha Kapoor</v>
      </c>
      <c r="F742" t="str">
        <f>PROPER(TRIM([1]raw_orders!F742))</f>
        <v>Small Business</v>
      </c>
      <c r="G742" t="str">
        <f>IF(TRIM([1]raw_orders!G742)="","Unknown",PROPER(TRIM([1]raw_orders!G742)))</f>
        <v>West</v>
      </c>
      <c r="H742" t="str">
        <f>PROPER(TRIM([1]raw_orders!H742))</f>
        <v>Maharashtra</v>
      </c>
      <c r="I742" t="str">
        <f>PROPER(TRIM([1]raw_orders!I742))</f>
        <v>Mumbai</v>
      </c>
      <c r="J742" t="str">
        <f>PROPER(TRIM([1]raw_orders!J742))</f>
        <v>Furniture</v>
      </c>
      <c r="K742" t="str">
        <f>PROPER(TRIM([1]raw_orders!K742))</f>
        <v>Chairs</v>
      </c>
      <c r="L742" t="str">
        <f>[1]raw_orders!L742</f>
        <v>Eco Chairs 883</v>
      </c>
      <c r="M742" t="str">
        <f>IF(TRIM([1]raw_orders!M742)="","Unknown",PROPER(TRIM([1]raw_orders!M742)))</f>
        <v>First Class</v>
      </c>
      <c r="N742" s="5">
        <f>[1]raw_orders!N742</f>
        <v>4</v>
      </c>
      <c r="O742" s="5">
        <f>[1]raw_orders!O742</f>
        <v>2583</v>
      </c>
      <c r="P742" s="5">
        <f>[1]raw_orders!P742</f>
        <v>0.1</v>
      </c>
      <c r="Q742" t="str">
        <f>PROPER(TRIM([1]raw_orders!T742))</f>
        <v>Paid</v>
      </c>
      <c r="R742" t="str">
        <f>PROPER(TRIM([1]raw_orders!U742))</f>
        <v>Completed</v>
      </c>
      <c r="S742" s="5">
        <f>[1]raw_orders!S742</f>
        <v>2750.3</v>
      </c>
      <c r="T742" s="5">
        <f t="shared" si="88"/>
        <v>27.503</v>
      </c>
      <c r="U742" s="5">
        <f t="shared" si="89"/>
        <v>-273828.99599999998</v>
      </c>
      <c r="V742" s="5">
        <f t="shared" si="90"/>
        <v>-273829.09599999996</v>
      </c>
      <c r="W742" s="5">
        <f t="shared" si="91"/>
        <v>1.0000003651914204</v>
      </c>
      <c r="X742" s="5">
        <f t="shared" si="92"/>
        <v>-58</v>
      </c>
      <c r="Y742" s="5">
        <f t="shared" si="93"/>
        <v>4</v>
      </c>
      <c r="Z742" s="5">
        <f t="shared" si="94"/>
        <v>2024</v>
      </c>
      <c r="AA742" t="str">
        <f t="shared" si="95"/>
        <v>Invalid</v>
      </c>
    </row>
    <row r="743" spans="1:27" x14ac:dyDescent="0.3">
      <c r="A743" t="str">
        <f>[1]raw_orders!A743</f>
        <v>ORD-2025-10742</v>
      </c>
      <c r="B743" s="4" t="str">
        <f>IFERROR(DATEVALUE([1]raw_orders!B743), "Invalid Date")</f>
        <v>Invalid Date</v>
      </c>
      <c r="C743" s="4">
        <f>IFERROR(DATEVALUE([1]raw_orders!C743), "Invalid Date")</f>
        <v>45772</v>
      </c>
      <c r="D743" t="str">
        <f>[1]raw_orders!D743</f>
        <v>CUST-3285</v>
      </c>
      <c r="E743" t="str">
        <f>PROPER(TRIM([1]raw_orders!E743))</f>
        <v>Isha Nair</v>
      </c>
      <c r="F743" t="str">
        <f>PROPER(TRIM([1]raw_orders!F743))</f>
        <v>Home Office</v>
      </c>
      <c r="G743" t="str">
        <f>IF(TRIM([1]raw_orders!G743)="","Unknown",PROPER(TRIM([1]raw_orders!G743)))</f>
        <v>South</v>
      </c>
      <c r="H743" t="str">
        <f>PROPER(TRIM([1]raw_orders!H743))</f>
        <v>Tamil Nadu</v>
      </c>
      <c r="I743" t="str">
        <f>PROPER(TRIM([1]raw_orders!I743))</f>
        <v>Chennai</v>
      </c>
      <c r="J743" t="str">
        <f>PROPER(TRIM([1]raw_orders!J743))</f>
        <v>Furniture</v>
      </c>
      <c r="K743" t="str">
        <f>PROPER(TRIM([1]raw_orders!K743))</f>
        <v>Chairs</v>
      </c>
      <c r="L743" t="str">
        <f>[1]raw_orders!L743</f>
        <v>Max Chairs 706</v>
      </c>
      <c r="M743" t="str">
        <f>IF(TRIM([1]raw_orders!M743)="","Unknown",PROPER(TRIM([1]raw_orders!M743)))</f>
        <v>Second Class</v>
      </c>
      <c r="N743" s="5">
        <f>[1]raw_orders!N743</f>
        <v>3</v>
      </c>
      <c r="O743" s="5">
        <f>[1]raw_orders!O743</f>
        <v>2951.12</v>
      </c>
      <c r="P743" s="5">
        <f>[1]raw_orders!P743</f>
        <v>0</v>
      </c>
      <c r="Q743" t="str">
        <f>PROPER(TRIM([1]raw_orders!T743))</f>
        <v>Paid</v>
      </c>
      <c r="R743" t="str">
        <f>PROPER(TRIM([1]raw_orders!U743))</f>
        <v>Cancelled</v>
      </c>
      <c r="S743" s="5">
        <f>[1]raw_orders!S743</f>
        <v>1486.35</v>
      </c>
      <c r="T743" s="5">
        <f t="shared" si="88"/>
        <v>14.863499999999998</v>
      </c>
      <c r="U743" s="5">
        <f t="shared" si="89"/>
        <v>-122738.55635999999</v>
      </c>
      <c r="V743" s="5">
        <f t="shared" si="90"/>
        <v>-122738.55635999999</v>
      </c>
      <c r="W743" s="5">
        <f t="shared" si="91"/>
        <v>1</v>
      </c>
      <c r="X743" s="5" t="str">
        <f t="shared" si="92"/>
        <v>Invalid Date</v>
      </c>
      <c r="Y743" s="5" t="e">
        <f t="shared" si="93"/>
        <v>#VALUE!</v>
      </c>
      <c r="Z743" s="5" t="e">
        <f t="shared" si="94"/>
        <v>#VALUE!</v>
      </c>
      <c r="AA743" t="str">
        <f t="shared" si="95"/>
        <v>Clean</v>
      </c>
    </row>
    <row r="744" spans="1:27" x14ac:dyDescent="0.3">
      <c r="A744" t="str">
        <f>[1]raw_orders!A744</f>
        <v>ORD-2024-10743</v>
      </c>
      <c r="B744" s="4" t="str">
        <f>IFERROR(DATEVALUE([1]raw_orders!B744), "Invalid Date")</f>
        <v>Invalid Date</v>
      </c>
      <c r="C744" s="4">
        <f>IFERROR(DATEVALUE([1]raw_orders!C744), "Invalid Date")</f>
        <v>45587</v>
      </c>
      <c r="D744" t="str">
        <f>[1]raw_orders!D744</f>
        <v>CUST-6368</v>
      </c>
      <c r="E744" t="str">
        <f>PROPER(TRIM([1]raw_orders!E744))</f>
        <v>Karan Malhotra</v>
      </c>
      <c r="F744" t="str">
        <f>PROPER(TRIM([1]raw_orders!F744))</f>
        <v>Corporate</v>
      </c>
      <c r="G744" t="str">
        <f>IF(TRIM([1]raw_orders!G744)="","Unknown",PROPER(TRIM([1]raw_orders!G744)))</f>
        <v>East</v>
      </c>
      <c r="H744" t="str">
        <f>PROPER(TRIM([1]raw_orders!H744))</f>
        <v>Odisha</v>
      </c>
      <c r="I744" t="str">
        <f>PROPER(TRIM([1]raw_orders!I744))</f>
        <v>Bhubaneswar</v>
      </c>
      <c r="J744" t="str">
        <f>PROPER(TRIM([1]raw_orders!J744))</f>
        <v>Office Supplies</v>
      </c>
      <c r="K744" t="str">
        <f>PROPER(TRIM([1]raw_orders!K744))</f>
        <v>Paper</v>
      </c>
      <c r="L744" t="str">
        <f>[1]raw_orders!L744</f>
        <v>Prime Paper 768</v>
      </c>
      <c r="M744" t="str">
        <f>IF(TRIM([1]raw_orders!M744)="","Unknown",PROPER(TRIM([1]raw_orders!M744)))</f>
        <v>Standard Class</v>
      </c>
      <c r="N744" s="5">
        <f>[1]raw_orders!N744</f>
        <v>4</v>
      </c>
      <c r="O744" s="5">
        <f>[1]raw_orders!O744</f>
        <v>2260.9499999999998</v>
      </c>
      <c r="P744" s="5">
        <f>[1]raw_orders!P744</f>
        <v>0</v>
      </c>
      <c r="Q744" t="str">
        <f>PROPER(TRIM([1]raw_orders!T744))</f>
        <v>Paid</v>
      </c>
      <c r="R744" t="str">
        <f>PROPER(TRIM([1]raw_orders!U744))</f>
        <v>Completed</v>
      </c>
      <c r="S744" s="5">
        <f>[1]raw_orders!S744</f>
        <v>3130.42</v>
      </c>
      <c r="T744" s="5">
        <f t="shared" si="88"/>
        <v>31.304200000000002</v>
      </c>
      <c r="U744" s="5">
        <f t="shared" si="89"/>
        <v>-274065.12396</v>
      </c>
      <c r="V744" s="5">
        <f t="shared" si="90"/>
        <v>-274065.12396</v>
      </c>
      <c r="W744" s="5">
        <f t="shared" si="91"/>
        <v>1</v>
      </c>
      <c r="X744" s="5" t="str">
        <f t="shared" si="92"/>
        <v>Invalid Date</v>
      </c>
      <c r="Y744" s="5" t="e">
        <f t="shared" si="93"/>
        <v>#VALUE!</v>
      </c>
      <c r="Z744" s="5" t="e">
        <f t="shared" si="94"/>
        <v>#VALUE!</v>
      </c>
      <c r="AA744" t="str">
        <f t="shared" si="95"/>
        <v>Clean</v>
      </c>
    </row>
    <row r="745" spans="1:27" x14ac:dyDescent="0.3">
      <c r="A745" t="str">
        <f>[1]raw_orders!A745</f>
        <v>ORD-2025-10744</v>
      </c>
      <c r="B745" s="4">
        <f>IFERROR(DATEVALUE([1]raw_orders!B745), "Invalid Date")</f>
        <v>45993</v>
      </c>
      <c r="C745" s="4">
        <f>IFERROR(DATEVALUE([1]raw_orders!C745), "Invalid Date")</f>
        <v>45702</v>
      </c>
      <c r="D745" t="str">
        <f>[1]raw_orders!D745</f>
        <v>CUST-6231</v>
      </c>
      <c r="E745" t="str">
        <f>PROPER(TRIM([1]raw_orders!E745))</f>
        <v>Sneha Kapoor</v>
      </c>
      <c r="F745" t="str">
        <f>PROPER(TRIM([1]raw_orders!F745))</f>
        <v>Consumer</v>
      </c>
      <c r="G745" t="str">
        <f>IF(TRIM([1]raw_orders!G745)="","Unknown",PROPER(TRIM([1]raw_orders!G745)))</f>
        <v>North</v>
      </c>
      <c r="H745" t="str">
        <f>PROPER(TRIM([1]raw_orders!H745))</f>
        <v>Uttar Pradesh</v>
      </c>
      <c r="I745" t="str">
        <f>PROPER(TRIM([1]raw_orders!I745))</f>
        <v>Noida</v>
      </c>
      <c r="J745" t="str">
        <f>PROPER(TRIM([1]raw_orders!J745))</f>
        <v>Office Supplies</v>
      </c>
      <c r="K745" t="str">
        <f>PROPER(TRIM([1]raw_orders!K745))</f>
        <v>Art</v>
      </c>
      <c r="L745" t="str">
        <f>[1]raw_orders!L745</f>
        <v>Basic Art 764</v>
      </c>
      <c r="M745" t="str">
        <f>IF(TRIM([1]raw_orders!M745)="","Unknown",PROPER(TRIM([1]raw_orders!M745)))</f>
        <v>Standard Class</v>
      </c>
      <c r="N745" s="5">
        <f>[1]raw_orders!N745</f>
        <v>6</v>
      </c>
      <c r="O745" s="5">
        <f>[1]raw_orders!O745</f>
        <v>491.4</v>
      </c>
      <c r="P745" s="5">
        <f>[1]raw_orders!P745</f>
        <v>0.25</v>
      </c>
      <c r="Q745" t="str">
        <f>PROPER(TRIM([1]raw_orders!T745))</f>
        <v>Paid</v>
      </c>
      <c r="R745" t="str">
        <f>PROPER(TRIM([1]raw_orders!U745))</f>
        <v>Completed</v>
      </c>
      <c r="S745" s="5">
        <f>[1]raw_orders!S745</f>
        <v>475.66</v>
      </c>
      <c r="T745" s="5">
        <f t="shared" si="88"/>
        <v>4.7566000000000006</v>
      </c>
      <c r="U745" s="5">
        <f t="shared" si="89"/>
        <v>-11075.959440000001</v>
      </c>
      <c r="V745" s="5">
        <f t="shared" si="90"/>
        <v>-11076.209440000001</v>
      </c>
      <c r="W745" s="5">
        <f t="shared" si="91"/>
        <v>1.0000225714080442</v>
      </c>
      <c r="X745" s="5">
        <f t="shared" si="92"/>
        <v>-291</v>
      </c>
      <c r="Y745" s="5">
        <f t="shared" si="93"/>
        <v>12</v>
      </c>
      <c r="Z745" s="5">
        <f t="shared" si="94"/>
        <v>2025</v>
      </c>
      <c r="AA745" t="str">
        <f t="shared" si="95"/>
        <v>Invalid</v>
      </c>
    </row>
    <row r="746" spans="1:27" x14ac:dyDescent="0.3">
      <c r="A746" t="str">
        <f>[1]raw_orders!A746</f>
        <v>ORD-2025-10745</v>
      </c>
      <c r="B746" s="4">
        <f>IFERROR(DATEVALUE([1]raw_orders!B746), "Invalid Date")</f>
        <v>45886</v>
      </c>
      <c r="C746" s="4">
        <f>IFERROR(DATEVALUE([1]raw_orders!C746), "Invalid Date")</f>
        <v>45889</v>
      </c>
      <c r="D746" t="str">
        <f>[1]raw_orders!D746</f>
        <v>CUST-2021</v>
      </c>
      <c r="E746" t="str">
        <f>PROPER(TRIM([1]raw_orders!E746))</f>
        <v>Mira Das</v>
      </c>
      <c r="F746" t="str">
        <f>PROPER(TRIM([1]raw_orders!F746))</f>
        <v>Home Office</v>
      </c>
      <c r="G746" t="str">
        <f>IF(TRIM([1]raw_orders!G746)="","Unknown",PROPER(TRIM([1]raw_orders!G746)))</f>
        <v>North</v>
      </c>
      <c r="H746" t="str">
        <f>PROPER(TRIM([1]raw_orders!H746))</f>
        <v>Punjab</v>
      </c>
      <c r="I746" t="str">
        <f>PROPER(TRIM([1]raw_orders!I746))</f>
        <v>Ludhiana</v>
      </c>
      <c r="J746" t="str">
        <f>PROPER(TRIM([1]raw_orders!J746))</f>
        <v>Office Supplies</v>
      </c>
      <c r="K746" t="str">
        <f>PROPER(TRIM([1]raw_orders!K746))</f>
        <v>Binders</v>
      </c>
      <c r="L746" t="str">
        <f>[1]raw_orders!L746</f>
        <v>Prime Binders 181</v>
      </c>
      <c r="M746" t="str">
        <f>IF(TRIM([1]raw_orders!M746)="","Unknown",PROPER(TRIM([1]raw_orders!M746)))</f>
        <v>First Class</v>
      </c>
      <c r="N746" s="5">
        <f>[1]raw_orders!N746</f>
        <v>5</v>
      </c>
      <c r="O746" s="5">
        <f>[1]raw_orders!O746</f>
        <v>2701.89</v>
      </c>
      <c r="P746" s="5">
        <f>[1]raw_orders!P746</f>
        <v>0.1</v>
      </c>
      <c r="Q746" t="str">
        <f>PROPER(TRIM([1]raw_orders!T746))</f>
        <v>Paid</v>
      </c>
      <c r="R746" t="str">
        <f>PROPER(TRIM([1]raw_orders!U746))</f>
        <v>Cancelled</v>
      </c>
      <c r="S746" s="5">
        <f>[1]raw_orders!S746</f>
        <v>1898.43</v>
      </c>
      <c r="T746" s="5">
        <f t="shared" si="88"/>
        <v>18.984300000000001</v>
      </c>
      <c r="U746" s="5">
        <f t="shared" si="89"/>
        <v>-242958.00163499999</v>
      </c>
      <c r="V746" s="5">
        <f t="shared" si="90"/>
        <v>-242958.101635</v>
      </c>
      <c r="W746" s="5">
        <f t="shared" si="91"/>
        <v>1.0000004115937706</v>
      </c>
      <c r="X746" s="5">
        <f t="shared" si="92"/>
        <v>3</v>
      </c>
      <c r="Y746" s="5">
        <f t="shared" si="93"/>
        <v>8</v>
      </c>
      <c r="Z746" s="5">
        <f t="shared" si="94"/>
        <v>2025</v>
      </c>
      <c r="AA746" t="str">
        <f t="shared" si="95"/>
        <v>Clean</v>
      </c>
    </row>
    <row r="747" spans="1:27" x14ac:dyDescent="0.3">
      <c r="A747" t="str">
        <f>[1]raw_orders!A747</f>
        <v>ORD-2024-10746</v>
      </c>
      <c r="B747" s="4">
        <f>IFERROR(DATEVALUE([1]raw_orders!B747), "Invalid Date")</f>
        <v>45589</v>
      </c>
      <c r="C747" s="4">
        <f>IFERROR(DATEVALUE([1]raw_orders!C747), "Invalid Date")</f>
        <v>45593</v>
      </c>
      <c r="D747" t="str">
        <f>[1]raw_orders!D747</f>
        <v>CUST-1493</v>
      </c>
      <c r="E747" t="str">
        <f>PROPER(TRIM([1]raw_orders!E747))</f>
        <v>Mira Das</v>
      </c>
      <c r="F747" t="str">
        <f>PROPER(TRIM([1]raw_orders!F747))</f>
        <v>Small Business</v>
      </c>
      <c r="G747" t="str">
        <f>IF(TRIM([1]raw_orders!G747)="","Unknown",PROPER(TRIM([1]raw_orders!G747)))</f>
        <v>East</v>
      </c>
      <c r="H747" t="str">
        <f>PROPER(TRIM([1]raw_orders!H747))</f>
        <v>Assam</v>
      </c>
      <c r="I747" t="str">
        <f>PROPER(TRIM([1]raw_orders!I747))</f>
        <v>Guwahati</v>
      </c>
      <c r="J747" t="str">
        <f>PROPER(TRIM([1]raw_orders!J747))</f>
        <v>Technology</v>
      </c>
      <c r="K747" t="str">
        <f>PROPER(TRIM([1]raw_orders!K747))</f>
        <v>Copiers</v>
      </c>
      <c r="L747" t="str">
        <f>[1]raw_orders!L747</f>
        <v>Max Copiers 866</v>
      </c>
      <c r="M747" t="str">
        <f>IF(TRIM([1]raw_orders!M747)="","Unknown",PROPER(TRIM([1]raw_orders!M747)))</f>
        <v>Standard Class</v>
      </c>
      <c r="N747" s="5">
        <f>[1]raw_orders!N747</f>
        <v>3</v>
      </c>
      <c r="O747" s="5">
        <f>[1]raw_orders!O747</f>
        <v>723.59</v>
      </c>
      <c r="P747" s="5">
        <f>[1]raw_orders!P747</f>
        <v>0.2</v>
      </c>
      <c r="Q747" t="str">
        <f>PROPER(TRIM([1]raw_orders!T747))</f>
        <v>Paid</v>
      </c>
      <c r="R747" t="str">
        <f>PROPER(TRIM([1]raw_orders!U747))</f>
        <v>Completed</v>
      </c>
      <c r="S747" s="5">
        <f>[1]raw_orders!S747</f>
        <v>677.1</v>
      </c>
      <c r="T747" s="5">
        <f t="shared" si="88"/>
        <v>6.7709999999999999</v>
      </c>
      <c r="U747" s="5">
        <f t="shared" si="89"/>
        <v>-12527.51367</v>
      </c>
      <c r="V747" s="5">
        <f t="shared" si="90"/>
        <v>-12527.713670000001</v>
      </c>
      <c r="W747" s="5">
        <f t="shared" si="91"/>
        <v>1.0000159648598492</v>
      </c>
      <c r="X747" s="5">
        <f t="shared" si="92"/>
        <v>4</v>
      </c>
      <c r="Y747" s="5">
        <f t="shared" si="93"/>
        <v>10</v>
      </c>
      <c r="Z747" s="5">
        <f t="shared" si="94"/>
        <v>2024</v>
      </c>
      <c r="AA747" t="str">
        <f t="shared" si="95"/>
        <v>Clean</v>
      </c>
    </row>
    <row r="748" spans="1:27" x14ac:dyDescent="0.3">
      <c r="A748" t="str">
        <f>[1]raw_orders!A748</f>
        <v>ORD-2025-10747</v>
      </c>
      <c r="B748" s="4">
        <f>IFERROR(DATEVALUE([1]raw_orders!B748), "Invalid Date")</f>
        <v>45661</v>
      </c>
      <c r="C748" s="4">
        <f>IFERROR(DATEVALUE([1]raw_orders!C748), "Invalid Date")</f>
        <v>45667</v>
      </c>
      <c r="D748" t="str">
        <f>[1]raw_orders!D748</f>
        <v>CUST-2314</v>
      </c>
      <c r="E748" t="str">
        <f>PROPER(TRIM([1]raw_orders!E748))</f>
        <v>Aarav Sharma</v>
      </c>
      <c r="F748" t="str">
        <f>PROPER(TRIM([1]raw_orders!F748))</f>
        <v>Home Office</v>
      </c>
      <c r="G748" t="str">
        <f>IF(TRIM([1]raw_orders!G748)="","Unknown",PROPER(TRIM([1]raw_orders!G748)))</f>
        <v>East</v>
      </c>
      <c r="H748" t="str">
        <f>PROPER(TRIM([1]raw_orders!H748))</f>
        <v>West Bengal</v>
      </c>
      <c r="I748" t="str">
        <f>PROPER(TRIM([1]raw_orders!I748))</f>
        <v>Kolkata</v>
      </c>
      <c r="J748" t="str">
        <f>PROPER(TRIM([1]raw_orders!J748))</f>
        <v>Office Supplies</v>
      </c>
      <c r="K748" t="str">
        <f>PROPER(TRIM([1]raw_orders!K748))</f>
        <v>Paper</v>
      </c>
      <c r="L748" t="str">
        <f>[1]raw_orders!L748</f>
        <v>Pro Paper 662</v>
      </c>
      <c r="M748" t="str">
        <f>IF(TRIM([1]raw_orders!M748)="","Unknown",PROPER(TRIM([1]raw_orders!M748)))</f>
        <v>Standard Class</v>
      </c>
      <c r="N748" s="5">
        <f>[1]raw_orders!N748</f>
        <v>4</v>
      </c>
      <c r="O748" s="5">
        <f>[1]raw_orders!O748</f>
        <v>2583.19</v>
      </c>
      <c r="P748" s="5">
        <f>[1]raw_orders!P748</f>
        <v>0.2</v>
      </c>
      <c r="Q748" t="str">
        <f>PROPER(TRIM([1]raw_orders!T748))</f>
        <v>Paid</v>
      </c>
      <c r="R748" t="str">
        <f>PROPER(TRIM([1]raw_orders!U748))</f>
        <v>Completed</v>
      </c>
      <c r="S748" s="5">
        <f>[1]raw_orders!S748</f>
        <v>2029.89</v>
      </c>
      <c r="T748" s="5">
        <f t="shared" si="88"/>
        <v>20.2989</v>
      </c>
      <c r="U748" s="5">
        <f t="shared" si="89"/>
        <v>-199410.90196399999</v>
      </c>
      <c r="V748" s="5">
        <f t="shared" si="90"/>
        <v>-199411.101964</v>
      </c>
      <c r="W748" s="5">
        <f t="shared" si="91"/>
        <v>1.0000010029541917</v>
      </c>
      <c r="X748" s="5">
        <f t="shared" si="92"/>
        <v>6</v>
      </c>
      <c r="Y748" s="5">
        <f t="shared" si="93"/>
        <v>1</v>
      </c>
      <c r="Z748" s="5">
        <f t="shared" si="94"/>
        <v>2025</v>
      </c>
      <c r="AA748" t="str">
        <f t="shared" si="95"/>
        <v>Clean</v>
      </c>
    </row>
    <row r="749" spans="1:27" x14ac:dyDescent="0.3">
      <c r="A749" t="str">
        <f>[1]raw_orders!A749</f>
        <v>ORD-2024-10748</v>
      </c>
      <c r="B749" s="4">
        <f>IFERROR(DATEVALUE([1]raw_orders!B749), "Invalid Date")</f>
        <v>45413</v>
      </c>
      <c r="C749" s="4">
        <f>IFERROR(DATEVALUE([1]raw_orders!C749), "Invalid Date")</f>
        <v>45419</v>
      </c>
      <c r="D749" t="str">
        <f>[1]raw_orders!D749</f>
        <v>CUST-8416</v>
      </c>
      <c r="E749" t="str">
        <f>PROPER(TRIM([1]raw_orders!E749))</f>
        <v>Isha Nair</v>
      </c>
      <c r="F749" t="str">
        <f>PROPER(TRIM([1]raw_orders!F749))</f>
        <v>Home Office</v>
      </c>
      <c r="G749" t="str">
        <f>IF(TRIM([1]raw_orders!G749)="","Unknown",PROPER(TRIM([1]raw_orders!G749)))</f>
        <v>East</v>
      </c>
      <c r="H749" t="str">
        <f>PROPER(TRIM([1]raw_orders!H749))</f>
        <v>Odisha</v>
      </c>
      <c r="I749" t="str">
        <f>PROPER(TRIM([1]raw_orders!I749))</f>
        <v>Bhubaneswar</v>
      </c>
      <c r="J749" t="str">
        <f>PROPER(TRIM([1]raw_orders!J749))</f>
        <v>Office Supplies</v>
      </c>
      <c r="K749" t="str">
        <f>PROPER(TRIM([1]raw_orders!K749))</f>
        <v>Paper</v>
      </c>
      <c r="L749" t="str">
        <f>[1]raw_orders!L749</f>
        <v>Classic Paper 388</v>
      </c>
      <c r="M749" t="str">
        <f>IF(TRIM([1]raw_orders!M749)="","Unknown",PROPER(TRIM([1]raw_orders!M749)))</f>
        <v>Same Day</v>
      </c>
      <c r="N749" s="5">
        <f>[1]raw_orders!N749</f>
        <v>8</v>
      </c>
      <c r="O749" s="5">
        <f>[1]raw_orders!O749</f>
        <v>1473.83</v>
      </c>
      <c r="P749" s="5">
        <f>[1]raw_orders!P749</f>
        <v>0.15</v>
      </c>
      <c r="Q749" t="str">
        <f>PROPER(TRIM([1]raw_orders!T749))</f>
        <v>Paid</v>
      </c>
      <c r="R749" t="str">
        <f>PROPER(TRIM([1]raw_orders!U749))</f>
        <v>Completed</v>
      </c>
      <c r="S749" s="5">
        <f>[1]raw_orders!S749</f>
        <v>4445.0600000000004</v>
      </c>
      <c r="T749" s="5">
        <f t="shared" si="88"/>
        <v>44.450600000000001</v>
      </c>
      <c r="U749" s="5">
        <f t="shared" si="89"/>
        <v>-512310.382384</v>
      </c>
      <c r="V749" s="5">
        <f t="shared" si="90"/>
        <v>-512310.53238400002</v>
      </c>
      <c r="W749" s="5">
        <f t="shared" si="91"/>
        <v>1.0000002927912555</v>
      </c>
      <c r="X749" s="5">
        <f t="shared" si="92"/>
        <v>6</v>
      </c>
      <c r="Y749" s="5">
        <f t="shared" si="93"/>
        <v>5</v>
      </c>
      <c r="Z749" s="5">
        <f t="shared" si="94"/>
        <v>2024</v>
      </c>
      <c r="AA749" t="str">
        <f t="shared" si="95"/>
        <v>Clean</v>
      </c>
    </row>
    <row r="750" spans="1:27" x14ac:dyDescent="0.3">
      <c r="A750" t="str">
        <f>[1]raw_orders!A750</f>
        <v>ORD-2024-10749</v>
      </c>
      <c r="B750" s="4">
        <f>IFERROR(DATEVALUE([1]raw_orders!B750), "Invalid Date")</f>
        <v>45442</v>
      </c>
      <c r="C750" s="4" t="str">
        <f>IFERROR(DATEVALUE([1]raw_orders!C750), "Invalid Date")</f>
        <v>Invalid Date</v>
      </c>
      <c r="D750" t="str">
        <f>[1]raw_orders!D750</f>
        <v>CUST-3103</v>
      </c>
      <c r="E750" t="str">
        <f>PROPER(TRIM([1]raw_orders!E750))</f>
        <v>Diya Patel</v>
      </c>
      <c r="F750" t="str">
        <f>PROPER(TRIM([1]raw_orders!F750))</f>
        <v>Home Office</v>
      </c>
      <c r="G750" t="str">
        <f>IF(TRIM([1]raw_orders!G750)="","Unknown",PROPER(TRIM([1]raw_orders!G750)))</f>
        <v>North</v>
      </c>
      <c r="H750" t="str">
        <f>PROPER(TRIM([1]raw_orders!H750))</f>
        <v>Haryana</v>
      </c>
      <c r="I750" t="str">
        <f>PROPER(TRIM([1]raw_orders!I750))</f>
        <v>Gurugram</v>
      </c>
      <c r="J750" t="str">
        <f>PROPER(TRIM([1]raw_orders!J750))</f>
        <v>Technology</v>
      </c>
      <c r="K750" t="str">
        <f>PROPER(TRIM([1]raw_orders!K750))</f>
        <v>Phones</v>
      </c>
      <c r="L750" t="str">
        <f>[1]raw_orders!L750</f>
        <v>Pro Phones 765</v>
      </c>
      <c r="M750" t="str">
        <f>IF(TRIM([1]raw_orders!M750)="","Unknown",PROPER(TRIM([1]raw_orders!M750)))</f>
        <v>Second Class</v>
      </c>
      <c r="N750" s="5">
        <f>[1]raw_orders!N750</f>
        <v>1</v>
      </c>
      <c r="O750" s="5">
        <f>[1]raw_orders!O750</f>
        <v>3848.04</v>
      </c>
      <c r="P750" s="5">
        <f>[1]raw_orders!P750</f>
        <v>0.25</v>
      </c>
      <c r="Q750" t="str">
        <f>PROPER(TRIM([1]raw_orders!T750))</f>
        <v>Paid</v>
      </c>
      <c r="R750" t="str">
        <f>PROPER(TRIM([1]raw_orders!U750))</f>
        <v>Completed</v>
      </c>
      <c r="S750" s="5">
        <f>[1]raw_orders!S750</f>
        <v>821.2</v>
      </c>
      <c r="T750" s="5">
        <f t="shared" si="88"/>
        <v>8.2119999999999997</v>
      </c>
      <c r="U750" s="5">
        <f t="shared" si="89"/>
        <v>-27752.064479999997</v>
      </c>
      <c r="V750" s="5">
        <f t="shared" si="90"/>
        <v>-27752.314479999997</v>
      </c>
      <c r="W750" s="5">
        <f t="shared" si="91"/>
        <v>1.0000090083388276</v>
      </c>
      <c r="X750" s="5" t="str">
        <f t="shared" si="92"/>
        <v>Invalid Date</v>
      </c>
      <c r="Y750" s="5">
        <f t="shared" si="93"/>
        <v>5</v>
      </c>
      <c r="Z750" s="5">
        <f t="shared" si="94"/>
        <v>2024</v>
      </c>
      <c r="AA750" t="str">
        <f t="shared" si="95"/>
        <v>Clean</v>
      </c>
    </row>
    <row r="751" spans="1:27" x14ac:dyDescent="0.3">
      <c r="A751" t="str">
        <f>[1]raw_orders!A751</f>
        <v>ORD-2024-10750</v>
      </c>
      <c r="B751" s="4">
        <f>IFERROR(DATEVALUE([1]raw_orders!B751), "Invalid Date")</f>
        <v>45372</v>
      </c>
      <c r="C751" s="4">
        <f>IFERROR(DATEVALUE([1]raw_orders!C751), "Invalid Date")</f>
        <v>45376</v>
      </c>
      <c r="D751" t="str">
        <f>[1]raw_orders!D751</f>
        <v>CUST-4457</v>
      </c>
      <c r="E751" t="str">
        <f>PROPER(TRIM([1]raw_orders!E751))</f>
        <v>Aditi Sen</v>
      </c>
      <c r="F751" t="str">
        <f>PROPER(TRIM([1]raw_orders!F751))</f>
        <v>Home Office</v>
      </c>
      <c r="G751" t="str">
        <f>IF(TRIM([1]raw_orders!G751)="","Unknown",PROPER(TRIM([1]raw_orders!G751)))</f>
        <v>East</v>
      </c>
      <c r="H751" t="str">
        <f>PROPER(TRIM([1]raw_orders!H751))</f>
        <v>Assam</v>
      </c>
      <c r="I751" t="str">
        <f>PROPER(TRIM([1]raw_orders!I751))</f>
        <v>Guwahati</v>
      </c>
      <c r="J751" t="str">
        <f>PROPER(TRIM([1]raw_orders!J751))</f>
        <v>Technology</v>
      </c>
      <c r="K751" t="str">
        <f>PROPER(TRIM([1]raw_orders!K751))</f>
        <v>Machines</v>
      </c>
      <c r="L751" t="str">
        <f>[1]raw_orders!L751</f>
        <v>Classic Machines 543</v>
      </c>
      <c r="M751" t="str">
        <f>IF(TRIM([1]raw_orders!M751)="","Unknown",PROPER(TRIM([1]raw_orders!M751)))</f>
        <v>Standard Class</v>
      </c>
      <c r="N751" s="5">
        <f>[1]raw_orders!N751</f>
        <v>1</v>
      </c>
      <c r="O751" s="5">
        <f>[1]raw_orders!O751</f>
        <v>1716.7</v>
      </c>
      <c r="P751" s="5">
        <f>[1]raw_orders!P751</f>
        <v>0.15</v>
      </c>
      <c r="Q751" t="str">
        <f>PROPER(TRIM([1]raw_orders!T751))</f>
        <v>Paid</v>
      </c>
      <c r="R751" t="str">
        <f>PROPER(TRIM([1]raw_orders!U751))</f>
        <v>Completed</v>
      </c>
      <c r="S751" s="5">
        <f>[1]raw_orders!S751</f>
        <v>403.4</v>
      </c>
      <c r="T751" s="5">
        <f t="shared" si="88"/>
        <v>4.0339999999999998</v>
      </c>
      <c r="U751" s="5">
        <f t="shared" si="89"/>
        <v>-5208.4677999999994</v>
      </c>
      <c r="V751" s="5">
        <f t="shared" si="90"/>
        <v>-5208.6177999999991</v>
      </c>
      <c r="W751" s="5">
        <f t="shared" si="91"/>
        <v>1.0000287992564723</v>
      </c>
      <c r="X751" s="5">
        <f t="shared" si="92"/>
        <v>4</v>
      </c>
      <c r="Y751" s="5">
        <f t="shared" si="93"/>
        <v>3</v>
      </c>
      <c r="Z751" s="5">
        <f t="shared" si="94"/>
        <v>2024</v>
      </c>
      <c r="AA751" t="str">
        <f t="shared" si="95"/>
        <v>Clean</v>
      </c>
    </row>
    <row r="752" spans="1:27" x14ac:dyDescent="0.3">
      <c r="A752" t="str">
        <f>[1]raw_orders!A752</f>
        <v>ORD-2025-10751</v>
      </c>
      <c r="B752" s="4">
        <f>IFERROR(DATEVALUE([1]raw_orders!B752), "Invalid Date")</f>
        <v>45694</v>
      </c>
      <c r="C752" s="4">
        <f>IFERROR(DATEVALUE([1]raw_orders!C752), "Invalid Date")</f>
        <v>45810</v>
      </c>
      <c r="D752" t="str">
        <f>[1]raw_orders!D752</f>
        <v>CUST-7036</v>
      </c>
      <c r="E752" t="str">
        <f>PROPER(TRIM([1]raw_orders!E752))</f>
        <v>Aarav Sharma</v>
      </c>
      <c r="F752" t="str">
        <f>PROPER(TRIM([1]raw_orders!F752))</f>
        <v>Home Office</v>
      </c>
      <c r="G752" t="str">
        <f>IF(TRIM([1]raw_orders!G752)="","Unknown",PROPER(TRIM([1]raw_orders!G752)))</f>
        <v>South</v>
      </c>
      <c r="H752" t="str">
        <f>PROPER(TRIM([1]raw_orders!H752))</f>
        <v>Telangana</v>
      </c>
      <c r="I752" t="str">
        <f>PROPER(TRIM([1]raw_orders!I752))</f>
        <v>Hyderabad</v>
      </c>
      <c r="J752" t="str">
        <f>PROPER(TRIM([1]raw_orders!J752))</f>
        <v>Technology</v>
      </c>
      <c r="K752" t="str">
        <f>PROPER(TRIM([1]raw_orders!K752))</f>
        <v>Accessories</v>
      </c>
      <c r="L752" t="str">
        <f>[1]raw_orders!L752</f>
        <v>Max Accessories 291</v>
      </c>
      <c r="M752" t="str">
        <f>IF(TRIM([1]raw_orders!M752)="","Unknown",PROPER(TRIM([1]raw_orders!M752)))</f>
        <v>First Class</v>
      </c>
      <c r="N752" s="5">
        <f>[1]raw_orders!N752</f>
        <v>8</v>
      </c>
      <c r="O752" s="5">
        <f>[1]raw_orders!O752</f>
        <v>3925.93</v>
      </c>
      <c r="P752" s="5">
        <f>[1]raw_orders!P752</f>
        <v>0.15</v>
      </c>
      <c r="Q752" t="str">
        <f>PROPER(TRIM([1]raw_orders!T752))</f>
        <v>Paid</v>
      </c>
      <c r="R752" t="str">
        <f>PROPER(TRIM([1]raw_orders!U752))</f>
        <v>Completed</v>
      </c>
      <c r="S752" s="5">
        <f>[1]raw_orders!S752</f>
        <v>3971.8</v>
      </c>
      <c r="T752" s="5">
        <f t="shared" si="88"/>
        <v>39.718000000000004</v>
      </c>
      <c r="U752" s="5">
        <f t="shared" si="89"/>
        <v>-1216033.26192</v>
      </c>
      <c r="V752" s="5">
        <f t="shared" si="90"/>
        <v>-1216033.4119199999</v>
      </c>
      <c r="W752" s="5">
        <f t="shared" si="91"/>
        <v>1.0000001233518889</v>
      </c>
      <c r="X752" s="5">
        <f t="shared" si="92"/>
        <v>116</v>
      </c>
      <c r="Y752" s="5">
        <f t="shared" si="93"/>
        <v>2</v>
      </c>
      <c r="Z752" s="5">
        <f t="shared" si="94"/>
        <v>2025</v>
      </c>
      <c r="AA752" t="str">
        <f t="shared" si="95"/>
        <v>Clean</v>
      </c>
    </row>
    <row r="753" spans="1:27" x14ac:dyDescent="0.3">
      <c r="A753" t="str">
        <f>[1]raw_orders!A753</f>
        <v>ORD-2025-10752</v>
      </c>
      <c r="B753" s="4">
        <f>IFERROR(DATEVALUE([1]raw_orders!B753), "Invalid Date")</f>
        <v>45856</v>
      </c>
      <c r="C753" s="4">
        <f>IFERROR(DATEVALUE([1]raw_orders!C753), "Invalid Date")</f>
        <v>45857</v>
      </c>
      <c r="D753" t="str">
        <f>[1]raw_orders!D753</f>
        <v>CUST-8512</v>
      </c>
      <c r="E753" t="str">
        <f>PROPER(TRIM([1]raw_orders!E753))</f>
        <v>Priya Menon</v>
      </c>
      <c r="F753" t="str">
        <f>PROPER(TRIM([1]raw_orders!F753))</f>
        <v>Home Office</v>
      </c>
      <c r="G753" t="str">
        <f>IF(TRIM([1]raw_orders!G753)="","Unknown",PROPER(TRIM([1]raw_orders!G753)))</f>
        <v>Unknown</v>
      </c>
      <c r="H753" t="str">
        <f>PROPER(TRIM([1]raw_orders!H753))</f>
        <v>Uttar Pradesh</v>
      </c>
      <c r="I753" t="str">
        <f>PROPER(TRIM([1]raw_orders!I753))</f>
        <v>Noida</v>
      </c>
      <c r="J753" t="str">
        <f>PROPER(TRIM([1]raw_orders!J753))</f>
        <v>Technology</v>
      </c>
      <c r="K753" t="str">
        <f>PROPER(TRIM([1]raw_orders!K753))</f>
        <v>Machines</v>
      </c>
      <c r="L753" t="str">
        <f>[1]raw_orders!L753</f>
        <v>Eco Machines 414</v>
      </c>
      <c r="M753" t="str">
        <f>IF(TRIM([1]raw_orders!M753)="","Unknown",PROPER(TRIM([1]raw_orders!M753)))</f>
        <v>Unknown</v>
      </c>
      <c r="N753" s="5">
        <f>[1]raw_orders!N753</f>
        <v>3</v>
      </c>
      <c r="O753" s="5">
        <f>[1]raw_orders!O753</f>
        <v>2963.25</v>
      </c>
      <c r="P753" s="5">
        <f>[1]raw_orders!P753</f>
        <v>0.05</v>
      </c>
      <c r="Q753" t="str">
        <f>PROPER(TRIM([1]raw_orders!T753))</f>
        <v>Paid</v>
      </c>
      <c r="R753" t="str">
        <f>PROPER(TRIM([1]raw_orders!U753))</f>
        <v>Completed</v>
      </c>
      <c r="S753" s="5">
        <f>[1]raw_orders!S753</f>
        <v>1507.66</v>
      </c>
      <c r="T753" s="5">
        <f t="shared" si="88"/>
        <v>15.076600000000001</v>
      </c>
      <c r="U753" s="5">
        <f t="shared" si="89"/>
        <v>-125137.45485000001</v>
      </c>
      <c r="V753" s="5">
        <f t="shared" si="90"/>
        <v>-125137.50485000001</v>
      </c>
      <c r="W753" s="5">
        <f t="shared" si="91"/>
        <v>1.0000003995606277</v>
      </c>
      <c r="X753" s="5">
        <f t="shared" si="92"/>
        <v>1</v>
      </c>
      <c r="Y753" s="5">
        <f t="shared" si="93"/>
        <v>7</v>
      </c>
      <c r="Z753" s="5">
        <f t="shared" si="94"/>
        <v>2025</v>
      </c>
      <c r="AA753" t="str">
        <f t="shared" si="95"/>
        <v>Warning</v>
      </c>
    </row>
    <row r="754" spans="1:27" x14ac:dyDescent="0.3">
      <c r="A754" t="str">
        <f>[1]raw_orders!A754</f>
        <v>ORD-2024-10753</v>
      </c>
      <c r="B754" s="4">
        <f>IFERROR(DATEVALUE([1]raw_orders!B754), "Invalid Date")</f>
        <v>45375</v>
      </c>
      <c r="C754" s="4">
        <f>IFERROR(DATEVALUE([1]raw_orders!C754), "Invalid Date")</f>
        <v>45378</v>
      </c>
      <c r="D754" t="str">
        <f>[1]raw_orders!D754</f>
        <v>CUST-6345</v>
      </c>
      <c r="E754" t="str">
        <f>PROPER(TRIM([1]raw_orders!E754))</f>
        <v>Aditi Sen</v>
      </c>
      <c r="F754" t="str">
        <f>PROPER(TRIM([1]raw_orders!F754))</f>
        <v>Corporate</v>
      </c>
      <c r="G754" t="str">
        <f>IF(TRIM([1]raw_orders!G754)="","Unknown",PROPER(TRIM([1]raw_orders!G754)))</f>
        <v>West</v>
      </c>
      <c r="H754" t="str">
        <f>PROPER(TRIM([1]raw_orders!H754))</f>
        <v>Gujarat</v>
      </c>
      <c r="I754" t="str">
        <f>PROPER(TRIM([1]raw_orders!I754))</f>
        <v>Ahmedabad</v>
      </c>
      <c r="J754" t="str">
        <f>PROPER(TRIM([1]raw_orders!J754))</f>
        <v>Office Supplies</v>
      </c>
      <c r="K754" t="str">
        <f>PROPER(TRIM([1]raw_orders!K754))</f>
        <v>Storage</v>
      </c>
      <c r="L754" t="str">
        <f>[1]raw_orders!L754</f>
        <v>Basic Storage 273</v>
      </c>
      <c r="M754" t="str">
        <f>IF(TRIM([1]raw_orders!M754)="","Unknown",PROPER(TRIM([1]raw_orders!M754)))</f>
        <v>First Class</v>
      </c>
      <c r="N754" s="5">
        <f>[1]raw_orders!N754</f>
        <v>5</v>
      </c>
      <c r="O754" s="5">
        <f>[1]raw_orders!O754</f>
        <v>2465.2199999999998</v>
      </c>
      <c r="P754" s="5">
        <f>[1]raw_orders!P754</f>
        <v>0.05</v>
      </c>
      <c r="Q754" t="str">
        <f>PROPER(TRIM([1]raw_orders!T754))</f>
        <v>Paid</v>
      </c>
      <c r="R754" t="str">
        <f>PROPER(TRIM([1]raw_orders!U754))</f>
        <v>Completed</v>
      </c>
      <c r="S754" s="5">
        <f>[1]raw_orders!S754</f>
        <v>3337.5</v>
      </c>
      <c r="T754" s="5">
        <f t="shared" si="88"/>
        <v>33.375</v>
      </c>
      <c r="U754" s="5">
        <f t="shared" si="89"/>
        <v>-399057.48749999993</v>
      </c>
      <c r="V754" s="5">
        <f t="shared" si="90"/>
        <v>-399057.53749999992</v>
      </c>
      <c r="W754" s="5">
        <f t="shared" si="91"/>
        <v>1.0000001252952309</v>
      </c>
      <c r="X754" s="5">
        <f t="shared" si="92"/>
        <v>3</v>
      </c>
      <c r="Y754" s="5">
        <f t="shared" si="93"/>
        <v>3</v>
      </c>
      <c r="Z754" s="5">
        <f t="shared" si="94"/>
        <v>2024</v>
      </c>
      <c r="AA754" t="str">
        <f t="shared" si="95"/>
        <v>Clean</v>
      </c>
    </row>
    <row r="755" spans="1:27" x14ac:dyDescent="0.3">
      <c r="A755" t="str">
        <f>[1]raw_orders!A755</f>
        <v>ORD-2024-10754</v>
      </c>
      <c r="B755" s="4">
        <f>IFERROR(DATEVALUE([1]raw_orders!B755), "Invalid Date")</f>
        <v>45515</v>
      </c>
      <c r="C755" s="4">
        <f>IFERROR(DATEVALUE([1]raw_orders!C755), "Invalid Date")</f>
        <v>45514</v>
      </c>
      <c r="D755" t="str">
        <f>[1]raw_orders!D755</f>
        <v>CUST-4505</v>
      </c>
      <c r="E755" t="str">
        <f>PROPER(TRIM([1]raw_orders!E755))</f>
        <v>Aditi Sen</v>
      </c>
      <c r="F755" t="str">
        <f>PROPER(TRIM([1]raw_orders!F755))</f>
        <v>Corporate</v>
      </c>
      <c r="G755" t="str">
        <f>IF(TRIM([1]raw_orders!G755)="","Unknown",PROPER(TRIM([1]raw_orders!G755)))</f>
        <v>North</v>
      </c>
      <c r="H755" t="str">
        <f>PROPER(TRIM([1]raw_orders!H755))</f>
        <v>Delhi</v>
      </c>
      <c r="I755" t="str">
        <f>PROPER(TRIM([1]raw_orders!I755))</f>
        <v>New Delhi</v>
      </c>
      <c r="J755" t="str">
        <f>PROPER(TRIM([1]raw_orders!J755))</f>
        <v>Furniture</v>
      </c>
      <c r="K755" t="str">
        <f>PROPER(TRIM([1]raw_orders!K755))</f>
        <v>Furnishings</v>
      </c>
      <c r="L755" t="str">
        <f>[1]raw_orders!L755</f>
        <v>Elite Furnishings 588</v>
      </c>
      <c r="M755" t="str">
        <f>IF(TRIM([1]raw_orders!M755)="","Unknown",PROPER(TRIM([1]raw_orders!M755)))</f>
        <v>Second Class</v>
      </c>
      <c r="N755" s="5">
        <f>[1]raw_orders!N755</f>
        <v>3</v>
      </c>
      <c r="O755" s="5">
        <f>[1]raw_orders!O755</f>
        <v>1017.22</v>
      </c>
      <c r="P755" s="5">
        <f>[1]raw_orders!P755</f>
        <v>0.15</v>
      </c>
      <c r="Q755" t="str">
        <f>PROPER(TRIM([1]raw_orders!T755))</f>
        <v>Failed</v>
      </c>
      <c r="R755" t="str">
        <f>PROPER(TRIM([1]raw_orders!U755))</f>
        <v>Returned</v>
      </c>
      <c r="S755" s="5">
        <f>[1]raw_orders!S755</f>
        <v>745.43</v>
      </c>
      <c r="T755" s="5">
        <f t="shared" si="88"/>
        <v>7.4542999999999999</v>
      </c>
      <c r="U755" s="5">
        <f t="shared" si="89"/>
        <v>-19696.329137999997</v>
      </c>
      <c r="V755" s="5">
        <f t="shared" si="90"/>
        <v>-19696.479137999999</v>
      </c>
      <c r="W755" s="5">
        <f t="shared" si="91"/>
        <v>1.000007615632281</v>
      </c>
      <c r="X755" s="5">
        <f t="shared" si="92"/>
        <v>-1</v>
      </c>
      <c r="Y755" s="5">
        <f t="shared" si="93"/>
        <v>8</v>
      </c>
      <c r="Z755" s="5">
        <f t="shared" si="94"/>
        <v>2024</v>
      </c>
      <c r="AA755" t="str">
        <f t="shared" si="95"/>
        <v>Invalid</v>
      </c>
    </row>
    <row r="756" spans="1:27" x14ac:dyDescent="0.3">
      <c r="A756" t="str">
        <f>[1]raw_orders!A756</f>
        <v>ORD-2025-10755</v>
      </c>
      <c r="B756" s="4">
        <f>IFERROR(DATEVALUE([1]raw_orders!B756), "Invalid Date")</f>
        <v>45753</v>
      </c>
      <c r="C756" s="4">
        <f>IFERROR(DATEVALUE([1]raw_orders!C756), "Invalid Date")</f>
        <v>45753</v>
      </c>
      <c r="D756" t="str">
        <f>[1]raw_orders!D756</f>
        <v>CUST-7960</v>
      </c>
      <c r="E756" t="str">
        <f>PROPER(TRIM([1]raw_orders!E756))</f>
        <v>Neha Gupta</v>
      </c>
      <c r="F756" t="str">
        <f>PROPER(TRIM([1]raw_orders!F756))</f>
        <v>Corporate</v>
      </c>
      <c r="G756" t="str">
        <f>IF(TRIM([1]raw_orders!G756)="","Unknown",PROPER(TRIM([1]raw_orders!G756)))</f>
        <v>South</v>
      </c>
      <c r="H756" t="str">
        <f>PROPER(TRIM([1]raw_orders!H756))</f>
        <v>Kerala</v>
      </c>
      <c r="I756" t="str">
        <f>PROPER(TRIM([1]raw_orders!I756))</f>
        <v>Kochi</v>
      </c>
      <c r="J756" t="str">
        <f>PROPER(TRIM([1]raw_orders!J756))</f>
        <v>Office Supplies</v>
      </c>
      <c r="K756" t="str">
        <f>PROPER(TRIM([1]raw_orders!K756))</f>
        <v>Storage</v>
      </c>
      <c r="L756" t="str">
        <f>[1]raw_orders!L756</f>
        <v>Elite Storage 857</v>
      </c>
      <c r="M756" t="str">
        <f>IF(TRIM([1]raw_orders!M756)="","Unknown",PROPER(TRIM([1]raw_orders!M756)))</f>
        <v>Standard Class</v>
      </c>
      <c r="N756" s="5">
        <f>[1]raw_orders!N756</f>
        <v>4</v>
      </c>
      <c r="O756" s="5">
        <f>[1]raw_orders!O756</f>
        <v>891.34</v>
      </c>
      <c r="P756" s="5">
        <f>[1]raw_orders!P756</f>
        <v>0.25</v>
      </c>
      <c r="Q756" t="str">
        <f>PROPER(TRIM([1]raw_orders!T756))</f>
        <v>Paid</v>
      </c>
      <c r="R756" t="str">
        <f>PROPER(TRIM([1]raw_orders!U756))</f>
        <v>Completed</v>
      </c>
      <c r="S756" s="5">
        <f>[1]raw_orders!S756</f>
        <v>466.45</v>
      </c>
      <c r="T756" s="5">
        <f t="shared" si="88"/>
        <v>4.6645000000000003</v>
      </c>
      <c r="U756" s="5">
        <f t="shared" si="89"/>
        <v>-13065.261720000002</v>
      </c>
      <c r="V756" s="5">
        <f t="shared" si="90"/>
        <v>-13065.511720000002</v>
      </c>
      <c r="W756" s="5">
        <f t="shared" si="91"/>
        <v>1.0000191347104526</v>
      </c>
      <c r="X756" s="5">
        <f t="shared" si="92"/>
        <v>0</v>
      </c>
      <c r="Y756" s="5">
        <f t="shared" si="93"/>
        <v>4</v>
      </c>
      <c r="Z756" s="5">
        <f t="shared" si="94"/>
        <v>2025</v>
      </c>
      <c r="AA756" t="str">
        <f t="shared" si="95"/>
        <v>Clean</v>
      </c>
    </row>
    <row r="757" spans="1:27" x14ac:dyDescent="0.3">
      <c r="A757" t="str">
        <f>[1]raw_orders!A757</f>
        <v>ORD-2025-10756</v>
      </c>
      <c r="B757" s="4">
        <f>IFERROR(DATEVALUE([1]raw_orders!B757), "Invalid Date")</f>
        <v>45858</v>
      </c>
      <c r="C757" s="4">
        <f>IFERROR(DATEVALUE([1]raw_orders!C757), "Invalid Date")</f>
        <v>45862</v>
      </c>
      <c r="D757" t="str">
        <f>[1]raw_orders!D757</f>
        <v>CUST-3365</v>
      </c>
      <c r="E757" t="str">
        <f>PROPER(TRIM([1]raw_orders!E757))</f>
        <v>Priya Menon</v>
      </c>
      <c r="F757" t="str">
        <f>PROPER(TRIM([1]raw_orders!F757))</f>
        <v>Home Office</v>
      </c>
      <c r="G757" t="str">
        <f>IF(TRIM([1]raw_orders!G757)="","Unknown",PROPER(TRIM([1]raw_orders!G757)))</f>
        <v>West</v>
      </c>
      <c r="H757" t="str">
        <f>PROPER(TRIM([1]raw_orders!H757))</f>
        <v>Madhya Pradesh</v>
      </c>
      <c r="I757" t="str">
        <f>PROPER(TRIM([1]raw_orders!I757))</f>
        <v>Indore</v>
      </c>
      <c r="J757" t="str">
        <f>PROPER(TRIM([1]raw_orders!J757))</f>
        <v>Office Supplies</v>
      </c>
      <c r="K757" t="str">
        <f>PROPER(TRIM([1]raw_orders!K757))</f>
        <v>Storage</v>
      </c>
      <c r="L757" t="str">
        <f>[1]raw_orders!L757</f>
        <v>Prime Storage 183</v>
      </c>
      <c r="M757" t="str">
        <f>IF(TRIM([1]raw_orders!M757)="","Unknown",PROPER(TRIM([1]raw_orders!M757)))</f>
        <v>Second Class</v>
      </c>
      <c r="N757" s="5">
        <f>[1]raw_orders!N757</f>
        <v>5</v>
      </c>
      <c r="O757" s="5">
        <f>[1]raw_orders!O757</f>
        <v>2481.7399999999998</v>
      </c>
      <c r="P757" s="5">
        <f>[1]raw_orders!P757</f>
        <v>0.2</v>
      </c>
      <c r="Q757" t="str">
        <f>PROPER(TRIM([1]raw_orders!T757))</f>
        <v>Paid</v>
      </c>
      <c r="R757" t="str">
        <f>PROPER(TRIM([1]raw_orders!U757))</f>
        <v>Completed</v>
      </c>
      <c r="S757" s="5">
        <f>[1]raw_orders!S757</f>
        <v>1931.98</v>
      </c>
      <c r="T757" s="5">
        <f t="shared" si="88"/>
        <v>19.319800000000001</v>
      </c>
      <c r="U757" s="5">
        <f t="shared" si="89"/>
        <v>-227324.90226</v>
      </c>
      <c r="V757" s="5">
        <f t="shared" si="90"/>
        <v>-227325.10226000001</v>
      </c>
      <c r="W757" s="5">
        <f t="shared" si="91"/>
        <v>1.0000008797980249</v>
      </c>
      <c r="X757" s="5">
        <f t="shared" si="92"/>
        <v>4</v>
      </c>
      <c r="Y757" s="5">
        <f t="shared" si="93"/>
        <v>7</v>
      </c>
      <c r="Z757" s="5">
        <f t="shared" si="94"/>
        <v>2025</v>
      </c>
      <c r="AA757" t="str">
        <f t="shared" si="95"/>
        <v>Clean</v>
      </c>
    </row>
    <row r="758" spans="1:27" x14ac:dyDescent="0.3">
      <c r="A758" t="str">
        <f>[1]raw_orders!A758</f>
        <v>ORD-2024-10757</v>
      </c>
      <c r="B758" s="4" t="str">
        <f>IFERROR(DATEVALUE([1]raw_orders!B758), "Invalid Date")</f>
        <v>Invalid Date</v>
      </c>
      <c r="C758" s="4">
        <f>IFERROR(DATEVALUE([1]raw_orders!C758), "Invalid Date")</f>
        <v>45302</v>
      </c>
      <c r="D758" t="str">
        <f>[1]raw_orders!D758</f>
        <v>CUST-1557</v>
      </c>
      <c r="E758" t="str">
        <f>PROPER(TRIM([1]raw_orders!E758))</f>
        <v>Rohan Mehta</v>
      </c>
      <c r="F758" t="str">
        <f>PROPER(TRIM([1]raw_orders!F758))</f>
        <v>Consumer</v>
      </c>
      <c r="G758" t="str">
        <f>IF(TRIM([1]raw_orders!G758)="","Unknown",PROPER(TRIM([1]raw_orders!G758)))</f>
        <v>North</v>
      </c>
      <c r="H758" t="str">
        <f>PROPER(TRIM([1]raw_orders!H758))</f>
        <v>Rajasthan</v>
      </c>
      <c r="I758" t="str">
        <f>PROPER(TRIM([1]raw_orders!I758))</f>
        <v>Jaipur</v>
      </c>
      <c r="J758" t="str">
        <f>PROPER(TRIM([1]raw_orders!J758))</f>
        <v>Technology</v>
      </c>
      <c r="K758" t="str">
        <f>PROPER(TRIM([1]raw_orders!K758))</f>
        <v>Accessories</v>
      </c>
      <c r="L758" t="str">
        <f>[1]raw_orders!L758</f>
        <v>Smart Accessories 362</v>
      </c>
      <c r="M758" t="str">
        <f>IF(TRIM([1]raw_orders!M758)="","Unknown",PROPER(TRIM([1]raw_orders!M758)))</f>
        <v>Same Day</v>
      </c>
      <c r="N758" s="5">
        <f>[1]raw_orders!N758</f>
        <v>7</v>
      </c>
      <c r="O758" s="5">
        <f>[1]raw_orders!O758</f>
        <v>2177.1</v>
      </c>
      <c r="P758" s="5">
        <f>[1]raw_orders!P758</f>
        <v>0.2</v>
      </c>
      <c r="Q758" t="str">
        <f>PROPER(TRIM([1]raw_orders!T758))</f>
        <v>Paid</v>
      </c>
      <c r="R758" t="str">
        <f>PROPER(TRIM([1]raw_orders!U758))</f>
        <v>Returned</v>
      </c>
      <c r="S758" s="5">
        <f>[1]raw_orders!S758</f>
        <v>1734.27</v>
      </c>
      <c r="T758" s="5">
        <f t="shared" si="88"/>
        <v>17.342700000000001</v>
      </c>
      <c r="U758" s="5">
        <f t="shared" si="89"/>
        <v>-249057.84518999999</v>
      </c>
      <c r="V758" s="5">
        <f t="shared" si="90"/>
        <v>-249058.04519</v>
      </c>
      <c r="W758" s="5">
        <f t="shared" si="91"/>
        <v>1.0000008030263003</v>
      </c>
      <c r="X758" s="5" t="str">
        <f t="shared" si="92"/>
        <v>Invalid Date</v>
      </c>
      <c r="Y758" s="5" t="e">
        <f t="shared" si="93"/>
        <v>#VALUE!</v>
      </c>
      <c r="Z758" s="5" t="e">
        <f t="shared" si="94"/>
        <v>#VALUE!</v>
      </c>
      <c r="AA758" t="str">
        <f t="shared" si="95"/>
        <v>Clean</v>
      </c>
    </row>
    <row r="759" spans="1:27" x14ac:dyDescent="0.3">
      <c r="A759" t="str">
        <f>[1]raw_orders!A759</f>
        <v>ORD-2025-10758</v>
      </c>
      <c r="B759" s="4">
        <f>IFERROR(DATEVALUE([1]raw_orders!B759), "Invalid Date")</f>
        <v>45870</v>
      </c>
      <c r="C759" s="4">
        <f>IFERROR(DATEVALUE([1]raw_orders!C759), "Invalid Date")</f>
        <v>45872</v>
      </c>
      <c r="D759" t="str">
        <f>[1]raw_orders!D759</f>
        <v>CUST-3058</v>
      </c>
      <c r="E759" t="str">
        <f>PROPER(TRIM([1]raw_orders!E759))</f>
        <v>Aditi Sen</v>
      </c>
      <c r="F759" t="str">
        <f>PROPER(TRIM([1]raw_orders!F759))</f>
        <v>Small Business</v>
      </c>
      <c r="G759" t="str">
        <f>IF(TRIM([1]raw_orders!G759)="","Unknown",PROPER(TRIM([1]raw_orders!G759)))</f>
        <v>South</v>
      </c>
      <c r="H759" t="str">
        <f>PROPER(TRIM([1]raw_orders!H759))</f>
        <v>Kerala</v>
      </c>
      <c r="I759" t="str">
        <f>PROPER(TRIM([1]raw_orders!I759))</f>
        <v>Kochi</v>
      </c>
      <c r="J759" t="str">
        <f>PROPER(TRIM([1]raw_orders!J759))</f>
        <v>Furniture</v>
      </c>
      <c r="K759" t="str">
        <f>PROPER(TRIM([1]raw_orders!K759))</f>
        <v>Bookcases</v>
      </c>
      <c r="L759" t="str">
        <f>[1]raw_orders!L759</f>
        <v>Classic Bookcases 310</v>
      </c>
      <c r="M759" t="str">
        <f>IF(TRIM([1]raw_orders!M759)="","Unknown",PROPER(TRIM([1]raw_orders!M759)))</f>
        <v>Standard Class</v>
      </c>
      <c r="N759" s="5">
        <f>[1]raw_orders!N759</f>
        <v>3</v>
      </c>
      <c r="O759" s="5">
        <f>[1]raw_orders!O759</f>
        <v>1904.78</v>
      </c>
      <c r="P759" s="5">
        <f>[1]raw_orders!P759</f>
        <v>0.25</v>
      </c>
      <c r="Q759" t="str">
        <f>PROPER(TRIM([1]raw_orders!T759))</f>
        <v>Failed</v>
      </c>
      <c r="R759" t="str">
        <f>PROPER(TRIM([1]raw_orders!U759))</f>
        <v>Cancelled</v>
      </c>
      <c r="S759" s="5">
        <f>[1]raw_orders!S759</f>
        <v>1899.43</v>
      </c>
      <c r="T759" s="5">
        <f t="shared" si="88"/>
        <v>18.994299999999999</v>
      </c>
      <c r="U759" s="5">
        <f t="shared" si="89"/>
        <v>-102825.548262</v>
      </c>
      <c r="V759" s="5">
        <f t="shared" si="90"/>
        <v>-102825.798262</v>
      </c>
      <c r="W759" s="5">
        <f t="shared" si="91"/>
        <v>1.0000024313023779</v>
      </c>
      <c r="X759" s="5">
        <f t="shared" si="92"/>
        <v>2</v>
      </c>
      <c r="Y759" s="5">
        <f t="shared" si="93"/>
        <v>8</v>
      </c>
      <c r="Z759" s="5">
        <f t="shared" si="94"/>
        <v>2025</v>
      </c>
      <c r="AA759" t="str">
        <f t="shared" si="95"/>
        <v>Clean</v>
      </c>
    </row>
    <row r="760" spans="1:27" x14ac:dyDescent="0.3">
      <c r="A760" t="str">
        <f>[1]raw_orders!A760</f>
        <v>ORD-2024-10759</v>
      </c>
      <c r="B760" s="4">
        <f>IFERROR(DATEVALUE([1]raw_orders!B760), "Invalid Date")</f>
        <v>45414</v>
      </c>
      <c r="C760" s="4">
        <f>IFERROR(DATEVALUE([1]raw_orders!C760), "Invalid Date")</f>
        <v>45422</v>
      </c>
      <c r="D760" t="str">
        <f>[1]raw_orders!D760</f>
        <v>CUST-6076</v>
      </c>
      <c r="E760" t="str">
        <f>PROPER(TRIM([1]raw_orders!E760))</f>
        <v>Aarav Sharma</v>
      </c>
      <c r="F760" t="str">
        <f>PROPER(TRIM([1]raw_orders!F760))</f>
        <v>Small Business</v>
      </c>
      <c r="G760" t="str">
        <f>IF(TRIM([1]raw_orders!G760)="","Unknown",PROPER(TRIM([1]raw_orders!G760)))</f>
        <v>South</v>
      </c>
      <c r="H760" t="str">
        <f>PROPER(TRIM([1]raw_orders!H760))</f>
        <v>Karnataka</v>
      </c>
      <c r="I760" t="str">
        <f>PROPER(TRIM([1]raw_orders!I760))</f>
        <v>Bengaluru</v>
      </c>
      <c r="J760" t="str">
        <f>PROPER(TRIM([1]raw_orders!J760))</f>
        <v>Furniture</v>
      </c>
      <c r="K760" t="str">
        <f>PROPER(TRIM([1]raw_orders!K760))</f>
        <v>Chairs</v>
      </c>
      <c r="L760" t="str">
        <f>[1]raw_orders!L760</f>
        <v>Prime Chairs 721</v>
      </c>
      <c r="M760" t="str">
        <f>IF(TRIM([1]raw_orders!M760)="","Unknown",PROPER(TRIM([1]raw_orders!M760)))</f>
        <v>Standard Class</v>
      </c>
      <c r="N760" s="5">
        <f>[1]raw_orders!N760</f>
        <v>1</v>
      </c>
      <c r="O760" s="5">
        <f>[1]raw_orders!O760</f>
        <v>4166.91</v>
      </c>
      <c r="P760" s="5">
        <f>[1]raw_orders!P760</f>
        <v>0</v>
      </c>
      <c r="Q760" t="str">
        <f>PROPER(TRIM([1]raw_orders!T760))</f>
        <v>Paid</v>
      </c>
      <c r="R760" t="str">
        <f>PROPER(TRIM([1]raw_orders!U760))</f>
        <v>Completed</v>
      </c>
      <c r="S760" s="5">
        <f>[1]raw_orders!S760</f>
        <v>754.28</v>
      </c>
      <c r="T760" s="5">
        <f t="shared" si="88"/>
        <v>7.5427999999999997</v>
      </c>
      <c r="U760" s="5">
        <f t="shared" si="89"/>
        <v>-27263.258747999997</v>
      </c>
      <c r="V760" s="5">
        <f t="shared" si="90"/>
        <v>-27263.258747999997</v>
      </c>
      <c r="W760" s="5">
        <f t="shared" si="91"/>
        <v>1</v>
      </c>
      <c r="X760" s="5">
        <f t="shared" si="92"/>
        <v>8</v>
      </c>
      <c r="Y760" s="5">
        <f t="shared" si="93"/>
        <v>5</v>
      </c>
      <c r="Z760" s="5">
        <f t="shared" si="94"/>
        <v>2024</v>
      </c>
      <c r="AA760" t="str">
        <f t="shared" si="95"/>
        <v>Clean</v>
      </c>
    </row>
    <row r="761" spans="1:27" x14ac:dyDescent="0.3">
      <c r="A761" t="str">
        <f>[1]raw_orders!A761</f>
        <v>ORD-2024-10760</v>
      </c>
      <c r="B761" s="4">
        <f>IFERROR(DATEVALUE([1]raw_orders!B761), "Invalid Date")</f>
        <v>45492</v>
      </c>
      <c r="C761" s="4">
        <f>IFERROR(DATEVALUE([1]raw_orders!C761), "Invalid Date")</f>
        <v>45499</v>
      </c>
      <c r="D761" t="str">
        <f>[1]raw_orders!D761</f>
        <v>CUST-2098</v>
      </c>
      <c r="E761" t="str">
        <f>PROPER(TRIM([1]raw_orders!E761))</f>
        <v>Arjun Bose</v>
      </c>
      <c r="F761" t="str">
        <f>PROPER(TRIM([1]raw_orders!F761))</f>
        <v>Home Office</v>
      </c>
      <c r="G761" t="str">
        <f>IF(TRIM([1]raw_orders!G761)="","Unknown",PROPER(TRIM([1]raw_orders!G761)))</f>
        <v>South</v>
      </c>
      <c r="H761" t="str">
        <f>PROPER(TRIM([1]raw_orders!H761))</f>
        <v>Karnataka</v>
      </c>
      <c r="I761" t="str">
        <f>PROPER(TRIM([1]raw_orders!I761))</f>
        <v>Bengaluru</v>
      </c>
      <c r="J761" t="str">
        <f>PROPER(TRIM([1]raw_orders!J761))</f>
        <v>Furniture</v>
      </c>
      <c r="K761" t="str">
        <f>PROPER(TRIM([1]raw_orders!K761))</f>
        <v>Tables</v>
      </c>
      <c r="L761" t="str">
        <f>[1]raw_orders!L761</f>
        <v>Prime Tables 797</v>
      </c>
      <c r="M761" t="str">
        <f>IF(TRIM([1]raw_orders!M761)="","Unknown",PROPER(TRIM([1]raw_orders!M761)))</f>
        <v>Second Class</v>
      </c>
      <c r="N761" s="5">
        <f>[1]raw_orders!N761</f>
        <v>5</v>
      </c>
      <c r="O761" s="5">
        <f>[1]raw_orders!O761</f>
        <v>3986.01</v>
      </c>
      <c r="P761" s="5">
        <f>[1]raw_orders!P761</f>
        <v>0.25</v>
      </c>
      <c r="Q761" t="str">
        <f>PROPER(TRIM([1]raw_orders!T761))</f>
        <v>Paid</v>
      </c>
      <c r="R761" t="str">
        <f>PROPER(TRIM([1]raw_orders!U761))</f>
        <v>Completed</v>
      </c>
      <c r="S761" s="5">
        <f>[1]raw_orders!S761</f>
        <v>5509.08</v>
      </c>
      <c r="T761" s="5">
        <f t="shared" si="88"/>
        <v>55.090800000000002</v>
      </c>
      <c r="U761" s="5">
        <f t="shared" si="89"/>
        <v>-1078032.3485400002</v>
      </c>
      <c r="V761" s="5">
        <f t="shared" si="90"/>
        <v>-1078032.5985400002</v>
      </c>
      <c r="W761" s="5">
        <f t="shared" si="91"/>
        <v>1.0000002319039873</v>
      </c>
      <c r="X761" s="5">
        <f t="shared" si="92"/>
        <v>7</v>
      </c>
      <c r="Y761" s="5">
        <f t="shared" si="93"/>
        <v>7</v>
      </c>
      <c r="Z761" s="5">
        <f t="shared" si="94"/>
        <v>2024</v>
      </c>
      <c r="AA761" t="str">
        <f t="shared" si="95"/>
        <v>Clean</v>
      </c>
    </row>
    <row r="762" spans="1:27" x14ac:dyDescent="0.3">
      <c r="A762" t="str">
        <f>[1]raw_orders!A762</f>
        <v>ORD-2024-10761</v>
      </c>
      <c r="B762" s="4">
        <f>IFERROR(DATEVALUE([1]raw_orders!B762), "Invalid Date")</f>
        <v>45532</v>
      </c>
      <c r="C762" s="4">
        <f>IFERROR(DATEVALUE([1]raw_orders!C762), "Invalid Date")</f>
        <v>45537</v>
      </c>
      <c r="D762" t="str">
        <f>[1]raw_orders!D762</f>
        <v>CUST-7193</v>
      </c>
      <c r="E762" t="str">
        <f>PROPER(TRIM([1]raw_orders!E762))</f>
        <v>Aditi Sen</v>
      </c>
      <c r="F762" t="str">
        <f>PROPER(TRIM([1]raw_orders!F762))</f>
        <v>Home Office</v>
      </c>
      <c r="G762" t="str">
        <f>IF(TRIM([1]raw_orders!G762)="","Unknown",PROPER(TRIM([1]raw_orders!G762)))</f>
        <v>East</v>
      </c>
      <c r="H762" t="str">
        <f>PROPER(TRIM([1]raw_orders!H762))</f>
        <v>Assam</v>
      </c>
      <c r="I762" t="str">
        <f>PROPER(TRIM([1]raw_orders!I762))</f>
        <v>Guwahati</v>
      </c>
      <c r="J762" t="str">
        <f>PROPER(TRIM([1]raw_orders!J762))</f>
        <v>Office Supplies</v>
      </c>
      <c r="K762" t="str">
        <f>PROPER(TRIM([1]raw_orders!K762))</f>
        <v>Art</v>
      </c>
      <c r="L762" t="str">
        <f>[1]raw_orders!L762</f>
        <v>Max Art 926</v>
      </c>
      <c r="M762" t="str">
        <f>IF(TRIM([1]raw_orders!M762)="","Unknown",PROPER(TRIM([1]raw_orders!M762)))</f>
        <v>Second Class</v>
      </c>
      <c r="N762" s="5">
        <f>[1]raw_orders!N762</f>
        <v>4</v>
      </c>
      <c r="O762" s="5">
        <f>[1]raw_orders!O762</f>
        <v>3365.53</v>
      </c>
      <c r="P762" s="5">
        <f>[1]raw_orders!P762</f>
        <v>0</v>
      </c>
      <c r="Q762" t="str">
        <f>PROPER(TRIM([1]raw_orders!T762))</f>
        <v>Pending</v>
      </c>
      <c r="R762" t="str">
        <f>PROPER(TRIM([1]raw_orders!U762))</f>
        <v>Returned</v>
      </c>
      <c r="S762" s="5">
        <f>[1]raw_orders!S762</f>
        <v>5861.49</v>
      </c>
      <c r="T762" s="5">
        <f t="shared" si="88"/>
        <v>58.614899999999999</v>
      </c>
      <c r="U762" s="5">
        <f t="shared" si="89"/>
        <v>-775618.69758799998</v>
      </c>
      <c r="V762" s="5">
        <f t="shared" si="90"/>
        <v>-775618.69758799998</v>
      </c>
      <c r="W762" s="5">
        <f t="shared" si="91"/>
        <v>1</v>
      </c>
      <c r="X762" s="5">
        <f t="shared" si="92"/>
        <v>5</v>
      </c>
      <c r="Y762" s="5">
        <f t="shared" si="93"/>
        <v>8</v>
      </c>
      <c r="Z762" s="5">
        <f t="shared" si="94"/>
        <v>2024</v>
      </c>
      <c r="AA762" t="str">
        <f t="shared" si="95"/>
        <v>Clean</v>
      </c>
    </row>
    <row r="763" spans="1:27" x14ac:dyDescent="0.3">
      <c r="A763" t="str">
        <f>[1]raw_orders!A763</f>
        <v>ORD-2025-10762</v>
      </c>
      <c r="B763" s="4">
        <f>IFERROR(DATEVALUE([1]raw_orders!B763), "Invalid Date")</f>
        <v>45896</v>
      </c>
      <c r="C763" s="4" t="str">
        <f>IFERROR(DATEVALUE([1]raw_orders!C763), "Invalid Date")</f>
        <v>Invalid Date</v>
      </c>
      <c r="D763" t="str">
        <f>[1]raw_orders!D763</f>
        <v>CUST-8948</v>
      </c>
      <c r="E763" t="str">
        <f>PROPER(TRIM([1]raw_orders!E763))</f>
        <v>Isha Nair</v>
      </c>
      <c r="F763" t="str">
        <f>PROPER(TRIM([1]raw_orders!F763))</f>
        <v>Consumer</v>
      </c>
      <c r="G763" t="str">
        <f>IF(TRIM([1]raw_orders!G763)="","Unknown",PROPER(TRIM([1]raw_orders!G763)))</f>
        <v>South</v>
      </c>
      <c r="H763" t="str">
        <f>PROPER(TRIM([1]raw_orders!H763))</f>
        <v>Karnataka</v>
      </c>
      <c r="I763" t="str">
        <f>PROPER(TRIM([1]raw_orders!I763))</f>
        <v>Bengaluru</v>
      </c>
      <c r="J763" t="str">
        <f>PROPER(TRIM([1]raw_orders!J763))</f>
        <v>Technology</v>
      </c>
      <c r="K763" t="str">
        <f>PROPER(TRIM([1]raw_orders!K763))</f>
        <v>Machines</v>
      </c>
      <c r="L763" t="str">
        <f>[1]raw_orders!L763</f>
        <v>Max Machines 364</v>
      </c>
      <c r="M763" t="str">
        <f>IF(TRIM([1]raw_orders!M763)="","Unknown",PROPER(TRIM([1]raw_orders!M763)))</f>
        <v>First Class</v>
      </c>
      <c r="N763" s="5">
        <f>[1]raw_orders!N763</f>
        <v>3</v>
      </c>
      <c r="O763" s="5">
        <f>[1]raw_orders!O763</f>
        <v>2489.12</v>
      </c>
      <c r="P763" s="5">
        <f>[1]raw_orders!P763</f>
        <v>0</v>
      </c>
      <c r="Q763" t="str">
        <f>PROPER(TRIM([1]raw_orders!T763))</f>
        <v>Paid</v>
      </c>
      <c r="R763" t="str">
        <f>PROPER(TRIM([1]raw_orders!U763))</f>
        <v>Completed</v>
      </c>
      <c r="S763" s="5">
        <f>[1]raw_orders!S763</f>
        <v>2456.75</v>
      </c>
      <c r="T763" s="5">
        <f t="shared" si="88"/>
        <v>24.567499999999999</v>
      </c>
      <c r="U763" s="5">
        <f t="shared" si="89"/>
        <v>-175987.00679999997</v>
      </c>
      <c r="V763" s="5">
        <f t="shared" si="90"/>
        <v>-175987.00679999997</v>
      </c>
      <c r="W763" s="5">
        <f t="shared" si="91"/>
        <v>1</v>
      </c>
      <c r="X763" s="5" t="str">
        <f t="shared" si="92"/>
        <v>Invalid Date</v>
      </c>
      <c r="Y763" s="5">
        <f t="shared" si="93"/>
        <v>8</v>
      </c>
      <c r="Z763" s="5">
        <f t="shared" si="94"/>
        <v>2025</v>
      </c>
      <c r="AA763" t="str">
        <f t="shared" si="95"/>
        <v>Clean</v>
      </c>
    </row>
    <row r="764" spans="1:27" x14ac:dyDescent="0.3">
      <c r="A764" t="str">
        <f>[1]raw_orders!A764</f>
        <v>ORD-2024-10763</v>
      </c>
      <c r="B764" s="4">
        <f>IFERROR(DATEVALUE([1]raw_orders!B764), "Invalid Date")</f>
        <v>45292</v>
      </c>
      <c r="C764" s="4">
        <f>IFERROR(DATEVALUE([1]raw_orders!C764), "Invalid Date")</f>
        <v>45296</v>
      </c>
      <c r="D764" t="str">
        <f>[1]raw_orders!D764</f>
        <v>CUST-6921</v>
      </c>
      <c r="E764" t="str">
        <f>PROPER(TRIM([1]raw_orders!E764))</f>
        <v>Diya Patel</v>
      </c>
      <c r="F764" t="str">
        <f>PROPER(TRIM([1]raw_orders!F764))</f>
        <v>Corporate</v>
      </c>
      <c r="G764" t="str">
        <f>IF(TRIM([1]raw_orders!G764)="","Unknown",PROPER(TRIM([1]raw_orders!G764)))</f>
        <v>West</v>
      </c>
      <c r="H764" t="str">
        <f>PROPER(TRIM([1]raw_orders!H764))</f>
        <v>Madhya Pradesh</v>
      </c>
      <c r="I764" t="str">
        <f>PROPER(TRIM([1]raw_orders!I764))</f>
        <v>Indore</v>
      </c>
      <c r="J764" t="str">
        <f>PROPER(TRIM([1]raw_orders!J764))</f>
        <v>Technology</v>
      </c>
      <c r="K764" t="str">
        <f>PROPER(TRIM([1]raw_orders!K764))</f>
        <v>Machines</v>
      </c>
      <c r="L764" t="str">
        <f>[1]raw_orders!L764</f>
        <v>Classic Machines 122</v>
      </c>
      <c r="M764" t="str">
        <f>IF(TRIM([1]raw_orders!M764)="","Unknown",PROPER(TRIM([1]raw_orders!M764)))</f>
        <v>Second Class</v>
      </c>
      <c r="N764" s="5">
        <f>[1]raw_orders!N764</f>
        <v>2</v>
      </c>
      <c r="O764" s="5">
        <f>[1]raw_orders!O764</f>
        <v>3694.12</v>
      </c>
      <c r="P764" s="5">
        <f>[1]raw_orders!P764</f>
        <v>0.2</v>
      </c>
      <c r="Q764" t="str">
        <f>PROPER(TRIM([1]raw_orders!T764))</f>
        <v>Refunded</v>
      </c>
      <c r="R764" t="str">
        <f>PROPER(TRIM([1]raw_orders!U764))</f>
        <v>Returned</v>
      </c>
      <c r="S764" s="5">
        <f>[1]raw_orders!S764</f>
        <v>1135.1500000000001</v>
      </c>
      <c r="T764" s="5">
        <f t="shared" si="88"/>
        <v>11.351500000000001</v>
      </c>
      <c r="U764" s="5">
        <f t="shared" si="89"/>
        <v>-76479.366360000015</v>
      </c>
      <c r="V764" s="5">
        <f t="shared" si="90"/>
        <v>-76479.566360000012</v>
      </c>
      <c r="W764" s="5">
        <f t="shared" si="91"/>
        <v>1.0000026150844274</v>
      </c>
      <c r="X764" s="5">
        <f t="shared" si="92"/>
        <v>4</v>
      </c>
      <c r="Y764" s="5">
        <f t="shared" si="93"/>
        <v>1</v>
      </c>
      <c r="Z764" s="5">
        <f t="shared" si="94"/>
        <v>2024</v>
      </c>
      <c r="AA764" t="str">
        <f t="shared" si="95"/>
        <v>Clean</v>
      </c>
    </row>
    <row r="765" spans="1:27" x14ac:dyDescent="0.3">
      <c r="A765" t="str">
        <f>[1]raw_orders!A765</f>
        <v>ORD-2025-10764</v>
      </c>
      <c r="B765" s="4">
        <f>IFERROR(DATEVALUE([1]raw_orders!B765), "Invalid Date")</f>
        <v>45892</v>
      </c>
      <c r="C765" s="4">
        <f>IFERROR(DATEVALUE([1]raw_orders!C765), "Invalid Date")</f>
        <v>45894</v>
      </c>
      <c r="D765" t="str">
        <f>[1]raw_orders!D765</f>
        <v>CUST-4086</v>
      </c>
      <c r="E765" t="str">
        <f>PROPER(TRIM([1]raw_orders!E765))</f>
        <v>Diya Patel</v>
      </c>
      <c r="F765" t="str">
        <f>PROPER(TRIM([1]raw_orders!F765))</f>
        <v>Consumer</v>
      </c>
      <c r="G765" t="str">
        <f>IF(TRIM([1]raw_orders!G765)="","Unknown",PROPER(TRIM([1]raw_orders!G765)))</f>
        <v>North</v>
      </c>
      <c r="H765" t="str">
        <f>PROPER(TRIM([1]raw_orders!H765))</f>
        <v>Rajasthan</v>
      </c>
      <c r="I765" t="str">
        <f>PROPER(TRIM([1]raw_orders!I765))</f>
        <v>Jaipur</v>
      </c>
      <c r="J765" t="str">
        <f>PROPER(TRIM([1]raw_orders!J765))</f>
        <v>Furniture</v>
      </c>
      <c r="K765" t="str">
        <f>PROPER(TRIM([1]raw_orders!K765))</f>
        <v>Furnishings</v>
      </c>
      <c r="L765" t="str">
        <f>[1]raw_orders!L765</f>
        <v>Elite Furnishings 169</v>
      </c>
      <c r="M765" t="str">
        <f>IF(TRIM([1]raw_orders!M765)="","Unknown",PROPER(TRIM([1]raw_orders!M765)))</f>
        <v>Same Day</v>
      </c>
      <c r="N765" s="5">
        <f>[1]raw_orders!N765</f>
        <v>6</v>
      </c>
      <c r="O765" s="5">
        <f>[1]raw_orders!O765</f>
        <v>2742.48</v>
      </c>
      <c r="P765" s="5">
        <f>[1]raw_orders!P765</f>
        <v>0</v>
      </c>
      <c r="Q765" t="str">
        <f>PROPER(TRIM([1]raw_orders!T765))</f>
        <v>Paid</v>
      </c>
      <c r="R765" t="str">
        <f>PROPER(TRIM([1]raw_orders!U765))</f>
        <v>Completed</v>
      </c>
      <c r="S765" s="5">
        <f>[1]raw_orders!S765</f>
        <v>4373.34</v>
      </c>
      <c r="T765" s="5">
        <f t="shared" si="88"/>
        <v>43.733400000000003</v>
      </c>
      <c r="U765" s="5">
        <f t="shared" si="89"/>
        <v>-703172.9689920001</v>
      </c>
      <c r="V765" s="5">
        <f t="shared" si="90"/>
        <v>-703172.9689920001</v>
      </c>
      <c r="W765" s="5">
        <f t="shared" si="91"/>
        <v>1</v>
      </c>
      <c r="X765" s="5">
        <f t="shared" si="92"/>
        <v>2</v>
      </c>
      <c r="Y765" s="5">
        <f t="shared" si="93"/>
        <v>8</v>
      </c>
      <c r="Z765" s="5">
        <f t="shared" si="94"/>
        <v>2025</v>
      </c>
      <c r="AA765" t="str">
        <f t="shared" si="95"/>
        <v>Clean</v>
      </c>
    </row>
    <row r="766" spans="1:27" x14ac:dyDescent="0.3">
      <c r="A766" t="str">
        <f>[1]raw_orders!A766</f>
        <v>ORD-2025-10765</v>
      </c>
      <c r="B766" s="4">
        <f>IFERROR(DATEVALUE([1]raw_orders!B766), "Invalid Date")</f>
        <v>45760</v>
      </c>
      <c r="C766" s="4">
        <f>IFERROR(DATEVALUE([1]raw_orders!C766), "Invalid Date")</f>
        <v>45760</v>
      </c>
      <c r="D766" t="str">
        <f>[1]raw_orders!D766</f>
        <v>CUST-5174</v>
      </c>
      <c r="E766" t="str">
        <f>PROPER(TRIM([1]raw_orders!E766))</f>
        <v>Priya Menon</v>
      </c>
      <c r="F766" t="str">
        <f>PROPER(TRIM([1]raw_orders!F766))</f>
        <v>Corporate</v>
      </c>
      <c r="G766" t="str">
        <f>IF(TRIM([1]raw_orders!G766)="","Unknown",PROPER(TRIM([1]raw_orders!G766)))</f>
        <v>South</v>
      </c>
      <c r="H766" t="str">
        <f>PROPER(TRIM([1]raw_orders!H766))</f>
        <v>Kerala</v>
      </c>
      <c r="I766" t="str">
        <f>PROPER(TRIM([1]raw_orders!I766))</f>
        <v>Kochi</v>
      </c>
      <c r="J766" t="str">
        <f>PROPER(TRIM([1]raw_orders!J766))</f>
        <v>Furniture</v>
      </c>
      <c r="K766" t="str">
        <f>PROPER(TRIM([1]raw_orders!K766))</f>
        <v>Bookcases</v>
      </c>
      <c r="L766" t="str">
        <f>[1]raw_orders!L766</f>
        <v>Pro Bookcases 615</v>
      </c>
      <c r="M766" t="str">
        <f>IF(TRIM([1]raw_orders!M766)="","Unknown",PROPER(TRIM([1]raw_orders!M766)))</f>
        <v>First Class</v>
      </c>
      <c r="N766" s="5">
        <f>[1]raw_orders!N766</f>
        <v>6</v>
      </c>
      <c r="O766" s="5">
        <f>[1]raw_orders!O766</f>
        <v>4414</v>
      </c>
      <c r="P766" s="5">
        <f>[1]raw_orders!P766</f>
        <v>0.05</v>
      </c>
      <c r="Q766" t="str">
        <f>PROPER(TRIM([1]raw_orders!T766))</f>
        <v>Paid</v>
      </c>
      <c r="R766" t="str">
        <f>PROPER(TRIM([1]raw_orders!U766))</f>
        <v>Completed</v>
      </c>
      <c r="S766" s="5">
        <f>[1]raw_orders!S766</f>
        <v>3552.97</v>
      </c>
      <c r="T766" s="5">
        <f t="shared" si="88"/>
        <v>35.529699999999998</v>
      </c>
      <c r="U766" s="5">
        <f t="shared" si="89"/>
        <v>-914484.57479999994</v>
      </c>
      <c r="V766" s="5">
        <f t="shared" si="90"/>
        <v>-914484.62479999999</v>
      </c>
      <c r="W766" s="5">
        <f t="shared" si="91"/>
        <v>1.0000000546756078</v>
      </c>
      <c r="X766" s="5">
        <f t="shared" si="92"/>
        <v>0</v>
      </c>
      <c r="Y766" s="5">
        <f t="shared" si="93"/>
        <v>4</v>
      </c>
      <c r="Z766" s="5">
        <f t="shared" si="94"/>
        <v>2025</v>
      </c>
      <c r="AA766" t="str">
        <f t="shared" si="95"/>
        <v>Clean</v>
      </c>
    </row>
    <row r="767" spans="1:27" x14ac:dyDescent="0.3">
      <c r="A767" t="str">
        <f>[1]raw_orders!A767</f>
        <v>ORD-2025-10766</v>
      </c>
      <c r="B767" s="4">
        <f>IFERROR(DATEVALUE([1]raw_orders!B767), "Invalid Date")</f>
        <v>45837</v>
      </c>
      <c r="C767" s="4">
        <f>IFERROR(DATEVALUE([1]raw_orders!C767), "Invalid Date")</f>
        <v>45841</v>
      </c>
      <c r="D767" t="str">
        <f>[1]raw_orders!D767</f>
        <v>CUST-8747</v>
      </c>
      <c r="E767" t="str">
        <f>PROPER(TRIM([1]raw_orders!E767))</f>
        <v>Vikram Iyer</v>
      </c>
      <c r="F767" t="str">
        <f>PROPER(TRIM([1]raw_orders!F767))</f>
        <v>Corporate</v>
      </c>
      <c r="G767" t="str">
        <f>IF(TRIM([1]raw_orders!G767)="","Unknown",PROPER(TRIM([1]raw_orders!G767)))</f>
        <v>East</v>
      </c>
      <c r="H767" t="str">
        <f>PROPER(TRIM([1]raw_orders!H767))</f>
        <v>Jharkhand</v>
      </c>
      <c r="I767" t="str">
        <f>PROPER(TRIM([1]raw_orders!I767))</f>
        <v>Ranchi</v>
      </c>
      <c r="J767" t="str">
        <f>PROPER(TRIM([1]raw_orders!J767))</f>
        <v>Office Supplies</v>
      </c>
      <c r="K767" t="str">
        <f>PROPER(TRIM([1]raw_orders!K767))</f>
        <v>Labels</v>
      </c>
      <c r="L767" t="str">
        <f>[1]raw_orders!L767</f>
        <v>Max Labels 136</v>
      </c>
      <c r="M767" t="str">
        <f>IF(TRIM([1]raw_orders!M767)="","Unknown",PROPER(TRIM([1]raw_orders!M767)))</f>
        <v>First Class</v>
      </c>
      <c r="N767" s="5">
        <f>[1]raw_orders!N767</f>
        <v>3</v>
      </c>
      <c r="O767" s="5">
        <f>[1]raw_orders!O767</f>
        <v>608.14</v>
      </c>
      <c r="P767" s="5">
        <f>[1]raw_orders!P767</f>
        <v>0</v>
      </c>
      <c r="Q767" t="str">
        <f>PROPER(TRIM([1]raw_orders!T767))</f>
        <v>Paid</v>
      </c>
      <c r="R767" t="str">
        <f>PROPER(TRIM([1]raw_orders!U767))</f>
        <v>Completed</v>
      </c>
      <c r="S767" s="5">
        <f>[1]raw_orders!S767</f>
        <v>609.54999999999995</v>
      </c>
      <c r="T767" s="5">
        <f t="shared" si="88"/>
        <v>6.0954999999999995</v>
      </c>
      <c r="U767" s="5">
        <f t="shared" si="89"/>
        <v>-9296.3321099999994</v>
      </c>
      <c r="V767" s="5">
        <f t="shared" si="90"/>
        <v>-9296.3321099999994</v>
      </c>
      <c r="W767" s="5">
        <f t="shared" si="91"/>
        <v>1</v>
      </c>
      <c r="X767" s="5">
        <f t="shared" si="92"/>
        <v>4</v>
      </c>
      <c r="Y767" s="5">
        <f t="shared" si="93"/>
        <v>6</v>
      </c>
      <c r="Z767" s="5">
        <f t="shared" si="94"/>
        <v>2025</v>
      </c>
      <c r="AA767" t="str">
        <f t="shared" si="95"/>
        <v>Clean</v>
      </c>
    </row>
    <row r="768" spans="1:27" x14ac:dyDescent="0.3">
      <c r="A768" t="str">
        <f>[1]raw_orders!A768</f>
        <v>ORD-2024-10767</v>
      </c>
      <c r="B768" s="4">
        <f>IFERROR(DATEVALUE([1]raw_orders!B768), "Invalid Date")</f>
        <v>45552</v>
      </c>
      <c r="C768" s="4">
        <f>IFERROR(DATEVALUE([1]raw_orders!C768), "Invalid Date")</f>
        <v>45559</v>
      </c>
      <c r="D768" t="str">
        <f>[1]raw_orders!D768</f>
        <v>CUST-3156</v>
      </c>
      <c r="E768" t="str">
        <f>PROPER(TRIM([1]raw_orders!E768))</f>
        <v>Mira Das</v>
      </c>
      <c r="F768" t="str">
        <f>PROPER(TRIM([1]raw_orders!F768))</f>
        <v>Corporate</v>
      </c>
      <c r="G768" t="str">
        <f>IF(TRIM([1]raw_orders!G768)="","Unknown",PROPER(TRIM([1]raw_orders!G768)))</f>
        <v>West</v>
      </c>
      <c r="H768" t="str">
        <f>PROPER(TRIM([1]raw_orders!H768))</f>
        <v>Gujarat</v>
      </c>
      <c r="I768" t="str">
        <f>PROPER(TRIM([1]raw_orders!I768))</f>
        <v>Ahmedabad</v>
      </c>
      <c r="J768" t="str">
        <f>PROPER(TRIM([1]raw_orders!J768))</f>
        <v>Office Supplies</v>
      </c>
      <c r="K768" t="str">
        <f>PROPER(TRIM([1]raw_orders!K768))</f>
        <v>Art</v>
      </c>
      <c r="L768" t="str">
        <f>[1]raw_orders!L768</f>
        <v>Prime Art 380</v>
      </c>
      <c r="M768" t="str">
        <f>IF(TRIM([1]raw_orders!M768)="","Unknown",PROPER(TRIM([1]raw_orders!M768)))</f>
        <v>Second Class</v>
      </c>
      <c r="N768" s="5">
        <f>[1]raw_orders!N768</f>
        <v>9</v>
      </c>
      <c r="O768" s="5">
        <f>[1]raw_orders!O768</f>
        <v>2307.96</v>
      </c>
      <c r="P768" s="5">
        <f>[1]raw_orders!P768</f>
        <v>0.2</v>
      </c>
      <c r="Q768" t="str">
        <f>PROPER(TRIM([1]raw_orders!T768))</f>
        <v>Paid</v>
      </c>
      <c r="R768" t="str">
        <f>PROPER(TRIM([1]raw_orders!U768))</f>
        <v>Cancelled</v>
      </c>
      <c r="S768" s="5">
        <f>[1]raw_orders!S768</f>
        <v>7421.58</v>
      </c>
      <c r="T768" s="5">
        <f t="shared" si="88"/>
        <v>74.215800000000002</v>
      </c>
      <c r="U768" s="5">
        <f t="shared" si="89"/>
        <v>-1520812.239912</v>
      </c>
      <c r="V768" s="5">
        <f t="shared" si="90"/>
        <v>-1520812.439912</v>
      </c>
      <c r="W768" s="5">
        <f t="shared" si="91"/>
        <v>1.0000001315086733</v>
      </c>
      <c r="X768" s="5">
        <f t="shared" si="92"/>
        <v>7</v>
      </c>
      <c r="Y768" s="5">
        <f t="shared" si="93"/>
        <v>9</v>
      </c>
      <c r="Z768" s="5">
        <f t="shared" si="94"/>
        <v>2024</v>
      </c>
      <c r="AA768" t="str">
        <f t="shared" si="95"/>
        <v>Clean</v>
      </c>
    </row>
    <row r="769" spans="1:27" x14ac:dyDescent="0.3">
      <c r="A769" t="str">
        <f>[1]raw_orders!A769</f>
        <v>ORD-2024-10768</v>
      </c>
      <c r="B769" s="4">
        <f>IFERROR(DATEVALUE([1]raw_orders!B769), "Invalid Date")</f>
        <v>45415</v>
      </c>
      <c r="C769" s="4">
        <f>IFERROR(DATEVALUE([1]raw_orders!C769), "Invalid Date")</f>
        <v>45448</v>
      </c>
      <c r="D769" t="str">
        <f>[1]raw_orders!D769</f>
        <v>CUST-2043</v>
      </c>
      <c r="E769" t="str">
        <f>PROPER(TRIM([1]raw_orders!E769))</f>
        <v>Ananya Rao</v>
      </c>
      <c r="F769" t="str">
        <f>PROPER(TRIM([1]raw_orders!F769))</f>
        <v>Home Office</v>
      </c>
      <c r="G769" t="str">
        <f>IF(TRIM([1]raw_orders!G769)="","Unknown",PROPER(TRIM([1]raw_orders!G769)))</f>
        <v>North</v>
      </c>
      <c r="H769" t="str">
        <f>PROPER(TRIM([1]raw_orders!H769))</f>
        <v>Uttar Pradesh</v>
      </c>
      <c r="I769" t="str">
        <f>PROPER(TRIM([1]raw_orders!I769))</f>
        <v>Noida</v>
      </c>
      <c r="J769" t="str">
        <f>PROPER(TRIM([1]raw_orders!J769))</f>
        <v>Office Supplies</v>
      </c>
      <c r="K769" t="str">
        <f>PROPER(TRIM([1]raw_orders!K769))</f>
        <v>Binders</v>
      </c>
      <c r="L769" t="str">
        <f>[1]raw_orders!L769</f>
        <v>Classic Binders 234</v>
      </c>
      <c r="M769" t="str">
        <f>IF(TRIM([1]raw_orders!M769)="","Unknown",PROPER(TRIM([1]raw_orders!M769)))</f>
        <v>Standard Class</v>
      </c>
      <c r="N769" s="5">
        <f>[1]raw_orders!N769</f>
        <v>1</v>
      </c>
      <c r="O769" s="5">
        <f>[1]raw_orders!O769</f>
        <v>1244.58</v>
      </c>
      <c r="P769" s="5">
        <f>[1]raw_orders!P769</f>
        <v>0.25</v>
      </c>
      <c r="Q769" t="str">
        <f>PROPER(TRIM([1]raw_orders!T769))</f>
        <v>Paid</v>
      </c>
      <c r="R769" t="str">
        <f>PROPER(TRIM([1]raw_orders!U769))</f>
        <v>Completed</v>
      </c>
      <c r="S769" s="5">
        <f>[1]raw_orders!S769</f>
        <v>350.34</v>
      </c>
      <c r="T769" s="5">
        <f t="shared" si="88"/>
        <v>3.5033999999999996</v>
      </c>
      <c r="U769" s="5">
        <f t="shared" si="89"/>
        <v>-3115.6815719999995</v>
      </c>
      <c r="V769" s="5">
        <f t="shared" si="90"/>
        <v>-3115.9315719999995</v>
      </c>
      <c r="W769" s="5">
        <f t="shared" si="91"/>
        <v>1.000080239265221</v>
      </c>
      <c r="X769" s="5">
        <f t="shared" si="92"/>
        <v>33</v>
      </c>
      <c r="Y769" s="5">
        <f t="shared" si="93"/>
        <v>5</v>
      </c>
      <c r="Z769" s="5">
        <f t="shared" si="94"/>
        <v>2024</v>
      </c>
      <c r="AA769" t="str">
        <f t="shared" si="95"/>
        <v>Clean</v>
      </c>
    </row>
    <row r="770" spans="1:27" x14ac:dyDescent="0.3">
      <c r="A770" t="str">
        <f>[1]raw_orders!A770</f>
        <v>ORD-2025-10769</v>
      </c>
      <c r="B770" s="4">
        <f>IFERROR(DATEVALUE([1]raw_orders!B770), "Invalid Date")</f>
        <v>45749</v>
      </c>
      <c r="C770" s="4">
        <f>IFERROR(DATEVALUE([1]raw_orders!C770), "Invalid Date")</f>
        <v>45751</v>
      </c>
      <c r="D770" t="str">
        <f>[1]raw_orders!D770</f>
        <v>CUST-8808</v>
      </c>
      <c r="E770" t="str">
        <f>PROPER(TRIM([1]raw_orders!E770))</f>
        <v>Sneha Kapoor</v>
      </c>
      <c r="F770" t="str">
        <f>PROPER(TRIM([1]raw_orders!F770))</f>
        <v>Home Office</v>
      </c>
      <c r="G770" t="str">
        <f>IF(TRIM([1]raw_orders!G770)="","Unknown",PROPER(TRIM([1]raw_orders!G770)))</f>
        <v>East</v>
      </c>
      <c r="H770" t="str">
        <f>PROPER(TRIM([1]raw_orders!H770))</f>
        <v>Jharkhand</v>
      </c>
      <c r="I770" t="str">
        <f>PROPER(TRIM([1]raw_orders!I770))</f>
        <v>Ranchi</v>
      </c>
      <c r="J770" t="str">
        <f>PROPER(TRIM([1]raw_orders!J770))</f>
        <v>Office Supplies</v>
      </c>
      <c r="K770" t="str">
        <f>PROPER(TRIM([1]raw_orders!K770))</f>
        <v>Paper</v>
      </c>
      <c r="L770" t="str">
        <f>[1]raw_orders!L770</f>
        <v>Classic Paper 280</v>
      </c>
      <c r="M770" t="str">
        <f>IF(TRIM([1]raw_orders!M770)="","Unknown",PROPER(TRIM([1]raw_orders!M770)))</f>
        <v>Same Day</v>
      </c>
      <c r="N770" s="5">
        <f>[1]raw_orders!N770</f>
        <v>5</v>
      </c>
      <c r="O770" s="5">
        <f>[1]raw_orders!O770</f>
        <v>3234.24</v>
      </c>
      <c r="P770" s="5">
        <f>[1]raw_orders!P770</f>
        <v>0.1</v>
      </c>
      <c r="Q770" t="str">
        <f>PROPER(TRIM([1]raw_orders!T770))</f>
        <v>Paid</v>
      </c>
      <c r="R770" t="str">
        <f>PROPER(TRIM([1]raw_orders!U770))</f>
        <v>Completed</v>
      </c>
      <c r="S770" s="5">
        <f>[1]raw_orders!S770</f>
        <v>3387.24</v>
      </c>
      <c r="T770" s="5">
        <f t="shared" si="88"/>
        <v>33.872399999999999</v>
      </c>
      <c r="U770" s="5">
        <f t="shared" si="89"/>
        <v>-531586.15487999993</v>
      </c>
      <c r="V770" s="5">
        <f t="shared" si="90"/>
        <v>-531586.25487999991</v>
      </c>
      <c r="W770" s="5">
        <f t="shared" si="91"/>
        <v>1.0000001881162612</v>
      </c>
      <c r="X770" s="5">
        <f t="shared" si="92"/>
        <v>2</v>
      </c>
      <c r="Y770" s="5">
        <f t="shared" si="93"/>
        <v>4</v>
      </c>
      <c r="Z770" s="5">
        <f t="shared" si="94"/>
        <v>2025</v>
      </c>
      <c r="AA770" t="str">
        <f t="shared" si="95"/>
        <v>Clean</v>
      </c>
    </row>
    <row r="771" spans="1:27" x14ac:dyDescent="0.3">
      <c r="A771" t="str">
        <f>[1]raw_orders!A771</f>
        <v>ORD-2024-10770</v>
      </c>
      <c r="B771" s="4">
        <f>IFERROR(DATEVALUE([1]raw_orders!B771), "Invalid Date")</f>
        <v>45601</v>
      </c>
      <c r="C771" s="4">
        <f>IFERROR(DATEVALUE([1]raw_orders!C771), "Invalid Date")</f>
        <v>45425</v>
      </c>
      <c r="D771" t="str">
        <f>[1]raw_orders!D771</f>
        <v>CUST-1293</v>
      </c>
      <c r="E771" t="str">
        <f>PROPER(TRIM([1]raw_orders!E771))</f>
        <v>Priya Menon</v>
      </c>
      <c r="F771" t="str">
        <f>PROPER(TRIM([1]raw_orders!F771))</f>
        <v>Home Office</v>
      </c>
      <c r="G771" t="str">
        <f>IF(TRIM([1]raw_orders!G771)="","Unknown",PROPER(TRIM([1]raw_orders!G771)))</f>
        <v>West</v>
      </c>
      <c r="H771" t="str">
        <f>PROPER(TRIM([1]raw_orders!H771))</f>
        <v>Goa</v>
      </c>
      <c r="I771" t="str">
        <f>PROPER(TRIM([1]raw_orders!I771))</f>
        <v>Panaji</v>
      </c>
      <c r="J771" t="str">
        <f>PROPER(TRIM([1]raw_orders!J771))</f>
        <v>Furniture</v>
      </c>
      <c r="K771" t="str">
        <f>PROPER(TRIM([1]raw_orders!K771))</f>
        <v>Bookcases</v>
      </c>
      <c r="L771" t="str">
        <f>[1]raw_orders!L771</f>
        <v>Classic Bookcases 922</v>
      </c>
      <c r="M771" t="str">
        <f>IF(TRIM([1]raw_orders!M771)="","Unknown",PROPER(TRIM([1]raw_orders!M771)))</f>
        <v>Same Day</v>
      </c>
      <c r="N771" s="5">
        <f>[1]raw_orders!N771</f>
        <v>3</v>
      </c>
      <c r="O771" s="5">
        <f>[1]raw_orders!O771</f>
        <v>3612.75</v>
      </c>
      <c r="P771" s="5">
        <f>[1]raw_orders!P771</f>
        <v>0.25</v>
      </c>
      <c r="Q771" t="str">
        <f>PROPER(TRIM([1]raw_orders!T771))</f>
        <v>Paid</v>
      </c>
      <c r="R771" t="str">
        <f>PROPER(TRIM([1]raw_orders!U771))</f>
        <v>Completed</v>
      </c>
      <c r="S771" s="5">
        <f>[1]raw_orders!S771</f>
        <v>3057.03</v>
      </c>
      <c r="T771" s="5">
        <f t="shared" ref="T771:T834" si="96">IF(AND(ISNUMBER(S771),S771&gt;=0,S771&lt;=1),S771,IF(S771="",0,IF(S771&lt;0,"INVALID - Negative",IF(S771&gt;1,S771/100,"INVALID"))))</f>
        <v>30.570300000000003</v>
      </c>
      <c r="U771" s="5">
        <f t="shared" ref="U771:U834" si="97">IF(AND(ISNUMBER(N771),ISNUMBER(O771),OR(ISNUMBER(T771),T771=0)),N771*O771*(1-IF(ISNUMBER(T771),T771,0)),"Calculation Error")</f>
        <v>-320490.30397500005</v>
      </c>
      <c r="V771" s="5">
        <f t="shared" ref="V771:V834" si="98">IF(AND(ISNUMBER(U771),ISNUMBER(P771)),U771-P771,"Calculation Error")</f>
        <v>-320490.55397500005</v>
      </c>
      <c r="W771" s="5">
        <f t="shared" ref="W771:W834" si="99">IF(AND(ISNUMBER(V771),ISNUMBER(U771),U771&lt;&gt;0),V771/U771,IF(U771=0,"N/A","Calculation Error"))</f>
        <v>1.0000007800548001</v>
      </c>
      <c r="X771" s="5">
        <f t="shared" ref="X771:X834" si="100">IF(AND(ISNUMBER(B771),ISNUMBER(C771)),C771-B771,"Invalid Date")</f>
        <v>-176</v>
      </c>
      <c r="Y771" s="5">
        <f t="shared" ref="Y771:Y834" si="101">MONTH(B771)</f>
        <v>11</v>
      </c>
      <c r="Z771" s="5">
        <f t="shared" ref="Z771:Z834" si="102">YEAR(B771)</f>
        <v>2024</v>
      </c>
      <c r="AA771" t="str">
        <f t="shared" ref="AA771:AA834" si="103">IF(OR(G771="Unknown",M771="Unknown",T771="INVALID - Negative",T771="INVALID",X771&lt;0,R771="Duplicate ID - Review Required"),IF(OR(T771="INVALID - Negative",T771="INVALID",X771&lt;0,R771="Duplicate ID - Review Required"),"Invalid","Warning"),"Clean")</f>
        <v>Invalid</v>
      </c>
    </row>
    <row r="772" spans="1:27" x14ac:dyDescent="0.3">
      <c r="A772" t="str">
        <f>[1]raw_orders!A772</f>
        <v>ORD-2024-10771</v>
      </c>
      <c r="B772" s="4" t="str">
        <f>IFERROR(DATEVALUE([1]raw_orders!B772), "Invalid Date")</f>
        <v>Invalid Date</v>
      </c>
      <c r="C772" s="4">
        <f>IFERROR(DATEVALUE([1]raw_orders!C772), "Invalid Date")</f>
        <v>45339</v>
      </c>
      <c r="D772" t="str">
        <f>[1]raw_orders!D772</f>
        <v>CUST-8384</v>
      </c>
      <c r="E772" t="str">
        <f>PROPER(TRIM([1]raw_orders!E772))</f>
        <v>Neha Gupta</v>
      </c>
      <c r="F772" t="str">
        <f>PROPER(TRIM([1]raw_orders!F772))</f>
        <v>Consumer</v>
      </c>
      <c r="G772" t="str">
        <f>IF(TRIM([1]raw_orders!G772)="","Unknown",PROPER(TRIM([1]raw_orders!G772)))</f>
        <v>North</v>
      </c>
      <c r="H772" t="str">
        <f>PROPER(TRIM([1]raw_orders!H772))</f>
        <v>Uttar Pradesh</v>
      </c>
      <c r="I772" t="str">
        <f>PROPER(TRIM([1]raw_orders!I772))</f>
        <v>Noida</v>
      </c>
      <c r="J772" t="str">
        <f>PROPER(TRIM([1]raw_orders!J772))</f>
        <v>Technology</v>
      </c>
      <c r="K772" t="str">
        <f>PROPER(TRIM([1]raw_orders!K772))</f>
        <v>Copiers</v>
      </c>
      <c r="L772" t="str">
        <f>[1]raw_orders!L772</f>
        <v>Eco Copiers 396</v>
      </c>
      <c r="M772" t="str">
        <f>IF(TRIM([1]raw_orders!M772)="","Unknown",PROPER(TRIM([1]raw_orders!M772)))</f>
        <v>First Class</v>
      </c>
      <c r="N772" s="5">
        <f>[1]raw_orders!N772</f>
        <v>4</v>
      </c>
      <c r="O772" s="5">
        <f>[1]raw_orders!O772</f>
        <v>863</v>
      </c>
      <c r="P772" s="5">
        <f>[1]raw_orders!P772</f>
        <v>0</v>
      </c>
      <c r="Q772" t="str">
        <f>PROPER(TRIM([1]raw_orders!T772))</f>
        <v>Paid</v>
      </c>
      <c r="R772" t="str">
        <f>PROPER(TRIM([1]raw_orders!U772))</f>
        <v>Completed</v>
      </c>
      <c r="S772" s="5">
        <f>[1]raw_orders!S772</f>
        <v>730.18</v>
      </c>
      <c r="T772" s="5">
        <f t="shared" si="96"/>
        <v>7.3017999999999992</v>
      </c>
      <c r="U772" s="5">
        <f t="shared" si="97"/>
        <v>-21753.813599999998</v>
      </c>
      <c r="V772" s="5">
        <f t="shared" si="98"/>
        <v>-21753.813599999998</v>
      </c>
      <c r="W772" s="5">
        <f t="shared" si="99"/>
        <v>1</v>
      </c>
      <c r="X772" s="5" t="str">
        <f t="shared" si="100"/>
        <v>Invalid Date</v>
      </c>
      <c r="Y772" s="5" t="e">
        <f t="shared" si="101"/>
        <v>#VALUE!</v>
      </c>
      <c r="Z772" s="5" t="e">
        <f t="shared" si="102"/>
        <v>#VALUE!</v>
      </c>
      <c r="AA772" t="str">
        <f t="shared" si="103"/>
        <v>Clean</v>
      </c>
    </row>
    <row r="773" spans="1:27" x14ac:dyDescent="0.3">
      <c r="A773" t="str">
        <f>[1]raw_orders!A773</f>
        <v>ORD-2024-10772</v>
      </c>
      <c r="B773" s="4">
        <f>IFERROR(DATEVALUE([1]raw_orders!B773), "Invalid Date")</f>
        <v>45485</v>
      </c>
      <c r="C773" s="4">
        <f>IFERROR(DATEVALUE([1]raw_orders!C773), "Invalid Date")</f>
        <v>45487</v>
      </c>
      <c r="D773" t="str">
        <f>[1]raw_orders!D773</f>
        <v>CUST-7861</v>
      </c>
      <c r="E773" t="str">
        <f>PROPER(TRIM([1]raw_orders!E773))</f>
        <v>Ananya Rao</v>
      </c>
      <c r="F773" t="str">
        <f>PROPER(TRIM([1]raw_orders!F773))</f>
        <v>Consumer</v>
      </c>
      <c r="G773" t="str">
        <f>IF(TRIM([1]raw_orders!G773)="","Unknown",PROPER(TRIM([1]raw_orders!G773)))</f>
        <v>North</v>
      </c>
      <c r="H773" t="str">
        <f>PROPER(TRIM([1]raw_orders!H773))</f>
        <v>Haryana</v>
      </c>
      <c r="I773" t="str">
        <f>PROPER(TRIM([1]raw_orders!I773))</f>
        <v>Gurugram</v>
      </c>
      <c r="J773" t="str">
        <f>PROPER(TRIM([1]raw_orders!J773))</f>
        <v>Technology</v>
      </c>
      <c r="K773" t="str">
        <f>PROPER(TRIM([1]raw_orders!K773))</f>
        <v>Machines</v>
      </c>
      <c r="L773" t="str">
        <f>[1]raw_orders!L773</f>
        <v>Basic Machines 401</v>
      </c>
      <c r="M773" t="str">
        <f>IF(TRIM([1]raw_orders!M773)="","Unknown",PROPER(TRIM([1]raw_orders!M773)))</f>
        <v>Second Class</v>
      </c>
      <c r="N773" s="5">
        <f>[1]raw_orders!N773</f>
        <v>4</v>
      </c>
      <c r="O773" s="5">
        <f>[1]raw_orders!O773</f>
        <v>2131.41</v>
      </c>
      <c r="P773" s="5">
        <f>[1]raw_orders!P773</f>
        <v>0</v>
      </c>
      <c r="Q773" t="str">
        <f>PROPER(TRIM([1]raw_orders!T773))</f>
        <v>Paid</v>
      </c>
      <c r="R773" t="str">
        <f>PROPER(TRIM([1]raw_orders!U773))</f>
        <v>Completed</v>
      </c>
      <c r="S773" s="5">
        <f>[1]raw_orders!S773</f>
        <v>2873.54</v>
      </c>
      <c r="T773" s="5">
        <f t="shared" si="96"/>
        <v>28.735399999999998</v>
      </c>
      <c r="U773" s="5">
        <f t="shared" si="97"/>
        <v>-236462.03565599996</v>
      </c>
      <c r="V773" s="5">
        <f t="shared" si="98"/>
        <v>-236462.03565599996</v>
      </c>
      <c r="W773" s="5">
        <f t="shared" si="99"/>
        <v>1</v>
      </c>
      <c r="X773" s="5">
        <f t="shared" si="100"/>
        <v>2</v>
      </c>
      <c r="Y773" s="5">
        <f t="shared" si="101"/>
        <v>7</v>
      </c>
      <c r="Z773" s="5">
        <f t="shared" si="102"/>
        <v>2024</v>
      </c>
      <c r="AA773" t="str">
        <f t="shared" si="103"/>
        <v>Clean</v>
      </c>
    </row>
    <row r="774" spans="1:27" x14ac:dyDescent="0.3">
      <c r="A774" t="str">
        <f>[1]raw_orders!A774</f>
        <v>ORD-2025-10773</v>
      </c>
      <c r="B774" s="4" t="str">
        <f>IFERROR(DATEVALUE([1]raw_orders!B774), "Invalid Date")</f>
        <v>Invalid Date</v>
      </c>
      <c r="C774" s="4">
        <f>IFERROR(DATEVALUE([1]raw_orders!C774), "Invalid Date")</f>
        <v>45857</v>
      </c>
      <c r="D774" t="str">
        <f>[1]raw_orders!D774</f>
        <v>CUST-8422</v>
      </c>
      <c r="E774" t="str">
        <f>PROPER(TRIM([1]raw_orders!E774))</f>
        <v>Diya Patel</v>
      </c>
      <c r="F774" t="str">
        <f>PROPER(TRIM([1]raw_orders!F774))</f>
        <v>Consumer</v>
      </c>
      <c r="G774" t="str">
        <f>IF(TRIM([1]raw_orders!G774)="","Unknown",PROPER(TRIM([1]raw_orders!G774)))</f>
        <v>South</v>
      </c>
      <c r="H774" t="str">
        <f>PROPER(TRIM([1]raw_orders!H774))</f>
        <v>Tamil Nadu</v>
      </c>
      <c r="I774" t="str">
        <f>PROPER(TRIM([1]raw_orders!I774))</f>
        <v>Chennai</v>
      </c>
      <c r="J774" t="str">
        <f>PROPER(TRIM([1]raw_orders!J774))</f>
        <v>Furniture</v>
      </c>
      <c r="K774" t="str">
        <f>PROPER(TRIM([1]raw_orders!K774))</f>
        <v>Chairs</v>
      </c>
      <c r="L774" t="str">
        <f>[1]raw_orders!L774</f>
        <v>Basic Chairs 279</v>
      </c>
      <c r="M774" t="str">
        <f>IF(TRIM([1]raw_orders!M774)="","Unknown",PROPER(TRIM([1]raw_orders!M774)))</f>
        <v>Same Day</v>
      </c>
      <c r="N774" s="5">
        <f>[1]raw_orders!N774</f>
        <v>1</v>
      </c>
      <c r="O774" s="5">
        <f>[1]raw_orders!O774</f>
        <v>3903.22</v>
      </c>
      <c r="P774" s="5">
        <f>[1]raw_orders!P774</f>
        <v>0.05</v>
      </c>
      <c r="Q774" t="str">
        <f>PROPER(TRIM([1]raw_orders!T774))</f>
        <v>Pending</v>
      </c>
      <c r="R774" t="str">
        <f>PROPER(TRIM([1]raw_orders!U774))</f>
        <v>Cancelled</v>
      </c>
      <c r="S774" s="5">
        <f>[1]raw_orders!S774</f>
        <v>947.77</v>
      </c>
      <c r="T774" s="5">
        <f t="shared" si="96"/>
        <v>9.4777000000000005</v>
      </c>
      <c r="U774" s="5">
        <f t="shared" si="97"/>
        <v>-33090.328194000002</v>
      </c>
      <c r="V774" s="5">
        <f t="shared" si="98"/>
        <v>-33090.378194000004</v>
      </c>
      <c r="W774" s="5">
        <f t="shared" si="99"/>
        <v>1.0000015110155362</v>
      </c>
      <c r="X774" s="5" t="str">
        <f t="shared" si="100"/>
        <v>Invalid Date</v>
      </c>
      <c r="Y774" s="5" t="e">
        <f t="shared" si="101"/>
        <v>#VALUE!</v>
      </c>
      <c r="Z774" s="5" t="e">
        <f t="shared" si="102"/>
        <v>#VALUE!</v>
      </c>
      <c r="AA774" t="str">
        <f t="shared" si="103"/>
        <v>Clean</v>
      </c>
    </row>
    <row r="775" spans="1:27" x14ac:dyDescent="0.3">
      <c r="A775" t="str">
        <f>[1]raw_orders!A775</f>
        <v>ORD-2025-10774</v>
      </c>
      <c r="B775" s="4">
        <f>IFERROR(DATEVALUE([1]raw_orders!B775), "Invalid Date")</f>
        <v>45709</v>
      </c>
      <c r="C775" s="4">
        <f>IFERROR(DATEVALUE([1]raw_orders!C775), "Invalid Date")</f>
        <v>45709</v>
      </c>
      <c r="D775" t="str">
        <f>[1]raw_orders!D775</f>
        <v>CUST-4766</v>
      </c>
      <c r="E775" t="str">
        <f>PROPER(TRIM([1]raw_orders!E775))</f>
        <v>Karan Malhotra</v>
      </c>
      <c r="F775" t="str">
        <f>PROPER(TRIM([1]raw_orders!F775))</f>
        <v>Home Office</v>
      </c>
      <c r="G775" t="str">
        <f>IF(TRIM([1]raw_orders!G775)="","Unknown",PROPER(TRIM([1]raw_orders!G775)))</f>
        <v>West</v>
      </c>
      <c r="H775" t="str">
        <f>PROPER(TRIM([1]raw_orders!H775))</f>
        <v>Gujarat</v>
      </c>
      <c r="I775" t="str">
        <f>PROPER(TRIM([1]raw_orders!I775))</f>
        <v>Ahmedabad</v>
      </c>
      <c r="J775" t="str">
        <f>PROPER(TRIM([1]raw_orders!J775))</f>
        <v>Technology</v>
      </c>
      <c r="K775" t="str">
        <f>PROPER(TRIM([1]raw_orders!K775))</f>
        <v>Phones</v>
      </c>
      <c r="L775" t="str">
        <f>[1]raw_orders!L775</f>
        <v>Basic Phones 753</v>
      </c>
      <c r="M775" t="str">
        <f>IF(TRIM([1]raw_orders!M775)="","Unknown",PROPER(TRIM([1]raw_orders!M775)))</f>
        <v>Unknown</v>
      </c>
      <c r="N775" s="5">
        <f>[1]raw_orders!N775</f>
        <v>4</v>
      </c>
      <c r="O775" s="5">
        <f>[1]raw_orders!O775</f>
        <v>2945.07</v>
      </c>
      <c r="P775" s="5">
        <f>[1]raw_orders!P775</f>
        <v>0.2</v>
      </c>
      <c r="Q775" t="str">
        <f>PROPER(TRIM([1]raw_orders!T775))</f>
        <v>Paid</v>
      </c>
      <c r="R775" t="str">
        <f>PROPER(TRIM([1]raw_orders!U775))</f>
        <v>Completed</v>
      </c>
      <c r="S775" s="5">
        <f>[1]raw_orders!S775</f>
        <v>3245.3</v>
      </c>
      <c r="T775" s="5">
        <f t="shared" si="96"/>
        <v>32.453000000000003</v>
      </c>
      <c r="U775" s="5">
        <f t="shared" si="97"/>
        <v>-370525.14684000006</v>
      </c>
      <c r="V775" s="5">
        <f t="shared" si="98"/>
        <v>-370525.34684000007</v>
      </c>
      <c r="W775" s="5">
        <f t="shared" si="99"/>
        <v>1.0000005397744303</v>
      </c>
      <c r="X775" s="5">
        <f t="shared" si="100"/>
        <v>0</v>
      </c>
      <c r="Y775" s="5">
        <f t="shared" si="101"/>
        <v>2</v>
      </c>
      <c r="Z775" s="5">
        <f t="shared" si="102"/>
        <v>2025</v>
      </c>
      <c r="AA775" t="str">
        <f t="shared" si="103"/>
        <v>Warning</v>
      </c>
    </row>
    <row r="776" spans="1:27" x14ac:dyDescent="0.3">
      <c r="A776" t="str">
        <f>[1]raw_orders!A776</f>
        <v>ORD-2025-10775</v>
      </c>
      <c r="B776" s="4">
        <f>IFERROR(DATEVALUE([1]raw_orders!B776), "Invalid Date")</f>
        <v>45876</v>
      </c>
      <c r="C776" s="4">
        <f>IFERROR(DATEVALUE([1]raw_orders!C776), "Invalid Date")</f>
        <v>45876</v>
      </c>
      <c r="D776" t="str">
        <f>[1]raw_orders!D776</f>
        <v>CUST-1182</v>
      </c>
      <c r="E776" t="str">
        <f>PROPER(TRIM([1]raw_orders!E776))</f>
        <v>Kabir Singh</v>
      </c>
      <c r="F776" t="str">
        <f>PROPER(TRIM([1]raw_orders!F776))</f>
        <v>Consumer</v>
      </c>
      <c r="G776" t="str">
        <f>IF(TRIM([1]raw_orders!G776)="","Unknown",PROPER(TRIM([1]raw_orders!G776)))</f>
        <v>West</v>
      </c>
      <c r="H776" t="str">
        <f>PROPER(TRIM([1]raw_orders!H776))</f>
        <v>Rajasthan</v>
      </c>
      <c r="I776" t="str">
        <f>PROPER(TRIM([1]raw_orders!I776))</f>
        <v>Udaipur</v>
      </c>
      <c r="J776" t="str">
        <f>PROPER(TRIM([1]raw_orders!J776))</f>
        <v>Technology</v>
      </c>
      <c r="K776" t="str">
        <f>PROPER(TRIM([1]raw_orders!K776))</f>
        <v>Machines</v>
      </c>
      <c r="L776" t="str">
        <f>[1]raw_orders!L776</f>
        <v>Smart Machines 789</v>
      </c>
      <c r="M776" t="str">
        <f>IF(TRIM([1]raw_orders!M776)="","Unknown",PROPER(TRIM([1]raw_orders!M776)))</f>
        <v>Unknown</v>
      </c>
      <c r="N776" s="5">
        <f>[1]raw_orders!N776</f>
        <v>9</v>
      </c>
      <c r="O776" s="5">
        <f>[1]raw_orders!O776</f>
        <v>1076.75</v>
      </c>
      <c r="P776" s="5">
        <f>[1]raw_orders!P776</f>
        <v>0.2</v>
      </c>
      <c r="Q776" t="str">
        <f>PROPER(TRIM([1]raw_orders!T776))</f>
        <v>Paid</v>
      </c>
      <c r="R776" t="str">
        <f>PROPER(TRIM([1]raw_orders!U776))</f>
        <v>Completed</v>
      </c>
      <c r="S776" s="5">
        <f>[1]raw_orders!S776</f>
        <v>3063.3</v>
      </c>
      <c r="T776" s="5">
        <f t="shared" si="96"/>
        <v>30.633000000000003</v>
      </c>
      <c r="U776" s="5">
        <f t="shared" si="97"/>
        <v>-287165.99475000001</v>
      </c>
      <c r="V776" s="5">
        <f t="shared" si="98"/>
        <v>-287166.19475000002</v>
      </c>
      <c r="W776" s="5">
        <f t="shared" si="99"/>
        <v>1.0000006964612931</v>
      </c>
      <c r="X776" s="5">
        <f t="shared" si="100"/>
        <v>0</v>
      </c>
      <c r="Y776" s="5">
        <f t="shared" si="101"/>
        <v>8</v>
      </c>
      <c r="Z776" s="5">
        <f t="shared" si="102"/>
        <v>2025</v>
      </c>
      <c r="AA776" t="str">
        <f t="shared" si="103"/>
        <v>Warning</v>
      </c>
    </row>
    <row r="777" spans="1:27" x14ac:dyDescent="0.3">
      <c r="A777" t="str">
        <f>[1]raw_orders!A777</f>
        <v>ORD-2024-10776</v>
      </c>
      <c r="B777" s="4">
        <f>IFERROR(DATEVALUE([1]raw_orders!B777), "Invalid Date")</f>
        <v>45396</v>
      </c>
      <c r="C777" s="4">
        <f>IFERROR(DATEVALUE([1]raw_orders!C777), "Invalid Date")</f>
        <v>45404</v>
      </c>
      <c r="D777" t="str">
        <f>[1]raw_orders!D777</f>
        <v>CUST-4461</v>
      </c>
      <c r="E777" t="str">
        <f>PROPER(TRIM([1]raw_orders!E777))</f>
        <v>Arjun Bose</v>
      </c>
      <c r="F777" t="str">
        <f>PROPER(TRIM([1]raw_orders!F777))</f>
        <v>Consumer</v>
      </c>
      <c r="G777" t="str">
        <f>IF(TRIM([1]raw_orders!G777)="","Unknown",PROPER(TRIM([1]raw_orders!G777)))</f>
        <v>North</v>
      </c>
      <c r="H777" t="str">
        <f>PROPER(TRIM([1]raw_orders!H777))</f>
        <v>Haryana</v>
      </c>
      <c r="I777" t="str">
        <f>PROPER(TRIM([1]raw_orders!I777))</f>
        <v>Gurugram</v>
      </c>
      <c r="J777" t="str">
        <f>PROPER(TRIM([1]raw_orders!J777))</f>
        <v>Technology</v>
      </c>
      <c r="K777" t="str">
        <f>PROPER(TRIM([1]raw_orders!K777))</f>
        <v>Accessories</v>
      </c>
      <c r="L777" t="str">
        <f>[1]raw_orders!L777</f>
        <v>Elite Accessories 312</v>
      </c>
      <c r="M777" t="str">
        <f>IF(TRIM([1]raw_orders!M777)="","Unknown",PROPER(TRIM([1]raw_orders!M777)))</f>
        <v>Standard Class</v>
      </c>
      <c r="N777" s="5">
        <f>[1]raw_orders!N777</f>
        <v>8</v>
      </c>
      <c r="O777" s="5">
        <f>[1]raw_orders!O777</f>
        <v>3956.12</v>
      </c>
      <c r="P777" s="5">
        <f>[1]raw_orders!P777</f>
        <v>0.25</v>
      </c>
      <c r="Q777" t="str">
        <f>PROPER(TRIM([1]raw_orders!T777))</f>
        <v>Paid</v>
      </c>
      <c r="R777" t="str">
        <f>PROPER(TRIM([1]raw_orders!U777))</f>
        <v>Completed</v>
      </c>
      <c r="S777" s="5">
        <f>[1]raw_orders!S777</f>
        <v>9845.82</v>
      </c>
      <c r="T777" s="5">
        <f t="shared" si="96"/>
        <v>98.458199999999991</v>
      </c>
      <c r="U777" s="5">
        <f t="shared" si="97"/>
        <v>-3084450.6734719998</v>
      </c>
      <c r="V777" s="5">
        <f t="shared" si="98"/>
        <v>-3084450.9234719998</v>
      </c>
      <c r="W777" s="5">
        <f t="shared" si="99"/>
        <v>1.0000000810517096</v>
      </c>
      <c r="X777" s="5">
        <f t="shared" si="100"/>
        <v>8</v>
      </c>
      <c r="Y777" s="5">
        <f t="shared" si="101"/>
        <v>4</v>
      </c>
      <c r="Z777" s="5">
        <f t="shared" si="102"/>
        <v>2024</v>
      </c>
      <c r="AA777" t="str">
        <f t="shared" si="103"/>
        <v>Clean</v>
      </c>
    </row>
    <row r="778" spans="1:27" x14ac:dyDescent="0.3">
      <c r="A778" t="str">
        <f>[1]raw_orders!A778</f>
        <v>ORD-2025-10777</v>
      </c>
      <c r="B778" s="4">
        <f>IFERROR(DATEVALUE([1]raw_orders!B778), "Invalid Date")</f>
        <v>45816</v>
      </c>
      <c r="C778" s="4" t="str">
        <f>IFERROR(DATEVALUE([1]raw_orders!C778), "Invalid Date")</f>
        <v>Invalid Date</v>
      </c>
      <c r="D778" t="str">
        <f>[1]raw_orders!D778</f>
        <v>CUST-9690</v>
      </c>
      <c r="E778" t="str">
        <f>PROPER(TRIM([1]raw_orders!E778))</f>
        <v>Aditi Sen</v>
      </c>
      <c r="F778" t="str">
        <f>PROPER(TRIM([1]raw_orders!F778))</f>
        <v>Small Business</v>
      </c>
      <c r="G778" t="str">
        <f>IF(TRIM([1]raw_orders!G778)="","Unknown",PROPER(TRIM([1]raw_orders!G778)))</f>
        <v>North</v>
      </c>
      <c r="H778" t="str">
        <f>PROPER(TRIM([1]raw_orders!H778))</f>
        <v>Rajasthan</v>
      </c>
      <c r="I778" t="str">
        <f>PROPER(TRIM([1]raw_orders!I778))</f>
        <v>Jaipur</v>
      </c>
      <c r="J778" t="str">
        <f>PROPER(TRIM([1]raw_orders!J778))</f>
        <v>Technology</v>
      </c>
      <c r="K778" t="str">
        <f>PROPER(TRIM([1]raw_orders!K778))</f>
        <v>Copiers</v>
      </c>
      <c r="L778" t="str">
        <f>[1]raw_orders!L778</f>
        <v>Eco Copiers 528</v>
      </c>
      <c r="M778" t="str">
        <f>IF(TRIM([1]raw_orders!M778)="","Unknown",PROPER(TRIM([1]raw_orders!M778)))</f>
        <v>Second Class</v>
      </c>
      <c r="N778" s="5">
        <f>[1]raw_orders!N778</f>
        <v>7</v>
      </c>
      <c r="O778" s="5">
        <f>[1]raw_orders!O778</f>
        <v>3857.13</v>
      </c>
      <c r="P778" s="5">
        <f>[1]raw_orders!P778</f>
        <v>0</v>
      </c>
      <c r="Q778" t="str">
        <f>PROPER(TRIM([1]raw_orders!T778))</f>
        <v>Paid</v>
      </c>
      <c r="R778" t="str">
        <f>PROPER(TRIM([1]raw_orders!U778))</f>
        <v>Completed</v>
      </c>
      <c r="S778" s="5">
        <f>[1]raw_orders!S778</f>
        <v>9183.93</v>
      </c>
      <c r="T778" s="5">
        <f t="shared" si="96"/>
        <v>91.839300000000009</v>
      </c>
      <c r="U778" s="5">
        <f t="shared" si="97"/>
        <v>-2452652.9244630001</v>
      </c>
      <c r="V778" s="5">
        <f t="shared" si="98"/>
        <v>-2452652.9244630001</v>
      </c>
      <c r="W778" s="5">
        <f t="shared" si="99"/>
        <v>1</v>
      </c>
      <c r="X778" s="5" t="str">
        <f t="shared" si="100"/>
        <v>Invalid Date</v>
      </c>
      <c r="Y778" s="5">
        <f t="shared" si="101"/>
        <v>6</v>
      </c>
      <c r="Z778" s="5">
        <f t="shared" si="102"/>
        <v>2025</v>
      </c>
      <c r="AA778" t="str">
        <f t="shared" si="103"/>
        <v>Clean</v>
      </c>
    </row>
    <row r="779" spans="1:27" x14ac:dyDescent="0.3">
      <c r="A779" t="str">
        <f>[1]raw_orders!A779</f>
        <v>ORD-2024-10778</v>
      </c>
      <c r="B779" s="4">
        <f>IFERROR(DATEVALUE([1]raw_orders!B779), "Invalid Date")</f>
        <v>45326</v>
      </c>
      <c r="C779" s="4">
        <f>IFERROR(DATEVALUE([1]raw_orders!C779), "Invalid Date")</f>
        <v>45328</v>
      </c>
      <c r="D779" t="str">
        <f>[1]raw_orders!D779</f>
        <v>CUST-6879</v>
      </c>
      <c r="E779" t="str">
        <f>PROPER(TRIM([1]raw_orders!E779))</f>
        <v>Kabir Singh</v>
      </c>
      <c r="F779" t="str">
        <f>PROPER(TRIM([1]raw_orders!F779))</f>
        <v>Small Business</v>
      </c>
      <c r="G779" t="str">
        <f>IF(TRIM([1]raw_orders!G779)="","Unknown",PROPER(TRIM([1]raw_orders!G779)))</f>
        <v>West</v>
      </c>
      <c r="H779" t="str">
        <f>PROPER(TRIM([1]raw_orders!H779))</f>
        <v>Madhya Pradesh</v>
      </c>
      <c r="I779" t="str">
        <f>PROPER(TRIM([1]raw_orders!I779))</f>
        <v>Indore</v>
      </c>
      <c r="J779" t="str">
        <f>PROPER(TRIM([1]raw_orders!J779))</f>
        <v>Technology</v>
      </c>
      <c r="K779" t="str">
        <f>PROPER(TRIM([1]raw_orders!K779))</f>
        <v>Accessories</v>
      </c>
      <c r="L779" t="str">
        <f>[1]raw_orders!L779</f>
        <v>Elite Accessories 226</v>
      </c>
      <c r="M779" t="str">
        <f>IF(TRIM([1]raw_orders!M779)="","Unknown",PROPER(TRIM([1]raw_orders!M779)))</f>
        <v>Second Class</v>
      </c>
      <c r="N779" s="5">
        <f>[1]raw_orders!N779</f>
        <v>4</v>
      </c>
      <c r="O779" s="5">
        <f>[1]raw_orders!O779</f>
        <v>1489.74</v>
      </c>
      <c r="P779" s="5">
        <f>[1]raw_orders!P779</f>
        <v>0.15</v>
      </c>
      <c r="Q779" t="str">
        <f>PROPER(TRIM([1]raw_orders!T779))</f>
        <v>Failed</v>
      </c>
      <c r="R779" t="str">
        <f>PROPER(TRIM([1]raw_orders!U779))</f>
        <v>Cancelled</v>
      </c>
      <c r="S779" s="5">
        <f>[1]raw_orders!S779</f>
        <v>1535</v>
      </c>
      <c r="T779" s="5">
        <f t="shared" si="96"/>
        <v>15.35</v>
      </c>
      <c r="U779" s="5">
        <f t="shared" si="97"/>
        <v>-85511.076000000001</v>
      </c>
      <c r="V779" s="5">
        <f t="shared" si="98"/>
        <v>-85511.225999999995</v>
      </c>
      <c r="W779" s="5">
        <f t="shared" si="99"/>
        <v>1.0000017541587243</v>
      </c>
      <c r="X779" s="5">
        <f t="shared" si="100"/>
        <v>2</v>
      </c>
      <c r="Y779" s="5">
        <f t="shared" si="101"/>
        <v>2</v>
      </c>
      <c r="Z779" s="5">
        <f t="shared" si="102"/>
        <v>2024</v>
      </c>
      <c r="AA779" t="str">
        <f t="shared" si="103"/>
        <v>Clean</v>
      </c>
    </row>
    <row r="780" spans="1:27" x14ac:dyDescent="0.3">
      <c r="A780" t="str">
        <f>[1]raw_orders!A780</f>
        <v>ORD-2024-10779</v>
      </c>
      <c r="B780" s="4" t="str">
        <f>IFERROR(DATEVALUE([1]raw_orders!B780), "Invalid Date")</f>
        <v>Invalid Date</v>
      </c>
      <c r="C780" s="4">
        <f>IFERROR(DATEVALUE([1]raw_orders!C780), "Invalid Date")</f>
        <v>45497</v>
      </c>
      <c r="D780" t="str">
        <f>[1]raw_orders!D780</f>
        <v>CUST-4714</v>
      </c>
      <c r="E780" t="str">
        <f>PROPER(TRIM([1]raw_orders!E780))</f>
        <v>Karan Malhotra</v>
      </c>
      <c r="F780" t="str">
        <f>PROPER(TRIM([1]raw_orders!F780))</f>
        <v>Small Business</v>
      </c>
      <c r="G780" t="str">
        <f>IF(TRIM([1]raw_orders!G780)="","Unknown",PROPER(TRIM([1]raw_orders!G780)))</f>
        <v>North</v>
      </c>
      <c r="H780" t="str">
        <f>PROPER(TRIM([1]raw_orders!H780))</f>
        <v>Haryana</v>
      </c>
      <c r="I780" t="str">
        <f>PROPER(TRIM([1]raw_orders!I780))</f>
        <v>Gurugram</v>
      </c>
      <c r="J780" t="str">
        <f>PROPER(TRIM([1]raw_orders!J780))</f>
        <v>Technology</v>
      </c>
      <c r="K780" t="str">
        <f>PROPER(TRIM([1]raw_orders!K780))</f>
        <v>Copiers</v>
      </c>
      <c r="L780" t="str">
        <f>[1]raw_orders!L780</f>
        <v>Pro Copiers 298</v>
      </c>
      <c r="M780" t="str">
        <f>IF(TRIM([1]raw_orders!M780)="","Unknown",PROPER(TRIM([1]raw_orders!M780)))</f>
        <v>Second Class</v>
      </c>
      <c r="N780" s="5">
        <f>[1]raw_orders!N780</f>
        <v>4</v>
      </c>
      <c r="O780" s="5">
        <f>[1]raw_orders!O780</f>
        <v>1676.88</v>
      </c>
      <c r="P780" s="5">
        <f>[1]raw_orders!P780</f>
        <v>0</v>
      </c>
      <c r="Q780" t="str">
        <f>PROPER(TRIM([1]raw_orders!T780))</f>
        <v>Paid</v>
      </c>
      <c r="R780" t="str">
        <f>PROPER(TRIM([1]raw_orders!U780))</f>
        <v>Completed</v>
      </c>
      <c r="S780" s="5">
        <f>[1]raw_orders!S780</f>
        <v>1034.95</v>
      </c>
      <c r="T780" s="5">
        <f t="shared" si="96"/>
        <v>10.349500000000001</v>
      </c>
      <c r="U780" s="5">
        <f t="shared" si="97"/>
        <v>-62711.958240000007</v>
      </c>
      <c r="V780" s="5">
        <f t="shared" si="98"/>
        <v>-62711.958240000007</v>
      </c>
      <c r="W780" s="5">
        <f t="shared" si="99"/>
        <v>1</v>
      </c>
      <c r="X780" s="5" t="str">
        <f t="shared" si="100"/>
        <v>Invalid Date</v>
      </c>
      <c r="Y780" s="5" t="e">
        <f t="shared" si="101"/>
        <v>#VALUE!</v>
      </c>
      <c r="Z780" s="5" t="e">
        <f t="shared" si="102"/>
        <v>#VALUE!</v>
      </c>
      <c r="AA780" t="str">
        <f t="shared" si="103"/>
        <v>Clean</v>
      </c>
    </row>
    <row r="781" spans="1:27" x14ac:dyDescent="0.3">
      <c r="A781" t="str">
        <f>[1]raw_orders!A781</f>
        <v>ORD-2024-10780</v>
      </c>
      <c r="B781" s="4" t="str">
        <f>IFERROR(DATEVALUE([1]raw_orders!B781), "Invalid Date")</f>
        <v>Invalid Date</v>
      </c>
      <c r="C781" s="4">
        <f>IFERROR(DATEVALUE([1]raw_orders!C781), "Invalid Date")</f>
        <v>45311</v>
      </c>
      <c r="D781" t="str">
        <f>[1]raw_orders!D781</f>
        <v>CUST-7547</v>
      </c>
      <c r="E781" t="str">
        <f>PROPER(TRIM([1]raw_orders!E781))</f>
        <v>Priya Menon</v>
      </c>
      <c r="F781" t="str">
        <f>PROPER(TRIM([1]raw_orders!F781))</f>
        <v>Small Business</v>
      </c>
      <c r="G781" t="str">
        <f>IF(TRIM([1]raw_orders!G781)="","Unknown",PROPER(TRIM([1]raw_orders!G781)))</f>
        <v>South</v>
      </c>
      <c r="H781" t="str">
        <f>PROPER(TRIM([1]raw_orders!H781))</f>
        <v>Andhra Pradesh</v>
      </c>
      <c r="I781" t="str">
        <f>PROPER(TRIM([1]raw_orders!I781))</f>
        <v>Vijayawada</v>
      </c>
      <c r="J781" t="str">
        <f>PROPER(TRIM([1]raw_orders!J781))</f>
        <v>Furniture</v>
      </c>
      <c r="K781" t="str">
        <f>PROPER(TRIM([1]raw_orders!K781))</f>
        <v>Chairs</v>
      </c>
      <c r="L781" t="str">
        <f>[1]raw_orders!L781</f>
        <v>Prime Chairs 331</v>
      </c>
      <c r="M781" t="str">
        <f>IF(TRIM([1]raw_orders!M781)="","Unknown",PROPER(TRIM([1]raw_orders!M781)))</f>
        <v>Standard Class</v>
      </c>
      <c r="N781" s="5">
        <f>[1]raw_orders!N781</f>
        <v>4</v>
      </c>
      <c r="O781" s="5">
        <f>[1]raw_orders!O781</f>
        <v>3153.54</v>
      </c>
      <c r="P781" s="5">
        <f>[1]raw_orders!P781</f>
        <v>0.05</v>
      </c>
      <c r="Q781" t="str">
        <f>PROPER(TRIM([1]raw_orders!T781))</f>
        <v>Paid</v>
      </c>
      <c r="R781" t="str">
        <f>PROPER(TRIM([1]raw_orders!U781))</f>
        <v>Completed</v>
      </c>
      <c r="S781" s="5">
        <f>[1]raw_orders!S781</f>
        <v>3410.55</v>
      </c>
      <c r="T781" s="5">
        <f t="shared" si="96"/>
        <v>34.105499999999999</v>
      </c>
      <c r="U781" s="5">
        <f t="shared" si="97"/>
        <v>-417598.07387999998</v>
      </c>
      <c r="V781" s="5">
        <f t="shared" si="98"/>
        <v>-417598.12387999997</v>
      </c>
      <c r="W781" s="5">
        <f t="shared" si="99"/>
        <v>1.0000001197323529</v>
      </c>
      <c r="X781" s="5" t="str">
        <f t="shared" si="100"/>
        <v>Invalid Date</v>
      </c>
      <c r="Y781" s="5" t="e">
        <f t="shared" si="101"/>
        <v>#VALUE!</v>
      </c>
      <c r="Z781" s="5" t="e">
        <f t="shared" si="102"/>
        <v>#VALUE!</v>
      </c>
      <c r="AA781" t="str">
        <f t="shared" si="103"/>
        <v>Clean</v>
      </c>
    </row>
    <row r="782" spans="1:27" x14ac:dyDescent="0.3">
      <c r="A782" t="str">
        <f>[1]raw_orders!A782</f>
        <v>ORD-2024-10781</v>
      </c>
      <c r="B782" s="4">
        <f>IFERROR(DATEVALUE([1]raw_orders!B782), "Invalid Date")</f>
        <v>45508</v>
      </c>
      <c r="C782" s="4">
        <f>IFERROR(DATEVALUE([1]raw_orders!C782), "Invalid Date")</f>
        <v>45573</v>
      </c>
      <c r="D782" t="str">
        <f>[1]raw_orders!D782</f>
        <v>CUST-3288</v>
      </c>
      <c r="E782" t="str">
        <f>PROPER(TRIM([1]raw_orders!E782))</f>
        <v>Diya Patel</v>
      </c>
      <c r="F782" t="str">
        <f>PROPER(TRIM([1]raw_orders!F782))</f>
        <v>Small Business</v>
      </c>
      <c r="G782" t="str">
        <f>IF(TRIM([1]raw_orders!G782)="","Unknown",PROPER(TRIM([1]raw_orders!G782)))</f>
        <v>West</v>
      </c>
      <c r="H782" t="str">
        <f>PROPER(TRIM([1]raw_orders!H782))</f>
        <v>Rajasthan</v>
      </c>
      <c r="I782" t="str">
        <f>PROPER(TRIM([1]raw_orders!I782))</f>
        <v>Udaipur</v>
      </c>
      <c r="J782" t="str">
        <f>PROPER(TRIM([1]raw_orders!J782))</f>
        <v>Furniture</v>
      </c>
      <c r="K782" t="str">
        <f>PROPER(TRIM([1]raw_orders!K782))</f>
        <v>Chairs</v>
      </c>
      <c r="L782" t="str">
        <f>[1]raw_orders!L782</f>
        <v>Classic Chairs 798</v>
      </c>
      <c r="M782" t="str">
        <f>IF(TRIM([1]raw_orders!M782)="","Unknown",PROPER(TRIM([1]raw_orders!M782)))</f>
        <v>Same Day</v>
      </c>
      <c r="N782" s="5">
        <f>[1]raw_orders!N782</f>
        <v>4</v>
      </c>
      <c r="O782" s="5">
        <f>[1]raw_orders!O782</f>
        <v>426.43</v>
      </c>
      <c r="P782" s="5">
        <f>[1]raw_orders!P782</f>
        <v>0.2</v>
      </c>
      <c r="Q782" t="str">
        <f>PROPER(TRIM([1]raw_orders!T782))</f>
        <v>Paid</v>
      </c>
      <c r="R782" t="str">
        <f>PROPER(TRIM([1]raw_orders!U782))</f>
        <v>Completed</v>
      </c>
      <c r="S782" s="5">
        <f>[1]raw_orders!S782</f>
        <v>386.42</v>
      </c>
      <c r="T782" s="5">
        <f t="shared" si="96"/>
        <v>3.8642000000000003</v>
      </c>
      <c r="U782" s="5">
        <f t="shared" si="97"/>
        <v>-4885.5232240000005</v>
      </c>
      <c r="V782" s="5">
        <f t="shared" si="98"/>
        <v>-4885.7232240000003</v>
      </c>
      <c r="W782" s="5">
        <f t="shared" si="99"/>
        <v>1.0000409372734158</v>
      </c>
      <c r="X782" s="5">
        <f t="shared" si="100"/>
        <v>65</v>
      </c>
      <c r="Y782" s="5">
        <f t="shared" si="101"/>
        <v>8</v>
      </c>
      <c r="Z782" s="5">
        <f t="shared" si="102"/>
        <v>2024</v>
      </c>
      <c r="AA782" t="str">
        <f t="shared" si="103"/>
        <v>Clean</v>
      </c>
    </row>
    <row r="783" spans="1:27" x14ac:dyDescent="0.3">
      <c r="A783" t="str">
        <f>[1]raw_orders!A783</f>
        <v>ORD-2024-10782</v>
      </c>
      <c r="B783" s="4">
        <f>IFERROR(DATEVALUE([1]raw_orders!B783), "Invalid Date")</f>
        <v>45324</v>
      </c>
      <c r="C783" s="4">
        <f>IFERROR(DATEVALUE([1]raw_orders!C783), "Invalid Date")</f>
        <v>45332</v>
      </c>
      <c r="D783" t="str">
        <f>[1]raw_orders!D783</f>
        <v>CUST-8597</v>
      </c>
      <c r="E783" t="str">
        <f>PROPER(TRIM([1]raw_orders!E783))</f>
        <v>Karan Malhotra</v>
      </c>
      <c r="F783" t="str">
        <f>PROPER(TRIM([1]raw_orders!F783))</f>
        <v>Home Office</v>
      </c>
      <c r="G783" t="str">
        <f>IF(TRIM([1]raw_orders!G783)="","Unknown",PROPER(TRIM([1]raw_orders!G783)))</f>
        <v>West</v>
      </c>
      <c r="H783" t="str">
        <f>PROPER(TRIM([1]raw_orders!H783))</f>
        <v>Rajasthan</v>
      </c>
      <c r="I783" t="str">
        <f>PROPER(TRIM([1]raw_orders!I783))</f>
        <v>Udaipur</v>
      </c>
      <c r="J783" t="str">
        <f>PROPER(TRIM([1]raw_orders!J783))</f>
        <v>Office Supplies</v>
      </c>
      <c r="K783" t="str">
        <f>PROPER(TRIM([1]raw_orders!K783))</f>
        <v>Labels</v>
      </c>
      <c r="L783" t="str">
        <f>[1]raw_orders!L783</f>
        <v>Classic Labels 204</v>
      </c>
      <c r="M783" t="str">
        <f>IF(TRIM([1]raw_orders!M783)="","Unknown",PROPER(TRIM([1]raw_orders!M783)))</f>
        <v>First Class</v>
      </c>
      <c r="N783" s="5">
        <f>[1]raw_orders!N783</f>
        <v>3</v>
      </c>
      <c r="O783" s="5">
        <f>[1]raw_orders!O783</f>
        <v>383.4</v>
      </c>
      <c r="P783" s="5">
        <f>[1]raw_orders!P783</f>
        <v>0.25</v>
      </c>
      <c r="Q783" t="str">
        <f>PROPER(TRIM([1]raw_orders!T783))</f>
        <v>Pending</v>
      </c>
      <c r="R783" t="str">
        <f>PROPER(TRIM([1]raw_orders!U783))</f>
        <v>Returned</v>
      </c>
      <c r="S783" s="5">
        <f>[1]raw_orders!S783</f>
        <v>258.92</v>
      </c>
      <c r="T783" s="5">
        <f t="shared" si="96"/>
        <v>2.5891999999999999</v>
      </c>
      <c r="U783" s="5">
        <f t="shared" si="97"/>
        <v>-1827.8978399999996</v>
      </c>
      <c r="V783" s="5">
        <f t="shared" si="98"/>
        <v>-1828.1478399999996</v>
      </c>
      <c r="W783" s="5">
        <f t="shared" si="99"/>
        <v>1.000136769131474</v>
      </c>
      <c r="X783" s="5">
        <f t="shared" si="100"/>
        <v>8</v>
      </c>
      <c r="Y783" s="5">
        <f t="shared" si="101"/>
        <v>2</v>
      </c>
      <c r="Z783" s="5">
        <f t="shared" si="102"/>
        <v>2024</v>
      </c>
      <c r="AA783" t="str">
        <f t="shared" si="103"/>
        <v>Clean</v>
      </c>
    </row>
    <row r="784" spans="1:27" x14ac:dyDescent="0.3">
      <c r="A784" t="str">
        <f>[1]raw_orders!A784</f>
        <v>ORD-2025-10783</v>
      </c>
      <c r="B784" s="4">
        <f>IFERROR(DATEVALUE([1]raw_orders!B784), "Invalid Date")</f>
        <v>45730</v>
      </c>
      <c r="C784" s="4" t="str">
        <f>IFERROR(DATEVALUE([1]raw_orders!C784), "Invalid Date")</f>
        <v>Invalid Date</v>
      </c>
      <c r="D784" t="str">
        <f>[1]raw_orders!D784</f>
        <v>CUST-9085</v>
      </c>
      <c r="E784" t="str">
        <f>PROPER(TRIM([1]raw_orders!E784))</f>
        <v>Mira Das</v>
      </c>
      <c r="F784" t="str">
        <f>PROPER(TRIM([1]raw_orders!F784))</f>
        <v>Corporate</v>
      </c>
      <c r="G784" t="str">
        <f>IF(TRIM([1]raw_orders!G784)="","Unknown",PROPER(TRIM([1]raw_orders!G784)))</f>
        <v>East</v>
      </c>
      <c r="H784" t="str">
        <f>PROPER(TRIM([1]raw_orders!H784))</f>
        <v>West Bengal</v>
      </c>
      <c r="I784" t="str">
        <f>PROPER(TRIM([1]raw_orders!I784))</f>
        <v>Kolkata</v>
      </c>
      <c r="J784" t="str">
        <f>PROPER(TRIM([1]raw_orders!J784))</f>
        <v>Technology</v>
      </c>
      <c r="K784" t="str">
        <f>PROPER(TRIM([1]raw_orders!K784))</f>
        <v>Copiers</v>
      </c>
      <c r="L784" t="str">
        <f>[1]raw_orders!L784</f>
        <v>Basic Copiers 254</v>
      </c>
      <c r="M784" t="str">
        <f>IF(TRIM([1]raw_orders!M784)="","Unknown",PROPER(TRIM([1]raw_orders!M784)))</f>
        <v>Standard Class</v>
      </c>
      <c r="N784" s="5">
        <f>[1]raw_orders!N784</f>
        <v>2</v>
      </c>
      <c r="O784" s="5">
        <f>[1]raw_orders!O784</f>
        <v>669.63</v>
      </c>
      <c r="P784" s="5">
        <f>[1]raw_orders!P784</f>
        <v>0.15</v>
      </c>
      <c r="Q784" t="str">
        <f>PROPER(TRIM([1]raw_orders!T784))</f>
        <v>Paid</v>
      </c>
      <c r="R784" t="str">
        <f>PROPER(TRIM([1]raw_orders!U784))</f>
        <v>Completed</v>
      </c>
      <c r="S784" s="5">
        <f>[1]raw_orders!S784</f>
        <v>341.03</v>
      </c>
      <c r="T784" s="5">
        <f t="shared" si="96"/>
        <v>3.4102999999999999</v>
      </c>
      <c r="U784" s="5">
        <f t="shared" si="97"/>
        <v>-3228.0183779999998</v>
      </c>
      <c r="V784" s="5">
        <f t="shared" si="98"/>
        <v>-3228.1683779999998</v>
      </c>
      <c r="W784" s="5">
        <f t="shared" si="99"/>
        <v>1.0000464681369297</v>
      </c>
      <c r="X784" s="5" t="str">
        <f t="shared" si="100"/>
        <v>Invalid Date</v>
      </c>
      <c r="Y784" s="5">
        <f t="shared" si="101"/>
        <v>3</v>
      </c>
      <c r="Z784" s="5">
        <f t="shared" si="102"/>
        <v>2025</v>
      </c>
      <c r="AA784" t="str">
        <f t="shared" si="103"/>
        <v>Clean</v>
      </c>
    </row>
    <row r="785" spans="1:27" x14ac:dyDescent="0.3">
      <c r="A785" t="str">
        <f>[1]raw_orders!A785</f>
        <v>ORD-2024-10784</v>
      </c>
      <c r="B785" s="4">
        <f>IFERROR(DATEVALUE([1]raw_orders!B785), "Invalid Date")</f>
        <v>45450</v>
      </c>
      <c r="C785" s="4">
        <f>IFERROR(DATEVALUE([1]raw_orders!C785), "Invalid Date")</f>
        <v>45450</v>
      </c>
      <c r="D785" t="str">
        <f>[1]raw_orders!D785</f>
        <v>CUST-7746</v>
      </c>
      <c r="E785" t="str">
        <f>PROPER(TRIM([1]raw_orders!E785))</f>
        <v>Aarav Sharma</v>
      </c>
      <c r="F785" t="str">
        <f>PROPER(TRIM([1]raw_orders!F785))</f>
        <v>Small Business</v>
      </c>
      <c r="G785" t="str">
        <f>IF(TRIM([1]raw_orders!G785)="","Unknown",PROPER(TRIM([1]raw_orders!G785)))</f>
        <v>East</v>
      </c>
      <c r="H785" t="str">
        <f>PROPER(TRIM([1]raw_orders!H785))</f>
        <v>Bihar</v>
      </c>
      <c r="I785" t="str">
        <f>PROPER(TRIM([1]raw_orders!I785))</f>
        <v>Patna</v>
      </c>
      <c r="J785" t="str">
        <f>PROPER(TRIM([1]raw_orders!J785))</f>
        <v>Office Supplies</v>
      </c>
      <c r="K785" t="str">
        <f>PROPER(TRIM([1]raw_orders!K785))</f>
        <v>Art</v>
      </c>
      <c r="L785" t="str">
        <f>[1]raw_orders!L785</f>
        <v>Basic Art 709</v>
      </c>
      <c r="M785" t="str">
        <f>IF(TRIM([1]raw_orders!M785)="","Unknown",PROPER(TRIM([1]raw_orders!M785)))</f>
        <v>Second Class</v>
      </c>
      <c r="N785" s="5">
        <f>[1]raw_orders!N785</f>
        <v>1</v>
      </c>
      <c r="O785" s="5">
        <f>[1]raw_orders!O785</f>
        <v>2581.9299999999998</v>
      </c>
      <c r="P785" s="5">
        <f>[1]raw_orders!P785</f>
        <v>0.05</v>
      </c>
      <c r="Q785" t="str">
        <f>PROPER(TRIM([1]raw_orders!T785))</f>
        <v>Paid</v>
      </c>
      <c r="R785" t="str">
        <f>PROPER(TRIM([1]raw_orders!U785))</f>
        <v>Completed</v>
      </c>
      <c r="S785" s="5">
        <f>[1]raw_orders!S785</f>
        <v>546.13</v>
      </c>
      <c r="T785" s="5">
        <f t="shared" si="96"/>
        <v>5.4612999999999996</v>
      </c>
      <c r="U785" s="5">
        <f t="shared" si="97"/>
        <v>-11518.764308999998</v>
      </c>
      <c r="V785" s="5">
        <f t="shared" si="98"/>
        <v>-11518.814308999998</v>
      </c>
      <c r="W785" s="5">
        <f t="shared" si="99"/>
        <v>1.000004340743387</v>
      </c>
      <c r="X785" s="5">
        <f t="shared" si="100"/>
        <v>0</v>
      </c>
      <c r="Y785" s="5">
        <f t="shared" si="101"/>
        <v>6</v>
      </c>
      <c r="Z785" s="5">
        <f t="shared" si="102"/>
        <v>2024</v>
      </c>
      <c r="AA785" t="str">
        <f t="shared" si="103"/>
        <v>Clean</v>
      </c>
    </row>
    <row r="786" spans="1:27" x14ac:dyDescent="0.3">
      <c r="A786" t="str">
        <f>[1]raw_orders!A786</f>
        <v>ORD-2025-10785</v>
      </c>
      <c r="B786" s="4">
        <f>IFERROR(DATEVALUE([1]raw_orders!B786), "Invalid Date")</f>
        <v>45757</v>
      </c>
      <c r="C786" s="4">
        <f>IFERROR(DATEVALUE([1]raw_orders!C786), "Invalid Date")</f>
        <v>45935</v>
      </c>
      <c r="D786" t="str">
        <f>[1]raw_orders!D786</f>
        <v>CUST-3119</v>
      </c>
      <c r="E786" t="str">
        <f>PROPER(TRIM([1]raw_orders!E786))</f>
        <v>Priya Menon</v>
      </c>
      <c r="F786" t="str">
        <f>PROPER(TRIM([1]raw_orders!F786))</f>
        <v>Corporate</v>
      </c>
      <c r="G786" t="str">
        <f>IF(TRIM([1]raw_orders!G786)="","Unknown",PROPER(TRIM([1]raw_orders!G786)))</f>
        <v>North</v>
      </c>
      <c r="H786" t="str">
        <f>PROPER(TRIM([1]raw_orders!H786))</f>
        <v>Punjab</v>
      </c>
      <c r="I786" t="str">
        <f>PROPER(TRIM([1]raw_orders!I786))</f>
        <v>Ludhiana</v>
      </c>
      <c r="J786" t="str">
        <f>PROPER(TRIM([1]raw_orders!J786))</f>
        <v>Technology</v>
      </c>
      <c r="K786" t="str">
        <f>PROPER(TRIM([1]raw_orders!K786))</f>
        <v>Copiers</v>
      </c>
      <c r="L786" t="str">
        <f>[1]raw_orders!L786</f>
        <v>Max Copiers 551</v>
      </c>
      <c r="M786" t="str">
        <f>IF(TRIM([1]raw_orders!M786)="","Unknown",PROPER(TRIM([1]raw_orders!M786)))</f>
        <v>First Class</v>
      </c>
      <c r="N786" s="5">
        <f>[1]raw_orders!N786</f>
        <v>4</v>
      </c>
      <c r="O786" s="5">
        <f>[1]raw_orders!O786</f>
        <v>418.18</v>
      </c>
      <c r="P786" s="5">
        <f>[1]raw_orders!P786</f>
        <v>0.05</v>
      </c>
      <c r="Q786" t="str">
        <f>PROPER(TRIM([1]raw_orders!T786))</f>
        <v>Paid</v>
      </c>
      <c r="R786" t="str">
        <f>PROPER(TRIM([1]raw_orders!U786))</f>
        <v>Completed</v>
      </c>
      <c r="S786" s="5">
        <f>[1]raw_orders!S786</f>
        <v>504.42</v>
      </c>
      <c r="T786" s="5">
        <f t="shared" si="96"/>
        <v>5.0442</v>
      </c>
      <c r="U786" s="5">
        <f t="shared" si="97"/>
        <v>-6764.8142239999997</v>
      </c>
      <c r="V786" s="5">
        <f t="shared" si="98"/>
        <v>-6764.8642239999999</v>
      </c>
      <c r="W786" s="5">
        <f t="shared" si="99"/>
        <v>1.0000073911859726</v>
      </c>
      <c r="X786" s="5">
        <f t="shared" si="100"/>
        <v>178</v>
      </c>
      <c r="Y786" s="5">
        <f t="shared" si="101"/>
        <v>4</v>
      </c>
      <c r="Z786" s="5">
        <f t="shared" si="102"/>
        <v>2025</v>
      </c>
      <c r="AA786" t="str">
        <f t="shared" si="103"/>
        <v>Clean</v>
      </c>
    </row>
    <row r="787" spans="1:27" x14ac:dyDescent="0.3">
      <c r="A787" t="str">
        <f>[1]raw_orders!A787</f>
        <v>ORD-2024-10786</v>
      </c>
      <c r="B787" s="4">
        <f>IFERROR(DATEVALUE([1]raw_orders!B787), "Invalid Date")</f>
        <v>45435</v>
      </c>
      <c r="C787" s="4">
        <f>IFERROR(DATEVALUE([1]raw_orders!C787), "Invalid Date")</f>
        <v>45441</v>
      </c>
      <c r="D787" t="str">
        <f>[1]raw_orders!D787</f>
        <v>CUST-7518</v>
      </c>
      <c r="E787" t="str">
        <f>PROPER(TRIM([1]raw_orders!E787))</f>
        <v>Diya Patel</v>
      </c>
      <c r="F787" t="str">
        <f>PROPER(TRIM([1]raw_orders!F787))</f>
        <v>Small Business</v>
      </c>
      <c r="G787" t="str">
        <f>IF(TRIM([1]raw_orders!G787)="","Unknown",PROPER(TRIM([1]raw_orders!G787)))</f>
        <v>North</v>
      </c>
      <c r="H787" t="str">
        <f>PROPER(TRIM([1]raw_orders!H787))</f>
        <v>Haryana</v>
      </c>
      <c r="I787" t="str">
        <f>PROPER(TRIM([1]raw_orders!I787))</f>
        <v>Gurugram</v>
      </c>
      <c r="J787" t="str">
        <f>PROPER(TRIM([1]raw_orders!J787))</f>
        <v>Office Supplies</v>
      </c>
      <c r="K787" t="str">
        <f>PROPER(TRIM([1]raw_orders!K787))</f>
        <v>Storage</v>
      </c>
      <c r="L787" t="str">
        <f>[1]raw_orders!L787</f>
        <v>Eco Storage 183</v>
      </c>
      <c r="M787" t="str">
        <f>IF(TRIM([1]raw_orders!M787)="","Unknown",PROPER(TRIM([1]raw_orders!M787)))</f>
        <v>Same Day</v>
      </c>
      <c r="N787" s="5">
        <f>[1]raw_orders!N787</f>
        <v>2</v>
      </c>
      <c r="O787" s="5">
        <f>[1]raw_orders!O787</f>
        <v>3012.94</v>
      </c>
      <c r="P787" s="5">
        <f>[1]raw_orders!P787</f>
        <v>0.25</v>
      </c>
      <c r="Q787" t="str">
        <f>PROPER(TRIM([1]raw_orders!T787))</f>
        <v>Failed</v>
      </c>
      <c r="R787" t="str">
        <f>PROPER(TRIM([1]raw_orders!U787))</f>
        <v>Cancelled</v>
      </c>
      <c r="S787" s="5">
        <f>[1]raw_orders!S787</f>
        <v>1275.55</v>
      </c>
      <c r="T787" s="5">
        <f t="shared" si="96"/>
        <v>12.7555</v>
      </c>
      <c r="U787" s="5">
        <f t="shared" si="97"/>
        <v>-70837.232340000002</v>
      </c>
      <c r="V787" s="5">
        <f t="shared" si="98"/>
        <v>-70837.482340000002</v>
      </c>
      <c r="W787" s="5">
        <f t="shared" si="99"/>
        <v>1.0000035292174996</v>
      </c>
      <c r="X787" s="5">
        <f t="shared" si="100"/>
        <v>6</v>
      </c>
      <c r="Y787" s="5">
        <f t="shared" si="101"/>
        <v>5</v>
      </c>
      <c r="Z787" s="5">
        <f t="shared" si="102"/>
        <v>2024</v>
      </c>
      <c r="AA787" t="str">
        <f t="shared" si="103"/>
        <v>Clean</v>
      </c>
    </row>
    <row r="788" spans="1:27" x14ac:dyDescent="0.3">
      <c r="A788" t="str">
        <f>[1]raw_orders!A788</f>
        <v>ORD-2025-10787</v>
      </c>
      <c r="B788" s="4">
        <f>IFERROR(DATEVALUE([1]raw_orders!B788), "Invalid Date")</f>
        <v>45815</v>
      </c>
      <c r="C788" s="4">
        <f>IFERROR(DATEVALUE([1]raw_orders!C788), "Invalid Date")</f>
        <v>45846</v>
      </c>
      <c r="D788" t="str">
        <f>[1]raw_orders!D788</f>
        <v>CUST-1343</v>
      </c>
      <c r="E788" t="str">
        <f>PROPER(TRIM([1]raw_orders!E788))</f>
        <v>Ananya Rao</v>
      </c>
      <c r="F788" t="str">
        <f>PROPER(TRIM([1]raw_orders!F788))</f>
        <v>Corporate</v>
      </c>
      <c r="G788" t="str">
        <f>IF(TRIM([1]raw_orders!G788)="","Unknown",PROPER(TRIM([1]raw_orders!G788)))</f>
        <v>North</v>
      </c>
      <c r="H788" t="str">
        <f>PROPER(TRIM([1]raw_orders!H788))</f>
        <v>Rajasthan</v>
      </c>
      <c r="I788" t="str">
        <f>PROPER(TRIM([1]raw_orders!I788))</f>
        <v>Jaipur</v>
      </c>
      <c r="J788" t="str">
        <f>PROPER(TRIM([1]raw_orders!J788))</f>
        <v>Furniture</v>
      </c>
      <c r="K788" t="str">
        <f>PROPER(TRIM([1]raw_orders!K788))</f>
        <v>Furnishings</v>
      </c>
      <c r="L788" t="str">
        <f>[1]raw_orders!L788</f>
        <v>Pro Furnishings 233</v>
      </c>
      <c r="M788" t="str">
        <f>IF(TRIM([1]raw_orders!M788)="","Unknown",PROPER(TRIM([1]raw_orders!M788)))</f>
        <v>Unknown</v>
      </c>
      <c r="N788" s="5">
        <f>[1]raw_orders!N788</f>
        <v>4</v>
      </c>
      <c r="O788" s="5">
        <f>[1]raw_orders!O788</f>
        <v>715.45</v>
      </c>
      <c r="P788" s="5">
        <f>[1]raw_orders!P788</f>
        <v>0.05</v>
      </c>
      <c r="Q788" t="str">
        <f>PROPER(TRIM([1]raw_orders!T788))</f>
        <v>Refunded</v>
      </c>
      <c r="R788" t="str">
        <f>PROPER(TRIM([1]raw_orders!U788))</f>
        <v>Returned</v>
      </c>
      <c r="S788" s="5">
        <f>[1]raw_orders!S788</f>
        <v>653.66</v>
      </c>
      <c r="T788" s="5">
        <f t="shared" si="96"/>
        <v>6.5366</v>
      </c>
      <c r="U788" s="5">
        <f t="shared" si="97"/>
        <v>-15844.641880000001</v>
      </c>
      <c r="V788" s="5">
        <f t="shared" si="98"/>
        <v>-15844.69188</v>
      </c>
      <c r="W788" s="5">
        <f t="shared" si="99"/>
        <v>1.0000031556409024</v>
      </c>
      <c r="X788" s="5">
        <f t="shared" si="100"/>
        <v>31</v>
      </c>
      <c r="Y788" s="5">
        <f t="shared" si="101"/>
        <v>6</v>
      </c>
      <c r="Z788" s="5">
        <f t="shared" si="102"/>
        <v>2025</v>
      </c>
      <c r="AA788" t="str">
        <f t="shared" si="103"/>
        <v>Warning</v>
      </c>
    </row>
    <row r="789" spans="1:27" x14ac:dyDescent="0.3">
      <c r="A789" t="str">
        <f>[1]raw_orders!A789</f>
        <v>ORD-2024-10788</v>
      </c>
      <c r="B789" s="4">
        <f>IFERROR(DATEVALUE([1]raw_orders!B789), "Invalid Date")</f>
        <v>45547</v>
      </c>
      <c r="C789" s="4">
        <f>IFERROR(DATEVALUE([1]raw_orders!C789), "Invalid Date")</f>
        <v>45553</v>
      </c>
      <c r="D789" t="str">
        <f>[1]raw_orders!D789</f>
        <v>CUST-7548</v>
      </c>
      <c r="E789" t="str">
        <f>PROPER(TRIM([1]raw_orders!E789))</f>
        <v>Ananya Rao</v>
      </c>
      <c r="F789" t="str">
        <f>PROPER(TRIM([1]raw_orders!F789))</f>
        <v>Home Office</v>
      </c>
      <c r="G789" t="str">
        <f>IF(TRIM([1]raw_orders!G789)="","Unknown",PROPER(TRIM([1]raw_orders!G789)))</f>
        <v>East</v>
      </c>
      <c r="H789" t="str">
        <f>PROPER(TRIM([1]raw_orders!H789))</f>
        <v>Bihar</v>
      </c>
      <c r="I789" t="str">
        <f>PROPER(TRIM([1]raw_orders!I789))</f>
        <v>Patna</v>
      </c>
      <c r="J789" t="str">
        <f>PROPER(TRIM([1]raw_orders!J789))</f>
        <v>Office Supplies</v>
      </c>
      <c r="K789" t="str">
        <f>PROPER(TRIM([1]raw_orders!K789))</f>
        <v>Paper</v>
      </c>
      <c r="L789" t="str">
        <f>[1]raw_orders!L789</f>
        <v>Prime Paper 878</v>
      </c>
      <c r="M789" t="str">
        <f>IF(TRIM([1]raw_orders!M789)="","Unknown",PROPER(TRIM([1]raw_orders!M789)))</f>
        <v>Second Class</v>
      </c>
      <c r="N789" s="5">
        <f>[1]raw_orders!N789</f>
        <v>2</v>
      </c>
      <c r="O789" s="5">
        <f>[1]raw_orders!O789</f>
        <v>3718.77</v>
      </c>
      <c r="P789" s="5">
        <f>[1]raw_orders!P789</f>
        <v>0.05</v>
      </c>
      <c r="Q789" t="str">
        <f>PROPER(TRIM([1]raw_orders!T789))</f>
        <v>Paid</v>
      </c>
      <c r="R789" t="str">
        <f>PROPER(TRIM([1]raw_orders!U789))</f>
        <v>Completed</v>
      </c>
      <c r="S789" s="5">
        <f>[1]raw_orders!S789</f>
        <v>2150.39</v>
      </c>
      <c r="T789" s="5">
        <f t="shared" si="96"/>
        <v>21.503899999999998</v>
      </c>
      <c r="U789" s="5">
        <f t="shared" si="97"/>
        <v>-152498.57640599998</v>
      </c>
      <c r="V789" s="5">
        <f t="shared" si="98"/>
        <v>-152498.62640599997</v>
      </c>
      <c r="W789" s="5">
        <f t="shared" si="99"/>
        <v>1.0000003278719132</v>
      </c>
      <c r="X789" s="5">
        <f t="shared" si="100"/>
        <v>6</v>
      </c>
      <c r="Y789" s="5">
        <f t="shared" si="101"/>
        <v>9</v>
      </c>
      <c r="Z789" s="5">
        <f t="shared" si="102"/>
        <v>2024</v>
      </c>
      <c r="AA789" t="str">
        <f t="shared" si="103"/>
        <v>Clean</v>
      </c>
    </row>
    <row r="790" spans="1:27" x14ac:dyDescent="0.3">
      <c r="A790" t="str">
        <f>[1]raw_orders!A790</f>
        <v>ORD-2024-10789</v>
      </c>
      <c r="B790" s="4">
        <f>IFERROR(DATEVALUE([1]raw_orders!B790), "Invalid Date")</f>
        <v>45505</v>
      </c>
      <c r="C790" s="4">
        <f>IFERROR(DATEVALUE([1]raw_orders!C790), "Invalid Date")</f>
        <v>45506</v>
      </c>
      <c r="D790" t="str">
        <f>[1]raw_orders!D790</f>
        <v>CUST-3631</v>
      </c>
      <c r="E790" t="str">
        <f>PROPER(TRIM([1]raw_orders!E790))</f>
        <v>Isha Nair</v>
      </c>
      <c r="F790" t="str">
        <f>PROPER(TRIM([1]raw_orders!F790))</f>
        <v>Corporate</v>
      </c>
      <c r="G790" t="str">
        <f>IF(TRIM([1]raw_orders!G790)="","Unknown",PROPER(TRIM([1]raw_orders!G790)))</f>
        <v>North</v>
      </c>
      <c r="H790" t="str">
        <f>PROPER(TRIM([1]raw_orders!H790))</f>
        <v>Uttar Pradesh</v>
      </c>
      <c r="I790" t="str">
        <f>PROPER(TRIM([1]raw_orders!I790))</f>
        <v>Noida</v>
      </c>
      <c r="J790" t="str">
        <f>PROPER(TRIM([1]raw_orders!J790))</f>
        <v>Furniture</v>
      </c>
      <c r="K790" t="str">
        <f>PROPER(TRIM([1]raw_orders!K790))</f>
        <v>Chairs</v>
      </c>
      <c r="L790" t="str">
        <f>[1]raw_orders!L790</f>
        <v>Smart Chairs 353</v>
      </c>
      <c r="M790" t="str">
        <f>IF(TRIM([1]raw_orders!M790)="","Unknown",PROPER(TRIM([1]raw_orders!M790)))</f>
        <v>Standard Class</v>
      </c>
      <c r="N790" s="5">
        <f>[1]raw_orders!N790</f>
        <v>8</v>
      </c>
      <c r="O790" s="5">
        <f>[1]raw_orders!O790</f>
        <v>2487.64</v>
      </c>
      <c r="P790" s="5">
        <f>[1]raw_orders!P790</f>
        <v>0.1</v>
      </c>
      <c r="Q790" t="str">
        <f>PROPER(TRIM([1]raw_orders!T790))</f>
        <v>Failed</v>
      </c>
      <c r="R790" t="str">
        <f>PROPER(TRIM([1]raw_orders!U790))</f>
        <v>Returned</v>
      </c>
      <c r="S790" s="5">
        <f>[1]raw_orders!S790</f>
        <v>6364.96</v>
      </c>
      <c r="T790" s="5">
        <f t="shared" si="96"/>
        <v>63.6496</v>
      </c>
      <c r="U790" s="5">
        <f t="shared" si="97"/>
        <v>-1246797.2075519999</v>
      </c>
      <c r="V790" s="5">
        <f t="shared" si="98"/>
        <v>-1246797.307552</v>
      </c>
      <c r="W790" s="5">
        <f t="shared" si="99"/>
        <v>1.0000000802055053</v>
      </c>
      <c r="X790" s="5">
        <f t="shared" si="100"/>
        <v>1</v>
      </c>
      <c r="Y790" s="5">
        <f t="shared" si="101"/>
        <v>8</v>
      </c>
      <c r="Z790" s="5">
        <f t="shared" si="102"/>
        <v>2024</v>
      </c>
      <c r="AA790" t="str">
        <f t="shared" si="103"/>
        <v>Clean</v>
      </c>
    </row>
    <row r="791" spans="1:27" x14ac:dyDescent="0.3">
      <c r="A791" t="str">
        <f>[1]raw_orders!A791</f>
        <v>ORD-2025-10790</v>
      </c>
      <c r="B791" s="4">
        <f>IFERROR(DATEVALUE([1]raw_orders!B791), "Invalid Date")</f>
        <v>45723</v>
      </c>
      <c r="C791" s="4">
        <f>IFERROR(DATEVALUE([1]raw_orders!C791), "Invalid Date")</f>
        <v>45724</v>
      </c>
      <c r="D791" t="str">
        <f>[1]raw_orders!D791</f>
        <v>CUST-1453</v>
      </c>
      <c r="E791" t="str">
        <f>PROPER(TRIM([1]raw_orders!E791))</f>
        <v>Priya Menon</v>
      </c>
      <c r="F791" t="str">
        <f>PROPER(TRIM([1]raw_orders!F791))</f>
        <v>Home Office</v>
      </c>
      <c r="G791" t="str">
        <f>IF(TRIM([1]raw_orders!G791)="","Unknown",PROPER(TRIM([1]raw_orders!G791)))</f>
        <v>Unknown</v>
      </c>
      <c r="H791" t="str">
        <f>PROPER(TRIM([1]raw_orders!H791))</f>
        <v>Rajasthan</v>
      </c>
      <c r="I791" t="str">
        <f>PROPER(TRIM([1]raw_orders!I791))</f>
        <v>Udaipur</v>
      </c>
      <c r="J791" t="str">
        <f>PROPER(TRIM([1]raw_orders!J791))</f>
        <v>Technology</v>
      </c>
      <c r="K791" t="str">
        <f>PROPER(TRIM([1]raw_orders!K791))</f>
        <v>Copiers</v>
      </c>
      <c r="L791" t="str">
        <f>[1]raw_orders!L791</f>
        <v>Smart Copiers 408</v>
      </c>
      <c r="M791" t="str">
        <f>IF(TRIM([1]raw_orders!M791)="","Unknown",PROPER(TRIM([1]raw_orders!M791)))</f>
        <v>Same Day</v>
      </c>
      <c r="N791" s="5">
        <f>[1]raw_orders!N791</f>
        <v>4</v>
      </c>
      <c r="O791" s="5">
        <f>[1]raw_orders!O791</f>
        <v>3537.48</v>
      </c>
      <c r="P791" s="5">
        <f>[1]raw_orders!P791</f>
        <v>0</v>
      </c>
      <c r="Q791" t="str">
        <f>PROPER(TRIM([1]raw_orders!T791))</f>
        <v>Paid</v>
      </c>
      <c r="R791" t="str">
        <f>PROPER(TRIM([1]raw_orders!U791))</f>
        <v>Completed</v>
      </c>
      <c r="S791" s="5">
        <f>[1]raw_orders!S791</f>
        <v>4683.41</v>
      </c>
      <c r="T791" s="5">
        <f t="shared" si="96"/>
        <v>46.834099999999999</v>
      </c>
      <c r="U791" s="5">
        <f t="shared" si="97"/>
        <v>-648548.84827199997</v>
      </c>
      <c r="V791" s="5">
        <f t="shared" si="98"/>
        <v>-648548.84827199997</v>
      </c>
      <c r="W791" s="5">
        <f t="shared" si="99"/>
        <v>1</v>
      </c>
      <c r="X791" s="5">
        <f t="shared" si="100"/>
        <v>1</v>
      </c>
      <c r="Y791" s="5">
        <f t="shared" si="101"/>
        <v>3</v>
      </c>
      <c r="Z791" s="5">
        <f t="shared" si="102"/>
        <v>2025</v>
      </c>
      <c r="AA791" t="str">
        <f t="shared" si="103"/>
        <v>Warning</v>
      </c>
    </row>
    <row r="792" spans="1:27" x14ac:dyDescent="0.3">
      <c r="A792" t="str">
        <f>[1]raw_orders!A792</f>
        <v>ORD-2024-10791</v>
      </c>
      <c r="B792" s="4">
        <f>IFERROR(DATEVALUE([1]raw_orders!B792), "Invalid Date")</f>
        <v>45443</v>
      </c>
      <c r="C792" s="4">
        <f>IFERROR(DATEVALUE([1]raw_orders!C792), "Invalid Date")</f>
        <v>45445</v>
      </c>
      <c r="D792" t="str">
        <f>[1]raw_orders!D792</f>
        <v>CUST-1951</v>
      </c>
      <c r="E792" t="str">
        <f>PROPER(TRIM([1]raw_orders!E792))</f>
        <v>Rahul Verma</v>
      </c>
      <c r="F792" t="str">
        <f>PROPER(TRIM([1]raw_orders!F792))</f>
        <v>Corporate</v>
      </c>
      <c r="G792" t="str">
        <f>IF(TRIM([1]raw_orders!G792)="","Unknown",PROPER(TRIM([1]raw_orders!G792)))</f>
        <v>South</v>
      </c>
      <c r="H792" t="str">
        <f>PROPER(TRIM([1]raw_orders!H792))</f>
        <v>Andhra Pradesh</v>
      </c>
      <c r="I792" t="str">
        <f>PROPER(TRIM([1]raw_orders!I792))</f>
        <v>Vijayawada</v>
      </c>
      <c r="J792" t="str">
        <f>PROPER(TRIM([1]raw_orders!J792))</f>
        <v>Office Supplies</v>
      </c>
      <c r="K792" t="str">
        <f>PROPER(TRIM([1]raw_orders!K792))</f>
        <v>Art</v>
      </c>
      <c r="L792" t="str">
        <f>[1]raw_orders!L792</f>
        <v>Classic Art 781</v>
      </c>
      <c r="M792" t="str">
        <f>IF(TRIM([1]raw_orders!M792)="","Unknown",PROPER(TRIM([1]raw_orders!M792)))</f>
        <v>Standard Class</v>
      </c>
      <c r="N792" s="5">
        <f>[1]raw_orders!N792</f>
        <v>8</v>
      </c>
      <c r="O792" s="5">
        <f>[1]raw_orders!O792</f>
        <v>667.59</v>
      </c>
      <c r="P792" s="5">
        <f>[1]raw_orders!P792</f>
        <v>0.2</v>
      </c>
      <c r="Q792" t="str">
        <f>PROPER(TRIM([1]raw_orders!T792))</f>
        <v>Paid</v>
      </c>
      <c r="R792" t="str">
        <f>PROPER(TRIM([1]raw_orders!U792))</f>
        <v>Completed</v>
      </c>
      <c r="S792" s="5">
        <f>[1]raw_orders!S792</f>
        <v>943.66</v>
      </c>
      <c r="T792" s="5">
        <f t="shared" si="96"/>
        <v>9.4366000000000003</v>
      </c>
      <c r="U792" s="5">
        <f t="shared" si="97"/>
        <v>-45057.518352000006</v>
      </c>
      <c r="V792" s="5">
        <f t="shared" si="98"/>
        <v>-45057.718352000004</v>
      </c>
      <c r="W792" s="5">
        <f t="shared" si="99"/>
        <v>1.0000044387708713</v>
      </c>
      <c r="X792" s="5">
        <f t="shared" si="100"/>
        <v>2</v>
      </c>
      <c r="Y792" s="5">
        <f t="shared" si="101"/>
        <v>5</v>
      </c>
      <c r="Z792" s="5">
        <f t="shared" si="102"/>
        <v>2024</v>
      </c>
      <c r="AA792" t="str">
        <f t="shared" si="103"/>
        <v>Clean</v>
      </c>
    </row>
    <row r="793" spans="1:27" x14ac:dyDescent="0.3">
      <c r="A793" t="str">
        <f>[1]raw_orders!A793</f>
        <v>ORD-2024-10792</v>
      </c>
      <c r="B793" s="4">
        <f>IFERROR(DATEVALUE([1]raw_orders!B793), "Invalid Date")</f>
        <v>45567</v>
      </c>
      <c r="C793" s="4">
        <f>IFERROR(DATEVALUE([1]raw_orders!C793), "Invalid Date")</f>
        <v>45571</v>
      </c>
      <c r="D793" t="str">
        <f>[1]raw_orders!D793</f>
        <v>CUST-6300</v>
      </c>
      <c r="E793" t="str">
        <f>PROPER(TRIM([1]raw_orders!E793))</f>
        <v>Rahul Verma</v>
      </c>
      <c r="F793" t="str">
        <f>PROPER(TRIM([1]raw_orders!F793))</f>
        <v>Home Office</v>
      </c>
      <c r="G793" t="str">
        <f>IF(TRIM([1]raw_orders!G793)="","Unknown",PROPER(TRIM([1]raw_orders!G793)))</f>
        <v>South</v>
      </c>
      <c r="H793" t="str">
        <f>PROPER(TRIM([1]raw_orders!H793))</f>
        <v>Karnataka</v>
      </c>
      <c r="I793" t="str">
        <f>PROPER(TRIM([1]raw_orders!I793))</f>
        <v>Bengaluru</v>
      </c>
      <c r="J793" t="str">
        <f>PROPER(TRIM([1]raw_orders!J793))</f>
        <v>Furniture</v>
      </c>
      <c r="K793" t="str">
        <f>PROPER(TRIM([1]raw_orders!K793))</f>
        <v>Bookcases</v>
      </c>
      <c r="L793" t="str">
        <f>[1]raw_orders!L793</f>
        <v>Eco Bookcases 144</v>
      </c>
      <c r="M793" t="str">
        <f>IF(TRIM([1]raw_orders!M793)="","Unknown",PROPER(TRIM([1]raw_orders!M793)))</f>
        <v>Same Day</v>
      </c>
      <c r="N793" s="5">
        <f>[1]raw_orders!N793</f>
        <v>8</v>
      </c>
      <c r="O793" s="5">
        <f>[1]raw_orders!O793</f>
        <v>1558.77</v>
      </c>
      <c r="P793" s="5">
        <f>[1]raw_orders!P793</f>
        <v>0.25</v>
      </c>
      <c r="Q793" t="str">
        <f>PROPER(TRIM([1]raw_orders!T793))</f>
        <v>Paid</v>
      </c>
      <c r="R793" t="str">
        <f>PROPER(TRIM([1]raw_orders!U793))</f>
        <v>Completed</v>
      </c>
      <c r="S793" s="5">
        <f>[1]raw_orders!S793</f>
        <v>4083.21</v>
      </c>
      <c r="T793" s="5">
        <f t="shared" si="96"/>
        <v>40.832099999999997</v>
      </c>
      <c r="U793" s="5">
        <f t="shared" si="97"/>
        <v>-496712.66013599996</v>
      </c>
      <c r="V793" s="5">
        <f t="shared" si="98"/>
        <v>-496712.91013599996</v>
      </c>
      <c r="W793" s="5">
        <f t="shared" si="99"/>
        <v>1.0000005033090962</v>
      </c>
      <c r="X793" s="5">
        <f t="shared" si="100"/>
        <v>4</v>
      </c>
      <c r="Y793" s="5">
        <f t="shared" si="101"/>
        <v>10</v>
      </c>
      <c r="Z793" s="5">
        <f t="shared" si="102"/>
        <v>2024</v>
      </c>
      <c r="AA793" t="str">
        <f t="shared" si="103"/>
        <v>Clean</v>
      </c>
    </row>
    <row r="794" spans="1:27" x14ac:dyDescent="0.3">
      <c r="A794" t="str">
        <f>[1]raw_orders!A794</f>
        <v>ORD-2025-10793</v>
      </c>
      <c r="B794" s="4">
        <f>IFERROR(DATEVALUE([1]raw_orders!B794), "Invalid Date")</f>
        <v>45812</v>
      </c>
      <c r="C794" s="4">
        <f>IFERROR(DATEVALUE([1]raw_orders!C794), "Invalid Date")</f>
        <v>45816</v>
      </c>
      <c r="D794" t="str">
        <f>[1]raw_orders!D794</f>
        <v>CUST-1417</v>
      </c>
      <c r="E794" t="str">
        <f>PROPER(TRIM([1]raw_orders!E794))</f>
        <v>Arjun Bose</v>
      </c>
      <c r="F794" t="str">
        <f>PROPER(TRIM([1]raw_orders!F794))</f>
        <v>Small Business</v>
      </c>
      <c r="G794" t="str">
        <f>IF(TRIM([1]raw_orders!G794)="","Unknown",PROPER(TRIM([1]raw_orders!G794)))</f>
        <v>East</v>
      </c>
      <c r="H794" t="str">
        <f>PROPER(TRIM([1]raw_orders!H794))</f>
        <v>Assam</v>
      </c>
      <c r="I794" t="str">
        <f>PROPER(TRIM([1]raw_orders!I794))</f>
        <v>Guwahati</v>
      </c>
      <c r="J794" t="str">
        <f>PROPER(TRIM([1]raw_orders!J794))</f>
        <v>Furniture</v>
      </c>
      <c r="K794" t="str">
        <f>PROPER(TRIM([1]raw_orders!K794))</f>
        <v>Furnishings</v>
      </c>
      <c r="L794" t="str">
        <f>[1]raw_orders!L794</f>
        <v>Elite Furnishings 852</v>
      </c>
      <c r="M794" t="str">
        <f>IF(TRIM([1]raw_orders!M794)="","Unknown",PROPER(TRIM([1]raw_orders!M794)))</f>
        <v>Second Class</v>
      </c>
      <c r="N794" s="5">
        <f>[1]raw_orders!N794</f>
        <v>1</v>
      </c>
      <c r="O794" s="5">
        <f>[1]raw_orders!O794</f>
        <v>3501.12</v>
      </c>
      <c r="P794" s="5">
        <f>[1]raw_orders!P794</f>
        <v>0.2</v>
      </c>
      <c r="Q794" t="str">
        <f>PROPER(TRIM([1]raw_orders!T794))</f>
        <v>Paid</v>
      </c>
      <c r="R794" t="str">
        <f>PROPER(TRIM([1]raw_orders!U794))</f>
        <v>Returned</v>
      </c>
      <c r="S794" s="5">
        <f>[1]raw_orders!S794</f>
        <v>1064.92</v>
      </c>
      <c r="T794" s="5">
        <f t="shared" si="96"/>
        <v>10.6492</v>
      </c>
      <c r="U794" s="5">
        <f t="shared" si="97"/>
        <v>-33783.007104000004</v>
      </c>
      <c r="V794" s="5">
        <f t="shared" si="98"/>
        <v>-33783.207104000001</v>
      </c>
      <c r="W794" s="5">
        <f t="shared" si="99"/>
        <v>1.0000059201361022</v>
      </c>
      <c r="X794" s="5">
        <f t="shared" si="100"/>
        <v>4</v>
      </c>
      <c r="Y794" s="5">
        <f t="shared" si="101"/>
        <v>6</v>
      </c>
      <c r="Z794" s="5">
        <f t="shared" si="102"/>
        <v>2025</v>
      </c>
      <c r="AA794" t="str">
        <f t="shared" si="103"/>
        <v>Clean</v>
      </c>
    </row>
    <row r="795" spans="1:27" x14ac:dyDescent="0.3">
      <c r="A795" t="str">
        <f>[1]raw_orders!A795</f>
        <v>ORD-2024-10794</v>
      </c>
      <c r="B795" s="4">
        <f>IFERROR(DATEVALUE([1]raw_orders!B795), "Invalid Date")</f>
        <v>45440</v>
      </c>
      <c r="C795" s="4">
        <f>IFERROR(DATEVALUE([1]raw_orders!C795), "Invalid Date")</f>
        <v>45446</v>
      </c>
      <c r="D795" t="str">
        <f>[1]raw_orders!D795</f>
        <v>CUST-5421</v>
      </c>
      <c r="E795" t="str">
        <f>PROPER(TRIM([1]raw_orders!E795))</f>
        <v>Vikram Iyer</v>
      </c>
      <c r="F795" t="str">
        <f>PROPER(TRIM([1]raw_orders!F795))</f>
        <v>Corporate</v>
      </c>
      <c r="G795" t="str">
        <f>IF(TRIM([1]raw_orders!G795)="","Unknown",PROPER(TRIM([1]raw_orders!G795)))</f>
        <v>North</v>
      </c>
      <c r="H795" t="str">
        <f>PROPER(TRIM([1]raw_orders!H795))</f>
        <v>Rajasthan</v>
      </c>
      <c r="I795" t="str">
        <f>PROPER(TRIM([1]raw_orders!I795))</f>
        <v>Jaipur</v>
      </c>
      <c r="J795" t="str">
        <f>PROPER(TRIM([1]raw_orders!J795))</f>
        <v>Technology</v>
      </c>
      <c r="K795" t="str">
        <f>PROPER(TRIM([1]raw_orders!K795))</f>
        <v>Copiers</v>
      </c>
      <c r="L795" t="str">
        <f>[1]raw_orders!L795</f>
        <v>Basic Copiers 238</v>
      </c>
      <c r="M795" t="str">
        <f>IF(TRIM([1]raw_orders!M795)="","Unknown",PROPER(TRIM([1]raw_orders!M795)))</f>
        <v>Second Class</v>
      </c>
      <c r="N795" s="5">
        <f>[1]raw_orders!N795</f>
        <v>5</v>
      </c>
      <c r="O795" s="5">
        <f>[1]raw_orders!O795</f>
        <v>4302.32</v>
      </c>
      <c r="P795" s="5">
        <f>[1]raw_orders!P795</f>
        <v>0</v>
      </c>
      <c r="Q795" t="str">
        <f>PROPER(TRIM([1]raw_orders!T795))</f>
        <v>Paid</v>
      </c>
      <c r="R795" t="str">
        <f>PROPER(TRIM([1]raw_orders!U795))</f>
        <v>Completed</v>
      </c>
      <c r="S795" s="5">
        <f>[1]raw_orders!S795</f>
        <v>6103.13</v>
      </c>
      <c r="T795" s="5">
        <f t="shared" si="96"/>
        <v>61.031300000000002</v>
      </c>
      <c r="U795" s="5">
        <f t="shared" si="97"/>
        <v>-1291369.31308</v>
      </c>
      <c r="V795" s="5">
        <f t="shared" si="98"/>
        <v>-1291369.31308</v>
      </c>
      <c r="W795" s="5">
        <f t="shared" si="99"/>
        <v>1</v>
      </c>
      <c r="X795" s="5">
        <f t="shared" si="100"/>
        <v>6</v>
      </c>
      <c r="Y795" s="5">
        <f t="shared" si="101"/>
        <v>5</v>
      </c>
      <c r="Z795" s="5">
        <f t="shared" si="102"/>
        <v>2024</v>
      </c>
      <c r="AA795" t="str">
        <f t="shared" si="103"/>
        <v>Clean</v>
      </c>
    </row>
    <row r="796" spans="1:27" x14ac:dyDescent="0.3">
      <c r="A796" t="str">
        <f>[1]raw_orders!A796</f>
        <v>ORD-2025-10795</v>
      </c>
      <c r="B796" s="4">
        <f>IFERROR(DATEVALUE([1]raw_orders!B796), "Invalid Date")</f>
        <v>45830</v>
      </c>
      <c r="C796" s="4">
        <f>IFERROR(DATEVALUE([1]raw_orders!C796), "Invalid Date")</f>
        <v>45832</v>
      </c>
      <c r="D796" t="str">
        <f>[1]raw_orders!D796</f>
        <v>CUST-2829</v>
      </c>
      <c r="E796" t="str">
        <f>PROPER(TRIM([1]raw_orders!E796))</f>
        <v>Sneha Kapoor</v>
      </c>
      <c r="F796" t="str">
        <f>PROPER(TRIM([1]raw_orders!F796))</f>
        <v>Corporate</v>
      </c>
      <c r="G796" t="str">
        <f>IF(TRIM([1]raw_orders!G796)="","Unknown",PROPER(TRIM([1]raw_orders!G796)))</f>
        <v>East</v>
      </c>
      <c r="H796" t="str">
        <f>PROPER(TRIM([1]raw_orders!H796))</f>
        <v>Assam</v>
      </c>
      <c r="I796" t="str">
        <f>PROPER(TRIM([1]raw_orders!I796))</f>
        <v>Guwahati</v>
      </c>
      <c r="J796" t="str">
        <f>PROPER(TRIM([1]raw_orders!J796))</f>
        <v>Office Supplies</v>
      </c>
      <c r="K796" t="str">
        <f>PROPER(TRIM([1]raw_orders!K796))</f>
        <v>Paper</v>
      </c>
      <c r="L796" t="str">
        <f>[1]raw_orders!L796</f>
        <v>Elite Paper 847</v>
      </c>
      <c r="M796" t="str">
        <f>IF(TRIM([1]raw_orders!M796)="","Unknown",PROPER(TRIM([1]raw_orders!M796)))</f>
        <v>Standard Class</v>
      </c>
      <c r="N796" s="5">
        <f>[1]raw_orders!N796</f>
        <v>9</v>
      </c>
      <c r="O796" s="5">
        <f>[1]raw_orders!O796</f>
        <v>951.55</v>
      </c>
      <c r="P796" s="5">
        <f>[1]raw_orders!P796</f>
        <v>0.15</v>
      </c>
      <c r="Q796" t="str">
        <f>PROPER(TRIM([1]raw_orders!T796))</f>
        <v>Paid</v>
      </c>
      <c r="R796" t="str">
        <f>PROPER(TRIM([1]raw_orders!U796))</f>
        <v>Completed</v>
      </c>
      <c r="S796" s="5">
        <f>[1]raw_orders!S796</f>
        <v>2408.9699999999998</v>
      </c>
      <c r="T796" s="5">
        <f t="shared" si="96"/>
        <v>24.089699999999997</v>
      </c>
      <c r="U796" s="5">
        <f t="shared" si="97"/>
        <v>-197739.03631499995</v>
      </c>
      <c r="V796" s="5">
        <f t="shared" si="98"/>
        <v>-197739.18631499994</v>
      </c>
      <c r="W796" s="5">
        <f t="shared" si="99"/>
        <v>1.000000758575559</v>
      </c>
      <c r="X796" s="5">
        <f t="shared" si="100"/>
        <v>2</v>
      </c>
      <c r="Y796" s="5">
        <f t="shared" si="101"/>
        <v>6</v>
      </c>
      <c r="Z796" s="5">
        <f t="shared" si="102"/>
        <v>2025</v>
      </c>
      <c r="AA796" t="str">
        <f t="shared" si="103"/>
        <v>Clean</v>
      </c>
    </row>
    <row r="797" spans="1:27" x14ac:dyDescent="0.3">
      <c r="A797" t="str">
        <f>[1]raw_orders!A797</f>
        <v>ORD-2024-10796</v>
      </c>
      <c r="B797" s="4">
        <f>IFERROR(DATEVALUE([1]raw_orders!B797), "Invalid Date")</f>
        <v>45503</v>
      </c>
      <c r="C797" s="4">
        <f>IFERROR(DATEVALUE([1]raw_orders!C797), "Invalid Date")</f>
        <v>45503</v>
      </c>
      <c r="D797" t="str">
        <f>[1]raw_orders!D797</f>
        <v>CUST-6529</v>
      </c>
      <c r="E797" t="str">
        <f>PROPER(TRIM([1]raw_orders!E797))</f>
        <v>Diya Patel</v>
      </c>
      <c r="F797" t="str">
        <f>PROPER(TRIM([1]raw_orders!F797))</f>
        <v>Home Office</v>
      </c>
      <c r="G797" t="str">
        <f>IF(TRIM([1]raw_orders!G797)="","Unknown",PROPER(TRIM([1]raw_orders!G797)))</f>
        <v>East</v>
      </c>
      <c r="H797" t="str">
        <f>PROPER(TRIM([1]raw_orders!H797))</f>
        <v>Odisha</v>
      </c>
      <c r="I797" t="str">
        <f>PROPER(TRIM([1]raw_orders!I797))</f>
        <v>Bhubaneswar</v>
      </c>
      <c r="J797" t="str">
        <f>PROPER(TRIM([1]raw_orders!J797))</f>
        <v>Technology</v>
      </c>
      <c r="K797" t="str">
        <f>PROPER(TRIM([1]raw_orders!K797))</f>
        <v>Copiers</v>
      </c>
      <c r="L797" t="str">
        <f>[1]raw_orders!L797</f>
        <v>Pro Copiers 653</v>
      </c>
      <c r="M797" t="str">
        <f>IF(TRIM([1]raw_orders!M797)="","Unknown",PROPER(TRIM([1]raw_orders!M797)))</f>
        <v>Same Day</v>
      </c>
      <c r="N797" s="5">
        <f>[1]raw_orders!N797</f>
        <v>9</v>
      </c>
      <c r="O797" s="5">
        <f>[1]raw_orders!O797</f>
        <v>2894.66</v>
      </c>
      <c r="P797" s="5">
        <f>[1]raw_orders!P797</f>
        <v>0</v>
      </c>
      <c r="Q797" t="str">
        <f>PROPER(TRIM([1]raw_orders!T797))</f>
        <v>Refunded</v>
      </c>
      <c r="R797" t="str">
        <f>PROPER(TRIM([1]raw_orders!U797))</f>
        <v>Cancelled</v>
      </c>
      <c r="S797" s="5">
        <f>[1]raw_orders!S797</f>
        <v>9168.35</v>
      </c>
      <c r="T797" s="5">
        <f t="shared" si="96"/>
        <v>91.683500000000009</v>
      </c>
      <c r="U797" s="5">
        <f t="shared" si="97"/>
        <v>-2362481.1009900002</v>
      </c>
      <c r="V797" s="5">
        <f t="shared" si="98"/>
        <v>-2362481.1009900002</v>
      </c>
      <c r="W797" s="5">
        <f t="shared" si="99"/>
        <v>1</v>
      </c>
      <c r="X797" s="5">
        <f t="shared" si="100"/>
        <v>0</v>
      </c>
      <c r="Y797" s="5">
        <f t="shared" si="101"/>
        <v>7</v>
      </c>
      <c r="Z797" s="5">
        <f t="shared" si="102"/>
        <v>2024</v>
      </c>
      <c r="AA797" t="str">
        <f t="shared" si="103"/>
        <v>Clean</v>
      </c>
    </row>
    <row r="798" spans="1:27" x14ac:dyDescent="0.3">
      <c r="A798" t="str">
        <f>[1]raw_orders!A798</f>
        <v>ORD-2024-10797</v>
      </c>
      <c r="B798" s="4" t="str">
        <f>IFERROR(DATEVALUE([1]raw_orders!B798), "Invalid Date")</f>
        <v>Invalid Date</v>
      </c>
      <c r="C798" s="4">
        <f>IFERROR(DATEVALUE([1]raw_orders!C798), "Invalid Date")</f>
        <v>45381</v>
      </c>
      <c r="D798" t="str">
        <f>[1]raw_orders!D798</f>
        <v>CUST-3126</v>
      </c>
      <c r="E798" t="str">
        <f>PROPER(TRIM([1]raw_orders!E798))</f>
        <v>Rohan Mehta</v>
      </c>
      <c r="F798" t="str">
        <f>PROPER(TRIM([1]raw_orders!F798))</f>
        <v>Small Business</v>
      </c>
      <c r="G798" t="str">
        <f>IF(TRIM([1]raw_orders!G798)="","Unknown",PROPER(TRIM([1]raw_orders!G798)))</f>
        <v>South</v>
      </c>
      <c r="H798" t="str">
        <f>PROPER(TRIM([1]raw_orders!H798))</f>
        <v>Andhra Pradesh</v>
      </c>
      <c r="I798" t="str">
        <f>PROPER(TRIM([1]raw_orders!I798))</f>
        <v>Vijayawada</v>
      </c>
      <c r="J798" t="str">
        <f>PROPER(TRIM([1]raw_orders!J798))</f>
        <v>Technology</v>
      </c>
      <c r="K798" t="str">
        <f>PROPER(TRIM([1]raw_orders!K798))</f>
        <v>Machines</v>
      </c>
      <c r="L798" t="str">
        <f>[1]raw_orders!L798</f>
        <v>Elite Machines 459</v>
      </c>
      <c r="M798" t="str">
        <f>IF(TRIM([1]raw_orders!M798)="","Unknown",PROPER(TRIM([1]raw_orders!M798)))</f>
        <v>First Class</v>
      </c>
      <c r="N798" s="5">
        <f>[1]raw_orders!N798</f>
        <v>6</v>
      </c>
      <c r="O798" s="5">
        <f>[1]raw_orders!O798</f>
        <v>1894.44</v>
      </c>
      <c r="P798" s="5">
        <f>[1]raw_orders!P798</f>
        <v>0.15</v>
      </c>
      <c r="Q798" t="str">
        <f>PROPER(TRIM([1]raw_orders!T798))</f>
        <v>Paid</v>
      </c>
      <c r="R798" t="str">
        <f>PROPER(TRIM([1]raw_orders!U798))</f>
        <v>Completed</v>
      </c>
      <c r="S798" s="5">
        <f>[1]raw_orders!S798</f>
        <v>3357.87</v>
      </c>
      <c r="T798" s="5">
        <f t="shared" si="96"/>
        <v>33.578699999999998</v>
      </c>
      <c r="U798" s="5">
        <f t="shared" si="97"/>
        <v>-370310.35456799995</v>
      </c>
      <c r="V798" s="5">
        <f t="shared" si="98"/>
        <v>-370310.50456799997</v>
      </c>
      <c r="W798" s="5">
        <f t="shared" si="99"/>
        <v>1.0000004050656379</v>
      </c>
      <c r="X798" s="5" t="str">
        <f t="shared" si="100"/>
        <v>Invalid Date</v>
      </c>
      <c r="Y798" s="5" t="e">
        <f t="shared" si="101"/>
        <v>#VALUE!</v>
      </c>
      <c r="Z798" s="5" t="e">
        <f t="shared" si="102"/>
        <v>#VALUE!</v>
      </c>
      <c r="AA798" t="str">
        <f t="shared" si="103"/>
        <v>Clean</v>
      </c>
    </row>
    <row r="799" spans="1:27" x14ac:dyDescent="0.3">
      <c r="A799" t="str">
        <f>[1]raw_orders!A799</f>
        <v>ORD-2024-10798</v>
      </c>
      <c r="B799" s="4">
        <f>IFERROR(DATEVALUE([1]raw_orders!B799), "Invalid Date")</f>
        <v>45400</v>
      </c>
      <c r="C799" s="4">
        <f>IFERROR(DATEVALUE([1]raw_orders!C799), "Invalid Date")</f>
        <v>45404</v>
      </c>
      <c r="D799" t="str">
        <f>[1]raw_orders!D799</f>
        <v>CUST-3991</v>
      </c>
      <c r="E799" t="str">
        <f>PROPER(TRIM([1]raw_orders!E799))</f>
        <v>Aarav Sharma</v>
      </c>
      <c r="F799" t="str">
        <f>PROPER(TRIM([1]raw_orders!F799))</f>
        <v>Consumer</v>
      </c>
      <c r="G799" t="str">
        <f>IF(TRIM([1]raw_orders!G799)="","Unknown",PROPER(TRIM([1]raw_orders!G799)))</f>
        <v>East</v>
      </c>
      <c r="H799" t="str">
        <f>PROPER(TRIM([1]raw_orders!H799))</f>
        <v>Odisha</v>
      </c>
      <c r="I799" t="str">
        <f>PROPER(TRIM([1]raw_orders!I799))</f>
        <v>Bhubaneswar</v>
      </c>
      <c r="J799" t="str">
        <f>PROPER(TRIM([1]raw_orders!J799))</f>
        <v>Office Supplies</v>
      </c>
      <c r="K799" t="str">
        <f>PROPER(TRIM([1]raw_orders!K799))</f>
        <v>Binders</v>
      </c>
      <c r="L799" t="str">
        <f>[1]raw_orders!L799</f>
        <v>Elite Binders 764</v>
      </c>
      <c r="M799" t="str">
        <f>IF(TRIM([1]raw_orders!M799)="","Unknown",PROPER(TRIM([1]raw_orders!M799)))</f>
        <v>First Class</v>
      </c>
      <c r="N799" s="5">
        <f>[1]raw_orders!N799</f>
        <v>8</v>
      </c>
      <c r="O799" s="5">
        <f>[1]raw_orders!O799</f>
        <v>1714.37</v>
      </c>
      <c r="P799" s="5">
        <f>[1]raw_orders!P799</f>
        <v>0</v>
      </c>
      <c r="Q799" t="str">
        <f>PROPER(TRIM([1]raw_orders!T799))</f>
        <v>Failed</v>
      </c>
      <c r="R799" t="str">
        <f>PROPER(TRIM([1]raw_orders!U799))</f>
        <v>Cancelled</v>
      </c>
      <c r="S799" s="5">
        <f>[1]raw_orders!S799</f>
        <v>3164.49</v>
      </c>
      <c r="T799" s="5">
        <f t="shared" si="96"/>
        <v>31.644899999999996</v>
      </c>
      <c r="U799" s="5">
        <f t="shared" si="97"/>
        <v>-420293.57770399994</v>
      </c>
      <c r="V799" s="5">
        <f t="shared" si="98"/>
        <v>-420293.57770399994</v>
      </c>
      <c r="W799" s="5">
        <f t="shared" si="99"/>
        <v>1</v>
      </c>
      <c r="X799" s="5">
        <f t="shared" si="100"/>
        <v>4</v>
      </c>
      <c r="Y799" s="5">
        <f t="shared" si="101"/>
        <v>4</v>
      </c>
      <c r="Z799" s="5">
        <f t="shared" si="102"/>
        <v>2024</v>
      </c>
      <c r="AA799" t="str">
        <f t="shared" si="103"/>
        <v>Clean</v>
      </c>
    </row>
    <row r="800" spans="1:27" x14ac:dyDescent="0.3">
      <c r="A800" t="str">
        <f>[1]raw_orders!A800</f>
        <v>ORD-2025-10799</v>
      </c>
      <c r="B800" s="4">
        <f>IFERROR(DATEVALUE([1]raw_orders!B800), "Invalid Date")</f>
        <v>45849</v>
      </c>
      <c r="C800" s="4">
        <f>IFERROR(DATEVALUE([1]raw_orders!C800), "Invalid Date")</f>
        <v>45847</v>
      </c>
      <c r="D800" t="str">
        <f>[1]raw_orders!D800</f>
        <v>CUST-7553</v>
      </c>
      <c r="E800" t="str">
        <f>PROPER(TRIM([1]raw_orders!E800))</f>
        <v>Aditi Sen</v>
      </c>
      <c r="F800" t="str">
        <f>PROPER(TRIM([1]raw_orders!F800))</f>
        <v>Corporate</v>
      </c>
      <c r="G800" t="str">
        <f>IF(TRIM([1]raw_orders!G800)="","Unknown",PROPER(TRIM([1]raw_orders!G800)))</f>
        <v>North</v>
      </c>
      <c r="H800" t="str">
        <f>PROPER(TRIM([1]raw_orders!H800))</f>
        <v>Delhi</v>
      </c>
      <c r="I800" t="str">
        <f>PROPER(TRIM([1]raw_orders!I800))</f>
        <v>New Delhi</v>
      </c>
      <c r="J800" t="str">
        <f>PROPER(TRIM([1]raw_orders!J800))</f>
        <v>Furniture</v>
      </c>
      <c r="K800" t="str">
        <f>PROPER(TRIM([1]raw_orders!K800))</f>
        <v>Furnishings</v>
      </c>
      <c r="L800" t="str">
        <f>[1]raw_orders!L800</f>
        <v>Classic Furnishings 348</v>
      </c>
      <c r="M800" t="str">
        <f>IF(TRIM([1]raw_orders!M800)="","Unknown",PROPER(TRIM([1]raw_orders!M800)))</f>
        <v>Standard Class</v>
      </c>
      <c r="N800" s="5">
        <f>[1]raw_orders!N800</f>
        <v>9</v>
      </c>
      <c r="O800" s="5">
        <f>[1]raw_orders!O800</f>
        <v>1706.05</v>
      </c>
      <c r="P800" s="5">
        <f>[1]raw_orders!P800</f>
        <v>0</v>
      </c>
      <c r="Q800" t="str">
        <f>PROPER(TRIM([1]raw_orders!T800))</f>
        <v>Paid</v>
      </c>
      <c r="R800" t="str">
        <f>PROPER(TRIM([1]raw_orders!U800))</f>
        <v>Completed</v>
      </c>
      <c r="S800" s="5">
        <f>[1]raw_orders!S800</f>
        <v>5697.95</v>
      </c>
      <c r="T800" s="5">
        <f t="shared" si="96"/>
        <v>56.979500000000002</v>
      </c>
      <c r="U800" s="5">
        <f t="shared" si="97"/>
        <v>-859534.43377499992</v>
      </c>
      <c r="V800" s="5">
        <f t="shared" si="98"/>
        <v>-859534.43377499992</v>
      </c>
      <c r="W800" s="5">
        <f t="shared" si="99"/>
        <v>1</v>
      </c>
      <c r="X800" s="5">
        <f t="shared" si="100"/>
        <v>-2</v>
      </c>
      <c r="Y800" s="5">
        <f t="shared" si="101"/>
        <v>7</v>
      </c>
      <c r="Z800" s="5">
        <f t="shared" si="102"/>
        <v>2025</v>
      </c>
      <c r="AA800" t="str">
        <f t="shared" si="103"/>
        <v>Invalid</v>
      </c>
    </row>
    <row r="801" spans="1:27" x14ac:dyDescent="0.3">
      <c r="A801" t="str">
        <f>[1]raw_orders!A801</f>
        <v>ORD-2024-10800</v>
      </c>
      <c r="B801" s="4">
        <f>IFERROR(DATEVALUE([1]raw_orders!B801), "Invalid Date")</f>
        <v>45575</v>
      </c>
      <c r="C801" s="4">
        <f>IFERROR(DATEVALUE([1]raw_orders!C801), "Invalid Date")</f>
        <v>45582</v>
      </c>
      <c r="D801" t="str">
        <f>[1]raw_orders!D801</f>
        <v>CUST-8527</v>
      </c>
      <c r="E801" t="str">
        <f>PROPER(TRIM([1]raw_orders!E801))</f>
        <v>Isha Nair</v>
      </c>
      <c r="F801" t="str">
        <f>PROPER(TRIM([1]raw_orders!F801))</f>
        <v>Home Office</v>
      </c>
      <c r="G801" t="str">
        <f>IF(TRIM([1]raw_orders!G801)="","Unknown",PROPER(TRIM([1]raw_orders!G801)))</f>
        <v>North</v>
      </c>
      <c r="H801" t="str">
        <f>PROPER(TRIM([1]raw_orders!H801))</f>
        <v>Haryana</v>
      </c>
      <c r="I801" t="str">
        <f>PROPER(TRIM([1]raw_orders!I801))</f>
        <v>Gurugram</v>
      </c>
      <c r="J801" t="str">
        <f>PROPER(TRIM([1]raw_orders!J801))</f>
        <v>Technology</v>
      </c>
      <c r="K801" t="str">
        <f>PROPER(TRIM([1]raw_orders!K801))</f>
        <v>Accessories</v>
      </c>
      <c r="L801" t="str">
        <f>[1]raw_orders!L801</f>
        <v>Smart Accessories 487</v>
      </c>
      <c r="M801" t="str">
        <f>IF(TRIM([1]raw_orders!M801)="","Unknown",PROPER(TRIM([1]raw_orders!M801)))</f>
        <v>Unknown</v>
      </c>
      <c r="N801" s="5">
        <f>[1]raw_orders!N801</f>
        <v>5</v>
      </c>
      <c r="O801" s="5">
        <f>[1]raw_orders!O801</f>
        <v>967.41</v>
      </c>
      <c r="P801" s="5">
        <f>[1]raw_orders!P801</f>
        <v>0.05</v>
      </c>
      <c r="Q801" t="str">
        <f>PROPER(TRIM([1]raw_orders!T801))</f>
        <v>Paid</v>
      </c>
      <c r="R801" t="str">
        <f>PROPER(TRIM([1]raw_orders!U801))</f>
        <v>Returned</v>
      </c>
      <c r="S801" s="5">
        <f>[1]raw_orders!S801</f>
        <v>707.79</v>
      </c>
      <c r="T801" s="5">
        <f t="shared" si="96"/>
        <v>7.0778999999999996</v>
      </c>
      <c r="U801" s="5">
        <f t="shared" si="97"/>
        <v>-29399.106195</v>
      </c>
      <c r="V801" s="5">
        <f t="shared" si="98"/>
        <v>-29399.156195</v>
      </c>
      <c r="W801" s="5">
        <f t="shared" si="99"/>
        <v>1.000001700731977</v>
      </c>
      <c r="X801" s="5">
        <f t="shared" si="100"/>
        <v>7</v>
      </c>
      <c r="Y801" s="5">
        <f t="shared" si="101"/>
        <v>10</v>
      </c>
      <c r="Z801" s="5">
        <f t="shared" si="102"/>
        <v>2024</v>
      </c>
      <c r="AA801" t="str">
        <f t="shared" si="103"/>
        <v>Warning</v>
      </c>
    </row>
    <row r="802" spans="1:27" x14ac:dyDescent="0.3">
      <c r="A802" t="str">
        <f>[1]raw_orders!A802</f>
        <v>ORD-2024-10801</v>
      </c>
      <c r="B802" s="4">
        <f>IFERROR(DATEVALUE([1]raw_orders!B802), "Invalid Date")</f>
        <v>45352</v>
      </c>
      <c r="C802" s="4">
        <f>IFERROR(DATEVALUE([1]raw_orders!C802), "Invalid Date")</f>
        <v>45358</v>
      </c>
      <c r="D802" t="str">
        <f>[1]raw_orders!D802</f>
        <v>CUST-5015</v>
      </c>
      <c r="E802" t="str">
        <f>PROPER(TRIM([1]raw_orders!E802))</f>
        <v>Vikram Iyer</v>
      </c>
      <c r="F802" t="str">
        <f>PROPER(TRIM([1]raw_orders!F802))</f>
        <v>Small Business</v>
      </c>
      <c r="G802" t="str">
        <f>IF(TRIM([1]raw_orders!G802)="","Unknown",PROPER(TRIM([1]raw_orders!G802)))</f>
        <v>West</v>
      </c>
      <c r="H802" t="str">
        <f>PROPER(TRIM([1]raw_orders!H802))</f>
        <v>Maharashtra</v>
      </c>
      <c r="I802" t="str">
        <f>PROPER(TRIM([1]raw_orders!I802))</f>
        <v>Mumbai</v>
      </c>
      <c r="J802" t="str">
        <f>PROPER(TRIM([1]raw_orders!J802))</f>
        <v>Office Supplies</v>
      </c>
      <c r="K802" t="str">
        <f>PROPER(TRIM([1]raw_orders!K802))</f>
        <v>Storage</v>
      </c>
      <c r="L802" t="str">
        <f>[1]raw_orders!L802</f>
        <v>Elite Storage 825</v>
      </c>
      <c r="M802" t="str">
        <f>IF(TRIM([1]raw_orders!M802)="","Unknown",PROPER(TRIM([1]raw_orders!M802)))</f>
        <v>Second Class</v>
      </c>
      <c r="N802" s="5">
        <f>[1]raw_orders!N802</f>
        <v>6</v>
      </c>
      <c r="O802" s="5">
        <f>[1]raw_orders!O802</f>
        <v>4163.72</v>
      </c>
      <c r="P802" s="5">
        <f>[1]raw_orders!P802</f>
        <v>0.15</v>
      </c>
      <c r="Q802" t="str">
        <f>PROPER(TRIM([1]raw_orders!T802))</f>
        <v>Paid</v>
      </c>
      <c r="R802" t="str">
        <f>PROPER(TRIM([1]raw_orders!U802))</f>
        <v>Completed</v>
      </c>
      <c r="S802" s="5">
        <f>[1]raw_orders!S802</f>
        <v>4498.88</v>
      </c>
      <c r="T802" s="5">
        <f t="shared" si="96"/>
        <v>44.988799999999998</v>
      </c>
      <c r="U802" s="5">
        <f t="shared" si="97"/>
        <v>-1098942.2780159998</v>
      </c>
      <c r="V802" s="5">
        <f t="shared" si="98"/>
        <v>-1098942.4280159997</v>
      </c>
      <c r="W802" s="5">
        <f t="shared" si="99"/>
        <v>1.000000136494885</v>
      </c>
      <c r="X802" s="5">
        <f t="shared" si="100"/>
        <v>6</v>
      </c>
      <c r="Y802" s="5">
        <f t="shared" si="101"/>
        <v>3</v>
      </c>
      <c r="Z802" s="5">
        <f t="shared" si="102"/>
        <v>2024</v>
      </c>
      <c r="AA802" t="str">
        <f t="shared" si="103"/>
        <v>Clean</v>
      </c>
    </row>
    <row r="803" spans="1:27" x14ac:dyDescent="0.3">
      <c r="A803" t="str">
        <f>[1]raw_orders!A803</f>
        <v>ORD-2025-10802</v>
      </c>
      <c r="B803" s="4">
        <f>IFERROR(DATEVALUE([1]raw_orders!B803), "Invalid Date")</f>
        <v>45938</v>
      </c>
      <c r="C803" s="4">
        <f>IFERROR(DATEVALUE([1]raw_orders!C803), "Invalid Date")</f>
        <v>45945</v>
      </c>
      <c r="D803" t="str">
        <f>[1]raw_orders!D803</f>
        <v>CUST-3344</v>
      </c>
      <c r="E803" t="str">
        <f>PROPER(TRIM([1]raw_orders!E803))</f>
        <v>Aarav Sharma</v>
      </c>
      <c r="F803" t="str">
        <f>PROPER(TRIM([1]raw_orders!F803))</f>
        <v>Home Office</v>
      </c>
      <c r="G803" t="str">
        <f>IF(TRIM([1]raw_orders!G803)="","Unknown",PROPER(TRIM([1]raw_orders!G803)))</f>
        <v>East</v>
      </c>
      <c r="H803" t="str">
        <f>PROPER(TRIM([1]raw_orders!H803))</f>
        <v>Odisha</v>
      </c>
      <c r="I803" t="str">
        <f>PROPER(TRIM([1]raw_orders!I803))</f>
        <v>Bhubaneswar</v>
      </c>
      <c r="J803" t="str">
        <f>PROPER(TRIM([1]raw_orders!J803))</f>
        <v>Technology</v>
      </c>
      <c r="K803" t="str">
        <f>PROPER(TRIM([1]raw_orders!K803))</f>
        <v>Accessories</v>
      </c>
      <c r="L803" t="str">
        <f>[1]raw_orders!L803</f>
        <v>Pro Accessories 500</v>
      </c>
      <c r="M803" t="str">
        <f>IF(TRIM([1]raw_orders!M803)="","Unknown",PROPER(TRIM([1]raw_orders!M803)))</f>
        <v>Second Class</v>
      </c>
      <c r="N803" s="5">
        <f>[1]raw_orders!N803</f>
        <v>3</v>
      </c>
      <c r="O803" s="5">
        <f>[1]raw_orders!O803</f>
        <v>3372.21</v>
      </c>
      <c r="P803" s="5">
        <f>[1]raw_orders!P803</f>
        <v>0.2</v>
      </c>
      <c r="Q803" t="str">
        <f>PROPER(TRIM([1]raw_orders!T803))</f>
        <v>Pending</v>
      </c>
      <c r="R803" t="str">
        <f>PROPER(TRIM([1]raw_orders!U803))</f>
        <v>Cancelled</v>
      </c>
      <c r="S803" s="5">
        <f>[1]raw_orders!S803</f>
        <v>2040.87</v>
      </c>
      <c r="T803" s="5">
        <f t="shared" si="96"/>
        <v>20.4087</v>
      </c>
      <c r="U803" s="5">
        <f t="shared" si="97"/>
        <v>-196350.636681</v>
      </c>
      <c r="V803" s="5">
        <f t="shared" si="98"/>
        <v>-196350.83668100002</v>
      </c>
      <c r="W803" s="5">
        <f t="shared" si="99"/>
        <v>1.0000010185859511</v>
      </c>
      <c r="X803" s="5">
        <f t="shared" si="100"/>
        <v>7</v>
      </c>
      <c r="Y803" s="5">
        <f t="shared" si="101"/>
        <v>10</v>
      </c>
      <c r="Z803" s="5">
        <f t="shared" si="102"/>
        <v>2025</v>
      </c>
      <c r="AA803" t="str">
        <f t="shared" si="103"/>
        <v>Clean</v>
      </c>
    </row>
    <row r="804" spans="1:27" x14ac:dyDescent="0.3">
      <c r="A804" t="str">
        <f>[1]raw_orders!A804</f>
        <v>ORD-2025-10803</v>
      </c>
      <c r="B804" s="4">
        <f>IFERROR(DATEVALUE([1]raw_orders!B804), "Invalid Date")</f>
        <v>45704</v>
      </c>
      <c r="C804" s="4">
        <f>IFERROR(DATEVALUE([1]raw_orders!C804), "Invalid Date")</f>
        <v>45704</v>
      </c>
      <c r="D804" t="str">
        <f>[1]raw_orders!D804</f>
        <v>CUST-5866</v>
      </c>
      <c r="E804" t="str">
        <f>PROPER(TRIM([1]raw_orders!E804))</f>
        <v>Rohan Mehta</v>
      </c>
      <c r="F804" t="str">
        <f>PROPER(TRIM([1]raw_orders!F804))</f>
        <v>Small Business</v>
      </c>
      <c r="G804" t="str">
        <f>IF(TRIM([1]raw_orders!G804)="","Unknown",PROPER(TRIM([1]raw_orders!G804)))</f>
        <v>East</v>
      </c>
      <c r="H804" t="str">
        <f>PROPER(TRIM([1]raw_orders!H804))</f>
        <v>Assam</v>
      </c>
      <c r="I804" t="str">
        <f>PROPER(TRIM([1]raw_orders!I804))</f>
        <v>Guwahati</v>
      </c>
      <c r="J804" t="str">
        <f>PROPER(TRIM([1]raw_orders!J804))</f>
        <v>Furniture</v>
      </c>
      <c r="K804" t="str">
        <f>PROPER(TRIM([1]raw_orders!K804))</f>
        <v>Furnishings</v>
      </c>
      <c r="L804" t="str">
        <f>[1]raw_orders!L804</f>
        <v>Pro Furnishings 909</v>
      </c>
      <c r="M804" t="str">
        <f>IF(TRIM([1]raw_orders!M804)="","Unknown",PROPER(TRIM([1]raw_orders!M804)))</f>
        <v>Second Class</v>
      </c>
      <c r="N804" s="5">
        <f>[1]raw_orders!N804</f>
        <v>6</v>
      </c>
      <c r="O804" s="5">
        <f>[1]raw_orders!O804</f>
        <v>1441.91</v>
      </c>
      <c r="P804" s="5">
        <f>[1]raw_orders!P804</f>
        <v>0</v>
      </c>
      <c r="Q804" t="str">
        <f>PROPER(TRIM([1]raw_orders!T804))</f>
        <v>Failed</v>
      </c>
      <c r="R804" t="str">
        <f>PROPER(TRIM([1]raw_orders!U804))</f>
        <v>Returned</v>
      </c>
      <c r="S804" s="5">
        <f>[1]raw_orders!S804</f>
        <v>3396.84</v>
      </c>
      <c r="T804" s="5">
        <f t="shared" si="96"/>
        <v>33.968400000000003</v>
      </c>
      <c r="U804" s="5">
        <f t="shared" si="97"/>
        <v>-285224.79386400006</v>
      </c>
      <c r="V804" s="5">
        <f t="shared" si="98"/>
        <v>-285224.79386400006</v>
      </c>
      <c r="W804" s="5">
        <f t="shared" si="99"/>
        <v>1</v>
      </c>
      <c r="X804" s="5">
        <f t="shared" si="100"/>
        <v>0</v>
      </c>
      <c r="Y804" s="5">
        <f t="shared" si="101"/>
        <v>2</v>
      </c>
      <c r="Z804" s="5">
        <f t="shared" si="102"/>
        <v>2025</v>
      </c>
      <c r="AA804" t="str">
        <f t="shared" si="103"/>
        <v>Clean</v>
      </c>
    </row>
    <row r="805" spans="1:27" x14ac:dyDescent="0.3">
      <c r="A805" t="str">
        <f>[1]raw_orders!A805</f>
        <v>ORD-2024-10804</v>
      </c>
      <c r="B805" s="4">
        <f>IFERROR(DATEVALUE([1]raw_orders!B805), "Invalid Date")</f>
        <v>45635</v>
      </c>
      <c r="C805" s="4">
        <f>IFERROR(DATEVALUE([1]raw_orders!C805), "Invalid Date")</f>
        <v>45639</v>
      </c>
      <c r="D805" t="str">
        <f>[1]raw_orders!D805</f>
        <v>CUST-7180</v>
      </c>
      <c r="E805" t="str">
        <f>PROPER(TRIM([1]raw_orders!E805))</f>
        <v>Rohan Mehta</v>
      </c>
      <c r="F805" t="str">
        <f>PROPER(TRIM([1]raw_orders!F805))</f>
        <v>Consumer</v>
      </c>
      <c r="G805" t="str">
        <f>IF(TRIM([1]raw_orders!G805)="","Unknown",PROPER(TRIM([1]raw_orders!G805)))</f>
        <v>Unknown</v>
      </c>
      <c r="H805" t="str">
        <f>PROPER(TRIM([1]raw_orders!H805))</f>
        <v>Jharkhand</v>
      </c>
      <c r="I805" t="str">
        <f>PROPER(TRIM([1]raw_orders!I805))</f>
        <v>Ranchi</v>
      </c>
      <c r="J805" t="str">
        <f>PROPER(TRIM([1]raw_orders!J805))</f>
        <v>Office Supplies</v>
      </c>
      <c r="K805" t="str">
        <f>PROPER(TRIM([1]raw_orders!K805))</f>
        <v>Labels</v>
      </c>
      <c r="L805" t="str">
        <f>[1]raw_orders!L805</f>
        <v>Basic Labels 359</v>
      </c>
      <c r="M805" t="str">
        <f>IF(TRIM([1]raw_orders!M805)="","Unknown",PROPER(TRIM([1]raw_orders!M805)))</f>
        <v>First Class</v>
      </c>
      <c r="N805" s="5">
        <f>[1]raw_orders!N805</f>
        <v>1</v>
      </c>
      <c r="O805" s="5">
        <f>[1]raw_orders!O805</f>
        <v>4306.6499999999996</v>
      </c>
      <c r="P805" s="5">
        <f>[1]raw_orders!P805</f>
        <v>0</v>
      </c>
      <c r="Q805" t="str">
        <f>PROPER(TRIM([1]raw_orders!T805))</f>
        <v>Paid</v>
      </c>
      <c r="R805" t="str">
        <f>PROPER(TRIM([1]raw_orders!U805))</f>
        <v>Completed</v>
      </c>
      <c r="S805" s="5">
        <f>[1]raw_orders!S805</f>
        <v>1737.83</v>
      </c>
      <c r="T805" s="5">
        <f t="shared" si="96"/>
        <v>17.378299999999999</v>
      </c>
      <c r="U805" s="5">
        <f t="shared" si="97"/>
        <v>-70535.605694999991</v>
      </c>
      <c r="V805" s="5">
        <f t="shared" si="98"/>
        <v>-70535.605694999991</v>
      </c>
      <c r="W805" s="5">
        <f t="shared" si="99"/>
        <v>1</v>
      </c>
      <c r="X805" s="5">
        <f t="shared" si="100"/>
        <v>4</v>
      </c>
      <c r="Y805" s="5">
        <f t="shared" si="101"/>
        <v>12</v>
      </c>
      <c r="Z805" s="5">
        <f t="shared" si="102"/>
        <v>2024</v>
      </c>
      <c r="AA805" t="str">
        <f t="shared" si="103"/>
        <v>Warning</v>
      </c>
    </row>
    <row r="806" spans="1:27" x14ac:dyDescent="0.3">
      <c r="A806" t="str">
        <f>[1]raw_orders!A806</f>
        <v>ORD-2025-10805</v>
      </c>
      <c r="B806" s="4">
        <f>IFERROR(DATEVALUE([1]raw_orders!B806), "Invalid Date")</f>
        <v>45910</v>
      </c>
      <c r="C806" s="4">
        <f>IFERROR(DATEVALUE([1]raw_orders!C806), "Invalid Date")</f>
        <v>45918</v>
      </c>
      <c r="D806" t="str">
        <f>[1]raw_orders!D806</f>
        <v>CUST-8745</v>
      </c>
      <c r="E806" t="str">
        <f>PROPER(TRIM([1]raw_orders!E806))</f>
        <v>Rahul Verma</v>
      </c>
      <c r="F806" t="str">
        <f>PROPER(TRIM([1]raw_orders!F806))</f>
        <v>Home Office</v>
      </c>
      <c r="G806" t="str">
        <f>IF(TRIM([1]raw_orders!G806)="","Unknown",PROPER(TRIM([1]raw_orders!G806)))</f>
        <v>South</v>
      </c>
      <c r="H806" t="str">
        <f>PROPER(TRIM([1]raw_orders!H806))</f>
        <v>Telangana</v>
      </c>
      <c r="I806" t="str">
        <f>PROPER(TRIM([1]raw_orders!I806))</f>
        <v>Hyderabad</v>
      </c>
      <c r="J806" t="str">
        <f>PROPER(TRIM([1]raw_orders!J806))</f>
        <v>Furniture</v>
      </c>
      <c r="K806" t="str">
        <f>PROPER(TRIM([1]raw_orders!K806))</f>
        <v>Furnishings</v>
      </c>
      <c r="L806" t="str">
        <f>[1]raw_orders!L806</f>
        <v>Eco Furnishings 541</v>
      </c>
      <c r="M806" t="str">
        <f>IF(TRIM([1]raw_orders!M806)="","Unknown",PROPER(TRIM([1]raw_orders!M806)))</f>
        <v>Standard Class</v>
      </c>
      <c r="N806" s="5">
        <f>[1]raw_orders!N806</f>
        <v>1</v>
      </c>
      <c r="O806" s="5">
        <f>[1]raw_orders!O806</f>
        <v>2050.62</v>
      </c>
      <c r="P806" s="5">
        <f>[1]raw_orders!P806</f>
        <v>0.05</v>
      </c>
      <c r="Q806" t="str">
        <f>PROPER(TRIM([1]raw_orders!T806))</f>
        <v>Paid</v>
      </c>
      <c r="R806" t="str">
        <f>PROPER(TRIM([1]raw_orders!U806))</f>
        <v>Completed</v>
      </c>
      <c r="S806" s="5">
        <f>[1]raw_orders!S806</f>
        <v>441.01</v>
      </c>
      <c r="T806" s="5">
        <f t="shared" si="96"/>
        <v>4.4100999999999999</v>
      </c>
      <c r="U806" s="5">
        <f t="shared" si="97"/>
        <v>-6992.8192619999991</v>
      </c>
      <c r="V806" s="5">
        <f t="shared" si="98"/>
        <v>-6992.8692619999993</v>
      </c>
      <c r="W806" s="5">
        <f t="shared" si="99"/>
        <v>1.0000071501919507</v>
      </c>
      <c r="X806" s="5">
        <f t="shared" si="100"/>
        <v>8</v>
      </c>
      <c r="Y806" s="5">
        <f t="shared" si="101"/>
        <v>9</v>
      </c>
      <c r="Z806" s="5">
        <f t="shared" si="102"/>
        <v>2025</v>
      </c>
      <c r="AA806" t="str">
        <f t="shared" si="103"/>
        <v>Clean</v>
      </c>
    </row>
    <row r="807" spans="1:27" x14ac:dyDescent="0.3">
      <c r="A807" t="str">
        <f>[1]raw_orders!A807</f>
        <v>ORD-2025-10806</v>
      </c>
      <c r="B807" s="4">
        <f>IFERROR(DATEVALUE([1]raw_orders!B807), "Invalid Date")</f>
        <v>45753</v>
      </c>
      <c r="C807" s="4">
        <f>IFERROR(DATEVALUE([1]raw_orders!C807), "Invalid Date")</f>
        <v>45754</v>
      </c>
      <c r="D807" t="str">
        <f>[1]raw_orders!D807</f>
        <v>CUST-2098</v>
      </c>
      <c r="E807" t="str">
        <f>PROPER(TRIM([1]raw_orders!E807))</f>
        <v>Priya Menon</v>
      </c>
      <c r="F807" t="str">
        <f>PROPER(TRIM([1]raw_orders!F807))</f>
        <v>Home Office</v>
      </c>
      <c r="G807" t="str">
        <f>IF(TRIM([1]raw_orders!G807)="","Unknown",PROPER(TRIM([1]raw_orders!G807)))</f>
        <v>East</v>
      </c>
      <c r="H807" t="str">
        <f>PROPER(TRIM([1]raw_orders!H807))</f>
        <v>Assam</v>
      </c>
      <c r="I807" t="str">
        <f>PROPER(TRIM([1]raw_orders!I807))</f>
        <v>Guwahati</v>
      </c>
      <c r="J807" t="str">
        <f>PROPER(TRIM([1]raw_orders!J807))</f>
        <v>Office Supplies</v>
      </c>
      <c r="K807" t="str">
        <f>PROPER(TRIM([1]raw_orders!K807))</f>
        <v>Binders</v>
      </c>
      <c r="L807" t="str">
        <f>[1]raw_orders!L807</f>
        <v>Classic Binders 103</v>
      </c>
      <c r="M807" t="str">
        <f>IF(TRIM([1]raw_orders!M807)="","Unknown",PROPER(TRIM([1]raw_orders!M807)))</f>
        <v>Second Class</v>
      </c>
      <c r="N807" s="5">
        <f>[1]raw_orders!N807</f>
        <v>2</v>
      </c>
      <c r="O807" s="5">
        <f>[1]raw_orders!O807</f>
        <v>2030.06</v>
      </c>
      <c r="P807" s="5">
        <f>[1]raw_orders!P807</f>
        <v>0.25</v>
      </c>
      <c r="Q807" t="str">
        <f>PROPER(TRIM([1]raw_orders!T807))</f>
        <v>Paid</v>
      </c>
      <c r="R807" t="str">
        <f>PROPER(TRIM([1]raw_orders!U807))</f>
        <v>Completed</v>
      </c>
      <c r="S807" s="5">
        <f>[1]raw_orders!S807</f>
        <v>444</v>
      </c>
      <c r="T807" s="5">
        <f t="shared" si="96"/>
        <v>4.4400000000000004</v>
      </c>
      <c r="U807" s="5">
        <f t="shared" si="97"/>
        <v>-13966.812800000002</v>
      </c>
      <c r="V807" s="5">
        <f t="shared" si="98"/>
        <v>-13967.062800000002</v>
      </c>
      <c r="W807" s="5">
        <f t="shared" si="99"/>
        <v>1.0000178995740532</v>
      </c>
      <c r="X807" s="5">
        <f t="shared" si="100"/>
        <v>1</v>
      </c>
      <c r="Y807" s="5">
        <f t="shared" si="101"/>
        <v>4</v>
      </c>
      <c r="Z807" s="5">
        <f t="shared" si="102"/>
        <v>2025</v>
      </c>
      <c r="AA807" t="str">
        <f t="shared" si="103"/>
        <v>Clean</v>
      </c>
    </row>
    <row r="808" spans="1:27" x14ac:dyDescent="0.3">
      <c r="A808" t="str">
        <f>[1]raw_orders!A808</f>
        <v>ORD-2024-10807</v>
      </c>
      <c r="B808" s="4">
        <f>IFERROR(DATEVALUE([1]raw_orders!B808), "Invalid Date")</f>
        <v>45605</v>
      </c>
      <c r="C808" s="4">
        <f>IFERROR(DATEVALUE([1]raw_orders!C808), "Invalid Date")</f>
        <v>45611</v>
      </c>
      <c r="D808" t="str">
        <f>[1]raw_orders!D808</f>
        <v>CUST-3704</v>
      </c>
      <c r="E808" t="str">
        <f>PROPER(TRIM([1]raw_orders!E808))</f>
        <v>Isha Nair</v>
      </c>
      <c r="F808" t="str">
        <f>PROPER(TRIM([1]raw_orders!F808))</f>
        <v>Home Office</v>
      </c>
      <c r="G808" t="str">
        <f>IF(TRIM([1]raw_orders!G808)="","Unknown",PROPER(TRIM([1]raw_orders!G808)))</f>
        <v>North</v>
      </c>
      <c r="H808" t="str">
        <f>PROPER(TRIM([1]raw_orders!H808))</f>
        <v>Rajasthan</v>
      </c>
      <c r="I808" t="str">
        <f>PROPER(TRIM([1]raw_orders!I808))</f>
        <v>Jaipur</v>
      </c>
      <c r="J808" t="str">
        <f>PROPER(TRIM([1]raw_orders!J808))</f>
        <v>Technology</v>
      </c>
      <c r="K808" t="str">
        <f>PROPER(TRIM([1]raw_orders!K808))</f>
        <v>Copiers</v>
      </c>
      <c r="L808" t="str">
        <f>[1]raw_orders!L808</f>
        <v>Max Copiers 560</v>
      </c>
      <c r="M808" t="str">
        <f>IF(TRIM([1]raw_orders!M808)="","Unknown",PROPER(TRIM([1]raw_orders!M808)))</f>
        <v>Standard Class</v>
      </c>
      <c r="N808" s="5">
        <f>[1]raw_orders!N808</f>
        <v>1</v>
      </c>
      <c r="O808" s="5">
        <f>[1]raw_orders!O808</f>
        <v>3665.97</v>
      </c>
      <c r="P808" s="5">
        <f>[1]raw_orders!P808</f>
        <v>0.2</v>
      </c>
      <c r="Q808" t="str">
        <f>PROPER(TRIM([1]raw_orders!T808))</f>
        <v>Failed</v>
      </c>
      <c r="R808" t="str">
        <f>PROPER(TRIM([1]raw_orders!U808))</f>
        <v>Cancelled</v>
      </c>
      <c r="S808" s="5">
        <f>[1]raw_orders!S808</f>
        <v>1032.43</v>
      </c>
      <c r="T808" s="5">
        <f t="shared" si="96"/>
        <v>10.324300000000001</v>
      </c>
      <c r="U808" s="5">
        <f t="shared" si="97"/>
        <v>-34182.604071000002</v>
      </c>
      <c r="V808" s="5">
        <f t="shared" si="98"/>
        <v>-34182.804070999999</v>
      </c>
      <c r="W808" s="5">
        <f t="shared" si="99"/>
        <v>1.0000058509293084</v>
      </c>
      <c r="X808" s="5">
        <f t="shared" si="100"/>
        <v>6</v>
      </c>
      <c r="Y808" s="5">
        <f t="shared" si="101"/>
        <v>11</v>
      </c>
      <c r="Z808" s="5">
        <f t="shared" si="102"/>
        <v>2024</v>
      </c>
      <c r="AA808" t="str">
        <f t="shared" si="103"/>
        <v>Clean</v>
      </c>
    </row>
    <row r="809" spans="1:27" x14ac:dyDescent="0.3">
      <c r="A809" t="str">
        <f>[1]raw_orders!A809</f>
        <v>ORD-2025-10808</v>
      </c>
      <c r="B809" s="4">
        <f>IFERROR(DATEVALUE([1]raw_orders!B809), "Invalid Date")</f>
        <v>45695</v>
      </c>
      <c r="C809" s="4">
        <f>IFERROR(DATEVALUE([1]raw_orders!C809), "Invalid Date")</f>
        <v>45696</v>
      </c>
      <c r="D809" t="str">
        <f>[1]raw_orders!D809</f>
        <v>CUST-5884</v>
      </c>
      <c r="E809" t="str">
        <f>PROPER(TRIM([1]raw_orders!E809))</f>
        <v>Karan Malhotra</v>
      </c>
      <c r="F809" t="str">
        <f>PROPER(TRIM([1]raw_orders!F809))</f>
        <v>Small Business</v>
      </c>
      <c r="G809" t="str">
        <f>IF(TRIM([1]raw_orders!G809)="","Unknown",PROPER(TRIM([1]raw_orders!G809)))</f>
        <v>South</v>
      </c>
      <c r="H809" t="str">
        <f>PROPER(TRIM([1]raw_orders!H809))</f>
        <v>Telangana</v>
      </c>
      <c r="I809" t="str">
        <f>PROPER(TRIM([1]raw_orders!I809))</f>
        <v>Hyderabad</v>
      </c>
      <c r="J809" t="str">
        <f>PROPER(TRIM([1]raw_orders!J809))</f>
        <v>Office Supplies</v>
      </c>
      <c r="K809" t="str">
        <f>PROPER(TRIM([1]raw_orders!K809))</f>
        <v>Labels</v>
      </c>
      <c r="L809" t="str">
        <f>[1]raw_orders!L809</f>
        <v>Smart Labels 436</v>
      </c>
      <c r="M809" t="str">
        <f>IF(TRIM([1]raw_orders!M809)="","Unknown",PROPER(TRIM([1]raw_orders!M809)))</f>
        <v>Standard Class</v>
      </c>
      <c r="N809" s="5">
        <f>[1]raw_orders!N809</f>
        <v>2</v>
      </c>
      <c r="O809" s="5">
        <f>[1]raw_orders!O809</f>
        <v>2432.98</v>
      </c>
      <c r="P809" s="5">
        <f>[1]raw_orders!P809</f>
        <v>0.1</v>
      </c>
      <c r="Q809" t="str">
        <f>PROPER(TRIM([1]raw_orders!T809))</f>
        <v>Paid</v>
      </c>
      <c r="R809" t="str">
        <f>PROPER(TRIM([1]raw_orders!U809))</f>
        <v>Completed</v>
      </c>
      <c r="S809" s="5">
        <f>[1]raw_orders!S809</f>
        <v>655.43</v>
      </c>
      <c r="T809" s="5">
        <f t="shared" si="96"/>
        <v>6.5542999999999996</v>
      </c>
      <c r="U809" s="5">
        <f t="shared" si="97"/>
        <v>-27027.001627999998</v>
      </c>
      <c r="V809" s="5">
        <f t="shared" si="98"/>
        <v>-27027.101627999997</v>
      </c>
      <c r="W809" s="5">
        <f t="shared" si="99"/>
        <v>1.0000037000034772</v>
      </c>
      <c r="X809" s="5">
        <f t="shared" si="100"/>
        <v>1</v>
      </c>
      <c r="Y809" s="5">
        <f t="shared" si="101"/>
        <v>2</v>
      </c>
      <c r="Z809" s="5">
        <f t="shared" si="102"/>
        <v>2025</v>
      </c>
      <c r="AA809" t="str">
        <f t="shared" si="103"/>
        <v>Clean</v>
      </c>
    </row>
    <row r="810" spans="1:27" x14ac:dyDescent="0.3">
      <c r="A810" t="str">
        <f>[1]raw_orders!A810</f>
        <v>ORD-2025-10809</v>
      </c>
      <c r="B810" s="4">
        <f>IFERROR(DATEVALUE([1]raw_orders!B810), "Invalid Date")</f>
        <v>45900</v>
      </c>
      <c r="C810" s="4">
        <f>IFERROR(DATEVALUE([1]raw_orders!C810), "Invalid Date")</f>
        <v>45897</v>
      </c>
      <c r="D810" t="str">
        <f>[1]raw_orders!D810</f>
        <v>CUST-7503</v>
      </c>
      <c r="E810" t="str">
        <f>PROPER(TRIM([1]raw_orders!E810))</f>
        <v>Aarav Sharma</v>
      </c>
      <c r="F810" t="str">
        <f>PROPER(TRIM([1]raw_orders!F810))</f>
        <v>Small Business</v>
      </c>
      <c r="G810" t="str">
        <f>IF(TRIM([1]raw_orders!G810)="","Unknown",PROPER(TRIM([1]raw_orders!G810)))</f>
        <v>South</v>
      </c>
      <c r="H810" t="str">
        <f>PROPER(TRIM([1]raw_orders!H810))</f>
        <v>Tamil Nadu</v>
      </c>
      <c r="I810" t="str">
        <f>PROPER(TRIM([1]raw_orders!I810))</f>
        <v>Chennai</v>
      </c>
      <c r="J810" t="str">
        <f>PROPER(TRIM([1]raw_orders!J810))</f>
        <v>Furniture</v>
      </c>
      <c r="K810" t="str">
        <f>PROPER(TRIM([1]raw_orders!K810))</f>
        <v>Furnishings</v>
      </c>
      <c r="L810" t="str">
        <f>[1]raw_orders!L810</f>
        <v>Pro Furnishings 386</v>
      </c>
      <c r="M810" t="str">
        <f>IF(TRIM([1]raw_orders!M810)="","Unknown",PROPER(TRIM([1]raw_orders!M810)))</f>
        <v>First Class</v>
      </c>
      <c r="N810" s="5">
        <f>[1]raw_orders!N810</f>
        <v>7</v>
      </c>
      <c r="O810" s="5">
        <f>[1]raw_orders!O810</f>
        <v>977.28</v>
      </c>
      <c r="P810" s="5">
        <f>[1]raw_orders!P810</f>
        <v>0.2</v>
      </c>
      <c r="Q810" t="str">
        <f>PROPER(TRIM([1]raw_orders!T810))</f>
        <v>Paid</v>
      </c>
      <c r="R810" t="str">
        <f>PROPER(TRIM([1]raw_orders!U810))</f>
        <v>Completed</v>
      </c>
      <c r="S810" s="5">
        <f>[1]raw_orders!S810</f>
        <v>995.44</v>
      </c>
      <c r="T810" s="5">
        <f t="shared" si="96"/>
        <v>9.9543999999999997</v>
      </c>
      <c r="U810" s="5">
        <f t="shared" si="97"/>
        <v>-61256.692223999999</v>
      </c>
      <c r="V810" s="5">
        <f t="shared" si="98"/>
        <v>-61256.892223999996</v>
      </c>
      <c r="W810" s="5">
        <f t="shared" si="99"/>
        <v>1.0000032649493915</v>
      </c>
      <c r="X810" s="5">
        <f t="shared" si="100"/>
        <v>-3</v>
      </c>
      <c r="Y810" s="5">
        <f t="shared" si="101"/>
        <v>8</v>
      </c>
      <c r="Z810" s="5">
        <f t="shared" si="102"/>
        <v>2025</v>
      </c>
      <c r="AA810" t="str">
        <f t="shared" si="103"/>
        <v>Invalid</v>
      </c>
    </row>
    <row r="811" spans="1:27" x14ac:dyDescent="0.3">
      <c r="A811" t="str">
        <f>[1]raw_orders!A811</f>
        <v>ORD-2025-10810</v>
      </c>
      <c r="B811" s="4">
        <f>IFERROR(DATEVALUE([1]raw_orders!B811), "Invalid Date")</f>
        <v>45833</v>
      </c>
      <c r="C811" s="4">
        <f>IFERROR(DATEVALUE([1]raw_orders!C811), "Invalid Date")</f>
        <v>45833</v>
      </c>
      <c r="D811" t="str">
        <f>[1]raw_orders!D811</f>
        <v>CUST-6973</v>
      </c>
      <c r="E811" t="str">
        <f>PROPER(TRIM([1]raw_orders!E811))</f>
        <v>Arjun Bose</v>
      </c>
      <c r="F811" t="str">
        <f>PROPER(TRIM([1]raw_orders!F811))</f>
        <v>Small Business</v>
      </c>
      <c r="G811" t="str">
        <f>IF(TRIM([1]raw_orders!G811)="","Unknown",PROPER(TRIM([1]raw_orders!G811)))</f>
        <v>Unknown</v>
      </c>
      <c r="H811" t="str">
        <f>PROPER(TRIM([1]raw_orders!H811))</f>
        <v>Punjab</v>
      </c>
      <c r="I811" t="str">
        <f>PROPER(TRIM([1]raw_orders!I811))</f>
        <v>Ludhiana</v>
      </c>
      <c r="J811" t="str">
        <f>PROPER(TRIM([1]raw_orders!J811))</f>
        <v>Office Supplies</v>
      </c>
      <c r="K811" t="str">
        <f>PROPER(TRIM([1]raw_orders!K811))</f>
        <v>Binders</v>
      </c>
      <c r="L811" t="str">
        <f>[1]raw_orders!L811</f>
        <v>Eco Binders 601</v>
      </c>
      <c r="M811" t="str">
        <f>IF(TRIM([1]raw_orders!M811)="","Unknown",PROPER(TRIM([1]raw_orders!M811)))</f>
        <v>Second Class</v>
      </c>
      <c r="N811" s="5">
        <f>[1]raw_orders!N811</f>
        <v>6</v>
      </c>
      <c r="O811" s="5">
        <f>[1]raw_orders!O811</f>
        <v>1366.13</v>
      </c>
      <c r="P811" s="5">
        <f>[1]raw_orders!P811</f>
        <v>0.1</v>
      </c>
      <c r="Q811" t="str">
        <f>PROPER(TRIM([1]raw_orders!T811))</f>
        <v>Paid</v>
      </c>
      <c r="R811" t="str">
        <f>PROPER(TRIM([1]raw_orders!U811))</f>
        <v>Completed</v>
      </c>
      <c r="S811" s="5">
        <f>[1]raw_orders!S811</f>
        <v>2291.89</v>
      </c>
      <c r="T811" s="5">
        <f t="shared" si="96"/>
        <v>22.918899999999997</v>
      </c>
      <c r="U811" s="5">
        <f t="shared" si="97"/>
        <v>-179664.40114199999</v>
      </c>
      <c r="V811" s="5">
        <f t="shared" si="98"/>
        <v>-179664.50114199999</v>
      </c>
      <c r="W811" s="5">
        <f t="shared" si="99"/>
        <v>1.0000005565932892</v>
      </c>
      <c r="X811" s="5">
        <f t="shared" si="100"/>
        <v>0</v>
      </c>
      <c r="Y811" s="5">
        <f t="shared" si="101"/>
        <v>6</v>
      </c>
      <c r="Z811" s="5">
        <f t="shared" si="102"/>
        <v>2025</v>
      </c>
      <c r="AA811" t="str">
        <f t="shared" si="103"/>
        <v>Warning</v>
      </c>
    </row>
    <row r="812" spans="1:27" x14ac:dyDescent="0.3">
      <c r="A812" t="str">
        <f>[1]raw_orders!A812</f>
        <v>ORD-2024-10811</v>
      </c>
      <c r="B812" s="4">
        <f>IFERROR(DATEVALUE([1]raw_orders!B812), "Invalid Date")</f>
        <v>45355</v>
      </c>
      <c r="C812" s="4">
        <f>IFERROR(DATEVALUE([1]raw_orders!C812), "Invalid Date")</f>
        <v>45390</v>
      </c>
      <c r="D812" t="str">
        <f>[1]raw_orders!D812</f>
        <v>CUST-4653</v>
      </c>
      <c r="E812" t="str">
        <f>PROPER(TRIM([1]raw_orders!E812))</f>
        <v>Kabir Singh</v>
      </c>
      <c r="F812" t="str">
        <f>PROPER(TRIM([1]raw_orders!F812))</f>
        <v>Home Office</v>
      </c>
      <c r="G812" t="str">
        <f>IF(TRIM([1]raw_orders!G812)="","Unknown",PROPER(TRIM([1]raw_orders!G812)))</f>
        <v>West</v>
      </c>
      <c r="H812" t="str">
        <f>PROPER(TRIM([1]raw_orders!H812))</f>
        <v>Gujarat</v>
      </c>
      <c r="I812" t="str">
        <f>PROPER(TRIM([1]raw_orders!I812))</f>
        <v>Ahmedabad</v>
      </c>
      <c r="J812" t="str">
        <f>PROPER(TRIM([1]raw_orders!J812))</f>
        <v>Technology</v>
      </c>
      <c r="K812" t="str">
        <f>PROPER(TRIM([1]raw_orders!K812))</f>
        <v>Copiers</v>
      </c>
      <c r="L812" t="str">
        <f>[1]raw_orders!L812</f>
        <v>Pro Copiers 867</v>
      </c>
      <c r="M812" t="str">
        <f>IF(TRIM([1]raw_orders!M812)="","Unknown",PROPER(TRIM([1]raw_orders!M812)))</f>
        <v>First Class</v>
      </c>
      <c r="N812" s="5">
        <f>[1]raw_orders!N812</f>
        <v>1</v>
      </c>
      <c r="O812" s="5">
        <f>[1]raw_orders!O812</f>
        <v>3151.85</v>
      </c>
      <c r="P812" s="5">
        <f>[1]raw_orders!P812</f>
        <v>0.25</v>
      </c>
      <c r="Q812" t="str">
        <f>PROPER(TRIM([1]raw_orders!T812))</f>
        <v>Paid</v>
      </c>
      <c r="R812" t="str">
        <f>PROPER(TRIM([1]raw_orders!U812))</f>
        <v>Completed</v>
      </c>
      <c r="S812" s="5">
        <f>[1]raw_orders!S812</f>
        <v>892.38</v>
      </c>
      <c r="T812" s="5">
        <f t="shared" si="96"/>
        <v>8.9238</v>
      </c>
      <c r="U812" s="5">
        <f t="shared" si="97"/>
        <v>-24974.62903</v>
      </c>
      <c r="V812" s="5">
        <f t="shared" si="98"/>
        <v>-24974.87903</v>
      </c>
      <c r="W812" s="5">
        <f t="shared" si="99"/>
        <v>1.0000100101586975</v>
      </c>
      <c r="X812" s="5">
        <f t="shared" si="100"/>
        <v>35</v>
      </c>
      <c r="Y812" s="5">
        <f t="shared" si="101"/>
        <v>3</v>
      </c>
      <c r="Z812" s="5">
        <f t="shared" si="102"/>
        <v>2024</v>
      </c>
      <c r="AA812" t="str">
        <f t="shared" si="103"/>
        <v>Clean</v>
      </c>
    </row>
    <row r="813" spans="1:27" x14ac:dyDescent="0.3">
      <c r="A813" t="str">
        <f>[1]raw_orders!A813</f>
        <v>ORD-2024-10812</v>
      </c>
      <c r="B813" s="4">
        <f>IFERROR(DATEVALUE([1]raw_orders!B813), "Invalid Date")</f>
        <v>45638</v>
      </c>
      <c r="C813" s="4">
        <f>IFERROR(DATEVALUE([1]raw_orders!C813), "Invalid Date")</f>
        <v>45645</v>
      </c>
      <c r="D813" t="str">
        <f>[1]raw_orders!D813</f>
        <v>CUST-3303</v>
      </c>
      <c r="E813" t="str">
        <f>PROPER(TRIM([1]raw_orders!E813))</f>
        <v>Rohan Mehta</v>
      </c>
      <c r="F813" t="str">
        <f>PROPER(TRIM([1]raw_orders!F813))</f>
        <v>Home Office</v>
      </c>
      <c r="G813" t="str">
        <f>IF(TRIM([1]raw_orders!G813)="","Unknown",PROPER(TRIM([1]raw_orders!G813)))</f>
        <v>North</v>
      </c>
      <c r="H813" t="str">
        <f>PROPER(TRIM([1]raw_orders!H813))</f>
        <v>Haryana</v>
      </c>
      <c r="I813" t="str">
        <f>PROPER(TRIM([1]raw_orders!I813))</f>
        <v>Gurugram</v>
      </c>
      <c r="J813" t="str">
        <f>PROPER(TRIM([1]raw_orders!J813))</f>
        <v>Technology</v>
      </c>
      <c r="K813" t="str">
        <f>PROPER(TRIM([1]raw_orders!K813))</f>
        <v>Accessories</v>
      </c>
      <c r="L813" t="str">
        <f>[1]raw_orders!L813</f>
        <v>Eco Accessories 122</v>
      </c>
      <c r="M813" t="str">
        <f>IF(TRIM([1]raw_orders!M813)="","Unknown",PROPER(TRIM([1]raw_orders!M813)))</f>
        <v>First Class</v>
      </c>
      <c r="N813" s="5">
        <f>[1]raw_orders!N813</f>
        <v>2</v>
      </c>
      <c r="O813" s="5">
        <f>[1]raw_orders!O813</f>
        <v>1610.75</v>
      </c>
      <c r="P813" s="5">
        <f>[1]raw_orders!P813</f>
        <v>0.2</v>
      </c>
      <c r="Q813" t="str">
        <f>PROPER(TRIM([1]raw_orders!T813))</f>
        <v>Paid</v>
      </c>
      <c r="R813" t="str">
        <f>PROPER(TRIM([1]raw_orders!U813))</f>
        <v>Completed</v>
      </c>
      <c r="S813" s="5">
        <f>[1]raw_orders!S813</f>
        <v>1101.33</v>
      </c>
      <c r="T813" s="5">
        <f t="shared" si="96"/>
        <v>11.013299999999999</v>
      </c>
      <c r="U813" s="5">
        <f t="shared" si="97"/>
        <v>-32257.845949999999</v>
      </c>
      <c r="V813" s="5">
        <f t="shared" si="98"/>
        <v>-32258.04595</v>
      </c>
      <c r="W813" s="5">
        <f t="shared" si="99"/>
        <v>1.0000062000420087</v>
      </c>
      <c r="X813" s="5">
        <f t="shared" si="100"/>
        <v>7</v>
      </c>
      <c r="Y813" s="5">
        <f t="shared" si="101"/>
        <v>12</v>
      </c>
      <c r="Z813" s="5">
        <f t="shared" si="102"/>
        <v>2024</v>
      </c>
      <c r="AA813" t="str">
        <f t="shared" si="103"/>
        <v>Clean</v>
      </c>
    </row>
    <row r="814" spans="1:27" x14ac:dyDescent="0.3">
      <c r="A814" t="str">
        <f>[1]raw_orders!A814</f>
        <v>ORD-2024-10813</v>
      </c>
      <c r="B814" s="4">
        <f>IFERROR(DATEVALUE([1]raw_orders!B814), "Invalid Date")</f>
        <v>45458</v>
      </c>
      <c r="C814" s="4">
        <f>IFERROR(DATEVALUE([1]raw_orders!C814), "Invalid Date")</f>
        <v>45463</v>
      </c>
      <c r="D814" t="str">
        <f>[1]raw_orders!D814</f>
        <v>CUST-5754</v>
      </c>
      <c r="E814" t="str">
        <f>PROPER(TRIM([1]raw_orders!E814))</f>
        <v>Sneha Kapoor</v>
      </c>
      <c r="F814" t="str">
        <f>PROPER(TRIM([1]raw_orders!F814))</f>
        <v>Small Business</v>
      </c>
      <c r="G814" t="str">
        <f>IF(TRIM([1]raw_orders!G814)="","Unknown",PROPER(TRIM([1]raw_orders!G814)))</f>
        <v>East</v>
      </c>
      <c r="H814" t="str">
        <f>PROPER(TRIM([1]raw_orders!H814))</f>
        <v>Jharkhand</v>
      </c>
      <c r="I814" t="str">
        <f>PROPER(TRIM([1]raw_orders!I814))</f>
        <v>Ranchi</v>
      </c>
      <c r="J814" t="str">
        <f>PROPER(TRIM([1]raw_orders!J814))</f>
        <v>Furniture</v>
      </c>
      <c r="K814" t="str">
        <f>PROPER(TRIM([1]raw_orders!K814))</f>
        <v>Tables</v>
      </c>
      <c r="L814" t="str">
        <f>[1]raw_orders!L814</f>
        <v>Basic Tables 127</v>
      </c>
      <c r="M814" t="str">
        <f>IF(TRIM([1]raw_orders!M814)="","Unknown",PROPER(TRIM([1]raw_orders!M814)))</f>
        <v>First Class</v>
      </c>
      <c r="N814" s="5">
        <f>[1]raw_orders!N814</f>
        <v>8</v>
      </c>
      <c r="O814" s="5">
        <f>[1]raw_orders!O814</f>
        <v>2228.4699999999998</v>
      </c>
      <c r="P814" s="5">
        <f>[1]raw_orders!P814</f>
        <v>0</v>
      </c>
      <c r="Q814" t="str">
        <f>PROPER(TRIM([1]raw_orders!T814))</f>
        <v>Paid</v>
      </c>
      <c r="R814" t="str">
        <f>PROPER(TRIM([1]raw_orders!U814))</f>
        <v>Completed</v>
      </c>
      <c r="S814" s="5">
        <f>[1]raw_orders!S814</f>
        <v>3705.63</v>
      </c>
      <c r="T814" s="5">
        <f t="shared" si="96"/>
        <v>37.0563</v>
      </c>
      <c r="U814" s="5">
        <f t="shared" si="97"/>
        <v>-642803.06288799993</v>
      </c>
      <c r="V814" s="5">
        <f t="shared" si="98"/>
        <v>-642803.06288799993</v>
      </c>
      <c r="W814" s="5">
        <f t="shared" si="99"/>
        <v>1</v>
      </c>
      <c r="X814" s="5">
        <f t="shared" si="100"/>
        <v>5</v>
      </c>
      <c r="Y814" s="5">
        <f t="shared" si="101"/>
        <v>6</v>
      </c>
      <c r="Z814" s="5">
        <f t="shared" si="102"/>
        <v>2024</v>
      </c>
      <c r="AA814" t="str">
        <f t="shared" si="103"/>
        <v>Clean</v>
      </c>
    </row>
    <row r="815" spans="1:27" x14ac:dyDescent="0.3">
      <c r="A815" t="str">
        <f>[1]raw_orders!A815</f>
        <v>ORD-2025-10814</v>
      </c>
      <c r="B815" s="4">
        <f>IFERROR(DATEVALUE([1]raw_orders!B815), "Invalid Date")</f>
        <v>45812</v>
      </c>
      <c r="C815" s="4">
        <f>IFERROR(DATEVALUE([1]raw_orders!C815), "Invalid Date")</f>
        <v>45757</v>
      </c>
      <c r="D815" t="str">
        <f>[1]raw_orders!D815</f>
        <v>CUST-7848</v>
      </c>
      <c r="E815" t="str">
        <f>PROPER(TRIM([1]raw_orders!E815))</f>
        <v>Rohan Mehta</v>
      </c>
      <c r="F815" t="str">
        <f>PROPER(TRIM([1]raw_orders!F815))</f>
        <v>Consumer</v>
      </c>
      <c r="G815" t="str">
        <f>IF(TRIM([1]raw_orders!G815)="","Unknown",PROPER(TRIM([1]raw_orders!G815)))</f>
        <v>East</v>
      </c>
      <c r="H815" t="str">
        <f>PROPER(TRIM([1]raw_orders!H815))</f>
        <v>Odisha</v>
      </c>
      <c r="I815" t="str">
        <f>PROPER(TRIM([1]raw_orders!I815))</f>
        <v>Bhubaneswar</v>
      </c>
      <c r="J815" t="str">
        <f>PROPER(TRIM([1]raw_orders!J815))</f>
        <v>Furniture</v>
      </c>
      <c r="K815" t="str">
        <f>PROPER(TRIM([1]raw_orders!K815))</f>
        <v>Bookcases</v>
      </c>
      <c r="L815" t="str">
        <f>[1]raw_orders!L815</f>
        <v>Elite Bookcases 988</v>
      </c>
      <c r="M815" t="str">
        <f>IF(TRIM([1]raw_orders!M815)="","Unknown",PROPER(TRIM([1]raw_orders!M815)))</f>
        <v>Standard Class</v>
      </c>
      <c r="N815" s="5">
        <f>[1]raw_orders!N815</f>
        <v>2</v>
      </c>
      <c r="O815" s="5">
        <f>[1]raw_orders!O815</f>
        <v>1337.67</v>
      </c>
      <c r="P815" s="5">
        <f>[1]raw_orders!P815</f>
        <v>0</v>
      </c>
      <c r="Q815" t="str">
        <f>PROPER(TRIM([1]raw_orders!T815))</f>
        <v>Paid</v>
      </c>
      <c r="R815" t="str">
        <f>PROPER(TRIM([1]raw_orders!U815))</f>
        <v>Completed</v>
      </c>
      <c r="S815" s="5">
        <f>[1]raw_orders!S815</f>
        <v>1079.47</v>
      </c>
      <c r="T815" s="5">
        <f t="shared" si="96"/>
        <v>10.794700000000001</v>
      </c>
      <c r="U815" s="5">
        <f t="shared" si="97"/>
        <v>-26204.152698000002</v>
      </c>
      <c r="V815" s="5">
        <f t="shared" si="98"/>
        <v>-26204.152698000002</v>
      </c>
      <c r="W815" s="5">
        <f t="shared" si="99"/>
        <v>1</v>
      </c>
      <c r="X815" s="5">
        <f t="shared" si="100"/>
        <v>-55</v>
      </c>
      <c r="Y815" s="5">
        <f t="shared" si="101"/>
        <v>6</v>
      </c>
      <c r="Z815" s="5">
        <f t="shared" si="102"/>
        <v>2025</v>
      </c>
      <c r="AA815" t="str">
        <f t="shared" si="103"/>
        <v>Invalid</v>
      </c>
    </row>
    <row r="816" spans="1:27" x14ac:dyDescent="0.3">
      <c r="A816" t="str">
        <f>[1]raw_orders!A816</f>
        <v>ORD-2025-10815</v>
      </c>
      <c r="B816" s="4">
        <f>IFERROR(DATEVALUE([1]raw_orders!B816), "Invalid Date")</f>
        <v>45875</v>
      </c>
      <c r="C816" s="4">
        <f>IFERROR(DATEVALUE([1]raw_orders!C816), "Invalid Date")</f>
        <v>45880</v>
      </c>
      <c r="D816" t="str">
        <f>[1]raw_orders!D816</f>
        <v>CUST-9048</v>
      </c>
      <c r="E816" t="str">
        <f>PROPER(TRIM([1]raw_orders!E816))</f>
        <v>Arjun Bose</v>
      </c>
      <c r="F816" t="str">
        <f>PROPER(TRIM([1]raw_orders!F816))</f>
        <v>Consumer</v>
      </c>
      <c r="G816" t="str">
        <f>IF(TRIM([1]raw_orders!G816)="","Unknown",PROPER(TRIM([1]raw_orders!G816)))</f>
        <v>West</v>
      </c>
      <c r="H816" t="str">
        <f>PROPER(TRIM([1]raw_orders!H816))</f>
        <v>Madhya Pradesh</v>
      </c>
      <c r="I816" t="str">
        <f>PROPER(TRIM([1]raw_orders!I816))</f>
        <v>Indore</v>
      </c>
      <c r="J816" t="str">
        <f>PROPER(TRIM([1]raw_orders!J816))</f>
        <v>Office Supplies</v>
      </c>
      <c r="K816" t="str">
        <f>PROPER(TRIM([1]raw_orders!K816))</f>
        <v>Labels</v>
      </c>
      <c r="L816" t="str">
        <f>[1]raw_orders!L816</f>
        <v>Smart Labels 126</v>
      </c>
      <c r="M816" t="str">
        <f>IF(TRIM([1]raw_orders!M816)="","Unknown",PROPER(TRIM([1]raw_orders!M816)))</f>
        <v>First Class</v>
      </c>
      <c r="N816" s="5">
        <f>[1]raw_orders!N816</f>
        <v>2</v>
      </c>
      <c r="O816" s="5">
        <f>[1]raw_orders!O816</f>
        <v>2375.94</v>
      </c>
      <c r="P816" s="5">
        <f>[1]raw_orders!P816</f>
        <v>0.25</v>
      </c>
      <c r="Q816" t="str">
        <f>PROPER(TRIM([1]raw_orders!T816))</f>
        <v>Paid</v>
      </c>
      <c r="R816" t="str">
        <f>PROPER(TRIM([1]raw_orders!U816))</f>
        <v>Completed</v>
      </c>
      <c r="S816" s="5">
        <f>[1]raw_orders!S816</f>
        <v>924.21</v>
      </c>
      <c r="T816" s="5">
        <f t="shared" si="96"/>
        <v>9.2421000000000006</v>
      </c>
      <c r="U816" s="5">
        <f t="shared" si="97"/>
        <v>-39165.470148000008</v>
      </c>
      <c r="V816" s="5">
        <f t="shared" si="98"/>
        <v>-39165.720148000008</v>
      </c>
      <c r="W816" s="5">
        <f t="shared" si="99"/>
        <v>1.0000063831737256</v>
      </c>
      <c r="X816" s="5">
        <f t="shared" si="100"/>
        <v>5</v>
      </c>
      <c r="Y816" s="5">
        <f t="shared" si="101"/>
        <v>8</v>
      </c>
      <c r="Z816" s="5">
        <f t="shared" si="102"/>
        <v>2025</v>
      </c>
      <c r="AA816" t="str">
        <f t="shared" si="103"/>
        <v>Clean</v>
      </c>
    </row>
    <row r="817" spans="1:27" x14ac:dyDescent="0.3">
      <c r="A817" t="str">
        <f>[1]raw_orders!A817</f>
        <v>ORD-2024-10816</v>
      </c>
      <c r="B817" s="4">
        <f>IFERROR(DATEVALUE([1]raw_orders!B817), "Invalid Date")</f>
        <v>45295</v>
      </c>
      <c r="C817" s="4">
        <f>IFERROR(DATEVALUE([1]raw_orders!C817), "Invalid Date")</f>
        <v>45390</v>
      </c>
      <c r="D817" t="str">
        <f>[1]raw_orders!D817</f>
        <v>CUST-2951</v>
      </c>
      <c r="E817" t="str">
        <f>PROPER(TRIM([1]raw_orders!E817))</f>
        <v>Diya Patel</v>
      </c>
      <c r="F817" t="str">
        <f>PROPER(TRIM([1]raw_orders!F817))</f>
        <v>Consumer</v>
      </c>
      <c r="G817" t="str">
        <f>IF(TRIM([1]raw_orders!G817)="","Unknown",PROPER(TRIM([1]raw_orders!G817)))</f>
        <v>East</v>
      </c>
      <c r="H817" t="str">
        <f>PROPER(TRIM([1]raw_orders!H817))</f>
        <v>Odisha</v>
      </c>
      <c r="I817" t="str">
        <f>PROPER(TRIM([1]raw_orders!I817))</f>
        <v>Bhubaneswar</v>
      </c>
      <c r="J817" t="str">
        <f>PROPER(TRIM([1]raw_orders!J817))</f>
        <v>Technology</v>
      </c>
      <c r="K817" t="str">
        <f>PROPER(TRIM([1]raw_orders!K817))</f>
        <v>Machines</v>
      </c>
      <c r="L817" t="str">
        <f>[1]raw_orders!L817</f>
        <v>Max Machines 569</v>
      </c>
      <c r="M817" t="str">
        <f>IF(TRIM([1]raw_orders!M817)="","Unknown",PROPER(TRIM([1]raw_orders!M817)))</f>
        <v>Standard Class</v>
      </c>
      <c r="N817" s="5">
        <f>[1]raw_orders!N817</f>
        <v>7</v>
      </c>
      <c r="O817" s="5">
        <f>[1]raw_orders!O817</f>
        <v>715.81</v>
      </c>
      <c r="P817" s="5">
        <f>[1]raw_orders!P817</f>
        <v>0.15</v>
      </c>
      <c r="Q817" t="str">
        <f>PROPER(TRIM([1]raw_orders!T817))</f>
        <v>Pending</v>
      </c>
      <c r="R817" t="str">
        <f>PROPER(TRIM([1]raw_orders!U817))</f>
        <v>Cancelled</v>
      </c>
      <c r="S817" s="5">
        <f>[1]raw_orders!S817</f>
        <v>1128.75</v>
      </c>
      <c r="T817" s="5">
        <f t="shared" si="96"/>
        <v>11.2875</v>
      </c>
      <c r="U817" s="5">
        <f t="shared" si="97"/>
        <v>-51547.267625</v>
      </c>
      <c r="V817" s="5">
        <f t="shared" si="98"/>
        <v>-51547.417625000002</v>
      </c>
      <c r="W817" s="5">
        <f t="shared" si="99"/>
        <v>1.0000029099505543</v>
      </c>
      <c r="X817" s="5">
        <f t="shared" si="100"/>
        <v>95</v>
      </c>
      <c r="Y817" s="5">
        <f t="shared" si="101"/>
        <v>1</v>
      </c>
      <c r="Z817" s="5">
        <f t="shared" si="102"/>
        <v>2024</v>
      </c>
      <c r="AA817" t="str">
        <f t="shared" si="103"/>
        <v>Clean</v>
      </c>
    </row>
    <row r="818" spans="1:27" x14ac:dyDescent="0.3">
      <c r="A818" t="str">
        <f>[1]raw_orders!A818</f>
        <v>ORD-2024-10817</v>
      </c>
      <c r="B818" s="4" t="str">
        <f>IFERROR(DATEVALUE([1]raw_orders!B818), "Invalid Date")</f>
        <v>Invalid Date</v>
      </c>
      <c r="C818" s="4">
        <f>IFERROR(DATEVALUE([1]raw_orders!C818), "Invalid Date")</f>
        <v>45626</v>
      </c>
      <c r="D818" t="str">
        <f>[1]raw_orders!D818</f>
        <v>CUST-3072</v>
      </c>
      <c r="E818" t="str">
        <f>PROPER(TRIM([1]raw_orders!E818))</f>
        <v>Rahul Verma</v>
      </c>
      <c r="F818" t="str">
        <f>PROPER(TRIM([1]raw_orders!F818))</f>
        <v>Small Business</v>
      </c>
      <c r="G818" t="str">
        <f>IF(TRIM([1]raw_orders!G818)="","Unknown",PROPER(TRIM([1]raw_orders!G818)))</f>
        <v>East</v>
      </c>
      <c r="H818" t="str">
        <f>PROPER(TRIM([1]raw_orders!H818))</f>
        <v>Jharkhand</v>
      </c>
      <c r="I818" t="str">
        <f>PROPER(TRIM([1]raw_orders!I818))</f>
        <v>Ranchi</v>
      </c>
      <c r="J818" t="str">
        <f>PROPER(TRIM([1]raw_orders!J818))</f>
        <v>Furniture</v>
      </c>
      <c r="K818" t="str">
        <f>PROPER(TRIM([1]raw_orders!K818))</f>
        <v>Furnishings</v>
      </c>
      <c r="L818" t="str">
        <f>[1]raw_orders!L818</f>
        <v>Basic Furnishings 306</v>
      </c>
      <c r="M818" t="str">
        <f>IF(TRIM([1]raw_orders!M818)="","Unknown",PROPER(TRIM([1]raw_orders!M818)))</f>
        <v>First Class</v>
      </c>
      <c r="N818" s="5">
        <f>[1]raw_orders!N818</f>
        <v>1</v>
      </c>
      <c r="O818" s="5">
        <f>[1]raw_orders!O818</f>
        <v>874.3</v>
      </c>
      <c r="P818" s="5">
        <f>[1]raw_orders!P818</f>
        <v>0.1</v>
      </c>
      <c r="Q818" t="str">
        <f>PROPER(TRIM([1]raw_orders!T818))</f>
        <v>Paid</v>
      </c>
      <c r="R818" t="str">
        <f>PROPER(TRIM([1]raw_orders!U818))</f>
        <v>Completed</v>
      </c>
      <c r="S818" s="5">
        <f>[1]raw_orders!S818</f>
        <v>288.37</v>
      </c>
      <c r="T818" s="5">
        <f t="shared" si="96"/>
        <v>2.8837000000000002</v>
      </c>
      <c r="U818" s="5">
        <f t="shared" si="97"/>
        <v>-1646.9189100000001</v>
      </c>
      <c r="V818" s="5">
        <f t="shared" si="98"/>
        <v>-1647.01891</v>
      </c>
      <c r="W818" s="5">
        <f t="shared" si="99"/>
        <v>1.0000607194436792</v>
      </c>
      <c r="X818" s="5" t="str">
        <f t="shared" si="100"/>
        <v>Invalid Date</v>
      </c>
      <c r="Y818" s="5" t="e">
        <f t="shared" si="101"/>
        <v>#VALUE!</v>
      </c>
      <c r="Z818" s="5" t="e">
        <f t="shared" si="102"/>
        <v>#VALUE!</v>
      </c>
      <c r="AA818" t="str">
        <f t="shared" si="103"/>
        <v>Clean</v>
      </c>
    </row>
    <row r="819" spans="1:27" x14ac:dyDescent="0.3">
      <c r="A819" t="str">
        <f>[1]raw_orders!A819</f>
        <v>ORD-2025-10818</v>
      </c>
      <c r="B819" s="4">
        <f>IFERROR(DATEVALUE([1]raw_orders!B819), "Invalid Date")</f>
        <v>45752</v>
      </c>
      <c r="C819" s="4">
        <f>IFERROR(DATEVALUE([1]raw_orders!C819), "Invalid Date")</f>
        <v>45781</v>
      </c>
      <c r="D819" t="str">
        <f>[1]raw_orders!D819</f>
        <v>CUST-2221</v>
      </c>
      <c r="E819" t="str">
        <f>PROPER(TRIM([1]raw_orders!E819))</f>
        <v>Sneha Kapoor</v>
      </c>
      <c r="F819" t="str">
        <f>PROPER(TRIM([1]raw_orders!F819))</f>
        <v>Consumer</v>
      </c>
      <c r="G819" t="str">
        <f>IF(TRIM([1]raw_orders!G819)="","Unknown",PROPER(TRIM([1]raw_orders!G819)))</f>
        <v>East</v>
      </c>
      <c r="H819" t="str">
        <f>PROPER(TRIM([1]raw_orders!H819))</f>
        <v>Bihar</v>
      </c>
      <c r="I819" t="str">
        <f>PROPER(TRIM([1]raw_orders!I819))</f>
        <v>Patna</v>
      </c>
      <c r="J819" t="str">
        <f>PROPER(TRIM([1]raw_orders!J819))</f>
        <v>Office Supplies</v>
      </c>
      <c r="K819" t="str">
        <f>PROPER(TRIM([1]raw_orders!K819))</f>
        <v>Binders</v>
      </c>
      <c r="L819" t="str">
        <f>[1]raw_orders!L819</f>
        <v>Classic Binders 873</v>
      </c>
      <c r="M819" t="str">
        <f>IF(TRIM([1]raw_orders!M819)="","Unknown",PROPER(TRIM([1]raw_orders!M819)))</f>
        <v>Standard Class</v>
      </c>
      <c r="N819" s="5">
        <f>[1]raw_orders!N819</f>
        <v>6</v>
      </c>
      <c r="O819" s="5">
        <f>[1]raw_orders!O819</f>
        <v>1829.69</v>
      </c>
      <c r="P819" s="5">
        <f>[1]raw_orders!P819</f>
        <v>0.25</v>
      </c>
      <c r="Q819" t="str">
        <f>PROPER(TRIM([1]raw_orders!T819))</f>
        <v>Paid</v>
      </c>
      <c r="R819" t="str">
        <f>PROPER(TRIM([1]raw_orders!U819))</f>
        <v>Completed</v>
      </c>
      <c r="S819" s="5">
        <f>[1]raw_orders!S819</f>
        <v>3519.81</v>
      </c>
      <c r="T819" s="5">
        <f t="shared" si="96"/>
        <v>35.198099999999997</v>
      </c>
      <c r="U819" s="5">
        <f t="shared" si="97"/>
        <v>-375431.52953399991</v>
      </c>
      <c r="V819" s="5">
        <f t="shared" si="98"/>
        <v>-375431.77953399991</v>
      </c>
      <c r="W819" s="5">
        <f t="shared" si="99"/>
        <v>1.0000006659003848</v>
      </c>
      <c r="X819" s="5">
        <f t="shared" si="100"/>
        <v>29</v>
      </c>
      <c r="Y819" s="5">
        <f t="shared" si="101"/>
        <v>4</v>
      </c>
      <c r="Z819" s="5">
        <f t="shared" si="102"/>
        <v>2025</v>
      </c>
      <c r="AA819" t="str">
        <f t="shared" si="103"/>
        <v>Clean</v>
      </c>
    </row>
    <row r="820" spans="1:27" x14ac:dyDescent="0.3">
      <c r="A820" t="str">
        <f>[1]raw_orders!A820</f>
        <v>ORD-2024-10819</v>
      </c>
      <c r="B820" s="4">
        <f>IFERROR(DATEVALUE([1]raw_orders!B820), "Invalid Date")</f>
        <v>45564</v>
      </c>
      <c r="C820" s="4">
        <f>IFERROR(DATEVALUE([1]raw_orders!C820), "Invalid Date")</f>
        <v>45570</v>
      </c>
      <c r="D820" t="str">
        <f>[1]raw_orders!D820</f>
        <v>CUST-3943</v>
      </c>
      <c r="E820" t="str">
        <f>PROPER(TRIM([1]raw_orders!E820))</f>
        <v>Priya Menon</v>
      </c>
      <c r="F820" t="str">
        <f>PROPER(TRIM([1]raw_orders!F820))</f>
        <v>Small Business</v>
      </c>
      <c r="G820" t="str">
        <f>IF(TRIM([1]raw_orders!G820)="","Unknown",PROPER(TRIM([1]raw_orders!G820)))</f>
        <v>West</v>
      </c>
      <c r="H820" t="str">
        <f>PROPER(TRIM([1]raw_orders!H820))</f>
        <v>Maharashtra</v>
      </c>
      <c r="I820" t="str">
        <f>PROPER(TRIM([1]raw_orders!I820))</f>
        <v>Mumbai</v>
      </c>
      <c r="J820" t="str">
        <f>PROPER(TRIM([1]raw_orders!J820))</f>
        <v>Office Supplies</v>
      </c>
      <c r="K820" t="str">
        <f>PROPER(TRIM([1]raw_orders!K820))</f>
        <v>Labels</v>
      </c>
      <c r="L820" t="str">
        <f>[1]raw_orders!L820</f>
        <v>Pro Labels 611</v>
      </c>
      <c r="M820" t="str">
        <f>IF(TRIM([1]raw_orders!M820)="","Unknown",PROPER(TRIM([1]raw_orders!M820)))</f>
        <v>First Class</v>
      </c>
      <c r="N820" s="5">
        <f>[1]raw_orders!N820</f>
        <v>8</v>
      </c>
      <c r="O820" s="5">
        <f>[1]raw_orders!O820</f>
        <v>1981.04</v>
      </c>
      <c r="P820" s="5">
        <f>[1]raw_orders!P820</f>
        <v>-0.14000000000000001</v>
      </c>
      <c r="Q820" t="str">
        <f>PROPER(TRIM([1]raw_orders!T820))</f>
        <v>Paid</v>
      </c>
      <c r="R820" t="str">
        <f>PROPER(TRIM([1]raw_orders!U820))</f>
        <v>Completed</v>
      </c>
      <c r="S820" s="5">
        <f>[1]raw_orders!S820</f>
        <v>2590.0100000000002</v>
      </c>
      <c r="T820" s="5">
        <f t="shared" si="96"/>
        <v>25.900100000000002</v>
      </c>
      <c r="U820" s="5">
        <f t="shared" si="97"/>
        <v>-394624.75283200003</v>
      </c>
      <c r="V820" s="5">
        <f t="shared" si="98"/>
        <v>-394624.61283200001</v>
      </c>
      <c r="W820" s="5">
        <f t="shared" si="99"/>
        <v>0.99999964523259377</v>
      </c>
      <c r="X820" s="5">
        <f t="shared" si="100"/>
        <v>6</v>
      </c>
      <c r="Y820" s="5">
        <f t="shared" si="101"/>
        <v>9</v>
      </c>
      <c r="Z820" s="5">
        <f t="shared" si="102"/>
        <v>2024</v>
      </c>
      <c r="AA820" t="str">
        <f t="shared" si="103"/>
        <v>Clean</v>
      </c>
    </row>
    <row r="821" spans="1:27" x14ac:dyDescent="0.3">
      <c r="A821" t="str">
        <f>[1]raw_orders!A821</f>
        <v>ORD-2024-10820</v>
      </c>
      <c r="B821" s="4" t="str">
        <f>IFERROR(DATEVALUE([1]raw_orders!B821), "Invalid Date")</f>
        <v>Invalid Date</v>
      </c>
      <c r="C821" s="4">
        <f>IFERROR(DATEVALUE([1]raw_orders!C821), "Invalid Date")</f>
        <v>45504</v>
      </c>
      <c r="D821" t="str">
        <f>[1]raw_orders!D821</f>
        <v>CUST-7510</v>
      </c>
      <c r="E821" t="str">
        <f>PROPER(TRIM([1]raw_orders!E821))</f>
        <v>Karan Malhotra</v>
      </c>
      <c r="F821" t="str">
        <f>PROPER(TRIM([1]raw_orders!F821))</f>
        <v>Home Office</v>
      </c>
      <c r="G821" t="str">
        <f>IF(TRIM([1]raw_orders!G821)="","Unknown",PROPER(TRIM([1]raw_orders!G821)))</f>
        <v>South</v>
      </c>
      <c r="H821" t="str">
        <f>PROPER(TRIM([1]raw_orders!H821))</f>
        <v>Kerala</v>
      </c>
      <c r="I821" t="str">
        <f>PROPER(TRIM([1]raw_orders!I821))</f>
        <v>Kochi</v>
      </c>
      <c r="J821" t="str">
        <f>PROPER(TRIM([1]raw_orders!J821))</f>
        <v>Technology</v>
      </c>
      <c r="K821" t="str">
        <f>PROPER(TRIM([1]raw_orders!K821))</f>
        <v>Machines</v>
      </c>
      <c r="L821" t="str">
        <f>[1]raw_orders!L821</f>
        <v>Prime Machines 524</v>
      </c>
      <c r="M821" t="str">
        <f>IF(TRIM([1]raw_orders!M821)="","Unknown",PROPER(TRIM([1]raw_orders!M821)))</f>
        <v>Standard Class</v>
      </c>
      <c r="N821" s="5">
        <f>[1]raw_orders!N821</f>
        <v>8</v>
      </c>
      <c r="O821" s="5">
        <f>[1]raw_orders!O821</f>
        <v>4246.01</v>
      </c>
      <c r="P821" s="5">
        <f>[1]raw_orders!P821</f>
        <v>0</v>
      </c>
      <c r="Q821" t="str">
        <f>PROPER(TRIM([1]raw_orders!T821))</f>
        <v>Failed</v>
      </c>
      <c r="R821" t="str">
        <f>PROPER(TRIM([1]raw_orders!U821))</f>
        <v>Cancelled</v>
      </c>
      <c r="S821" s="5">
        <f>[1]raw_orders!S821</f>
        <v>7065.64</v>
      </c>
      <c r="T821" s="5">
        <f t="shared" si="96"/>
        <v>70.656400000000005</v>
      </c>
      <c r="U821" s="5">
        <f t="shared" si="97"/>
        <v>-2366094.1677120002</v>
      </c>
      <c r="V821" s="5">
        <f t="shared" si="98"/>
        <v>-2366094.1677120002</v>
      </c>
      <c r="W821" s="5">
        <f t="shared" si="99"/>
        <v>1</v>
      </c>
      <c r="X821" s="5" t="str">
        <f t="shared" si="100"/>
        <v>Invalid Date</v>
      </c>
      <c r="Y821" s="5" t="e">
        <f t="shared" si="101"/>
        <v>#VALUE!</v>
      </c>
      <c r="Z821" s="5" t="e">
        <f t="shared" si="102"/>
        <v>#VALUE!</v>
      </c>
      <c r="AA821" t="str">
        <f t="shared" si="103"/>
        <v>Clean</v>
      </c>
    </row>
    <row r="822" spans="1:27" x14ac:dyDescent="0.3">
      <c r="A822" t="str">
        <f>[1]raw_orders!A822</f>
        <v>ORD-2025-10821</v>
      </c>
      <c r="B822" s="4">
        <f>IFERROR(DATEVALUE([1]raw_orders!B822), "Invalid Date")</f>
        <v>45694</v>
      </c>
      <c r="C822" s="4">
        <f>IFERROR(DATEVALUE([1]raw_orders!C822), "Invalid Date")</f>
        <v>45698</v>
      </c>
      <c r="D822" t="str">
        <f>[1]raw_orders!D822</f>
        <v>CUST-2041</v>
      </c>
      <c r="E822" t="str">
        <f>PROPER(TRIM([1]raw_orders!E822))</f>
        <v>Ananya Rao</v>
      </c>
      <c r="F822" t="str">
        <f>PROPER(TRIM([1]raw_orders!F822))</f>
        <v>Home Office</v>
      </c>
      <c r="G822" t="str">
        <f>IF(TRIM([1]raw_orders!G822)="","Unknown",PROPER(TRIM([1]raw_orders!G822)))</f>
        <v>North</v>
      </c>
      <c r="H822" t="str">
        <f>PROPER(TRIM([1]raw_orders!H822))</f>
        <v>Uttar Pradesh</v>
      </c>
      <c r="I822" t="str">
        <f>PROPER(TRIM([1]raw_orders!I822))</f>
        <v>Noida</v>
      </c>
      <c r="J822" t="str">
        <f>PROPER(TRIM([1]raw_orders!J822))</f>
        <v>Furniture</v>
      </c>
      <c r="K822" t="str">
        <f>PROPER(TRIM([1]raw_orders!K822))</f>
        <v>Bookcases</v>
      </c>
      <c r="L822" t="str">
        <f>[1]raw_orders!L822</f>
        <v>Classic Bookcases 882</v>
      </c>
      <c r="M822" t="str">
        <f>IF(TRIM([1]raw_orders!M822)="","Unknown",PROPER(TRIM([1]raw_orders!M822)))</f>
        <v>Standard Class</v>
      </c>
      <c r="N822" s="5">
        <f>[1]raw_orders!N822</f>
        <v>2</v>
      </c>
      <c r="O822" s="5">
        <f>[1]raw_orders!O822</f>
        <v>319.57</v>
      </c>
      <c r="P822" s="5">
        <f>[1]raw_orders!P822</f>
        <v>0.2</v>
      </c>
      <c r="Q822" t="str">
        <f>PROPER(TRIM([1]raw_orders!T822))</f>
        <v>Paid</v>
      </c>
      <c r="R822" t="str">
        <f>PROPER(TRIM([1]raw_orders!U822))</f>
        <v>Completed</v>
      </c>
      <c r="S822" s="5">
        <f>[1]raw_orders!S822</f>
        <v>74.88</v>
      </c>
      <c r="T822" s="5">
        <f t="shared" si="96"/>
        <v>0.74879999999999991</v>
      </c>
      <c r="U822" s="5">
        <f t="shared" si="97"/>
        <v>160.55196800000004</v>
      </c>
      <c r="V822" s="5">
        <f t="shared" si="98"/>
        <v>160.35196800000006</v>
      </c>
      <c r="W822" s="5">
        <f t="shared" si="99"/>
        <v>0.9987542974247442</v>
      </c>
      <c r="X822" s="5">
        <f t="shared" si="100"/>
        <v>4</v>
      </c>
      <c r="Y822" s="5">
        <f t="shared" si="101"/>
        <v>2</v>
      </c>
      <c r="Z822" s="5">
        <f t="shared" si="102"/>
        <v>2025</v>
      </c>
      <c r="AA822" t="str">
        <f t="shared" si="103"/>
        <v>Clean</v>
      </c>
    </row>
    <row r="823" spans="1:27" x14ac:dyDescent="0.3">
      <c r="A823" t="str">
        <f>[1]raw_orders!A823</f>
        <v>ORD-2024-10822</v>
      </c>
      <c r="B823" s="4">
        <f>IFERROR(DATEVALUE([1]raw_orders!B823), "Invalid Date")</f>
        <v>45476</v>
      </c>
      <c r="C823" s="4">
        <f>IFERROR(DATEVALUE([1]raw_orders!C823), "Invalid Date")</f>
        <v>45479</v>
      </c>
      <c r="D823" t="str">
        <f>[1]raw_orders!D823</f>
        <v>CUST-4466</v>
      </c>
      <c r="E823" t="str">
        <f>PROPER(TRIM([1]raw_orders!E823))</f>
        <v>Aarav Sharma</v>
      </c>
      <c r="F823" t="str">
        <f>PROPER(TRIM([1]raw_orders!F823))</f>
        <v>Corporate</v>
      </c>
      <c r="G823" t="str">
        <f>IF(TRIM([1]raw_orders!G823)="","Unknown",PROPER(TRIM([1]raw_orders!G823)))</f>
        <v>South</v>
      </c>
      <c r="H823" t="str">
        <f>PROPER(TRIM([1]raw_orders!H823))</f>
        <v>Karnataka</v>
      </c>
      <c r="I823" t="str">
        <f>PROPER(TRIM([1]raw_orders!I823))</f>
        <v>Bengaluru</v>
      </c>
      <c r="J823" t="str">
        <f>PROPER(TRIM([1]raw_orders!J823))</f>
        <v>Technology</v>
      </c>
      <c r="K823" t="str">
        <f>PROPER(TRIM([1]raw_orders!K823))</f>
        <v>Accessories</v>
      </c>
      <c r="L823" t="str">
        <f>[1]raw_orders!L823</f>
        <v>Classic Accessories 471</v>
      </c>
      <c r="M823" t="str">
        <f>IF(TRIM([1]raw_orders!M823)="","Unknown",PROPER(TRIM([1]raw_orders!M823)))</f>
        <v>First Class</v>
      </c>
      <c r="N823" s="5">
        <f>[1]raw_orders!N823</f>
        <v>7</v>
      </c>
      <c r="O823" s="5">
        <f>[1]raw_orders!O823</f>
        <v>1942.49</v>
      </c>
      <c r="P823" s="5">
        <f>[1]raw_orders!P823</f>
        <v>0.2</v>
      </c>
      <c r="Q823" t="str">
        <f>PROPER(TRIM([1]raw_orders!T823))</f>
        <v>Paid</v>
      </c>
      <c r="R823" t="str">
        <f>PROPER(TRIM([1]raw_orders!U823))</f>
        <v>Completed</v>
      </c>
      <c r="S823" s="5">
        <f>[1]raw_orders!S823</f>
        <v>1767.8</v>
      </c>
      <c r="T823" s="5">
        <f t="shared" si="96"/>
        <v>17.678000000000001</v>
      </c>
      <c r="U823" s="5">
        <f t="shared" si="97"/>
        <v>-226777.93754000001</v>
      </c>
      <c r="V823" s="5">
        <f t="shared" si="98"/>
        <v>-226778.13754000003</v>
      </c>
      <c r="W823" s="5">
        <f t="shared" si="99"/>
        <v>1.0000008819200059</v>
      </c>
      <c r="X823" s="5">
        <f t="shared" si="100"/>
        <v>3</v>
      </c>
      <c r="Y823" s="5">
        <f t="shared" si="101"/>
        <v>7</v>
      </c>
      <c r="Z823" s="5">
        <f t="shared" si="102"/>
        <v>2024</v>
      </c>
      <c r="AA823" t="str">
        <f t="shared" si="103"/>
        <v>Clean</v>
      </c>
    </row>
    <row r="824" spans="1:27" x14ac:dyDescent="0.3">
      <c r="A824" t="str">
        <f>[1]raw_orders!A824</f>
        <v>ORD-2024-10823</v>
      </c>
      <c r="B824" s="4">
        <f>IFERROR(DATEVALUE([1]raw_orders!B824), "Invalid Date")</f>
        <v>45636</v>
      </c>
      <c r="C824" s="4">
        <f>IFERROR(DATEVALUE([1]raw_orders!C824), "Invalid Date")</f>
        <v>45573</v>
      </c>
      <c r="D824" t="str">
        <f>[1]raw_orders!D824</f>
        <v>CUST-3188</v>
      </c>
      <c r="E824" t="str">
        <f>PROPER(TRIM([1]raw_orders!E824))</f>
        <v>Mira Das</v>
      </c>
      <c r="F824" t="str">
        <f>PROPER(TRIM([1]raw_orders!F824))</f>
        <v>Corporate</v>
      </c>
      <c r="G824" t="str">
        <f>IF(TRIM([1]raw_orders!G824)="","Unknown",PROPER(TRIM([1]raw_orders!G824)))</f>
        <v>East</v>
      </c>
      <c r="H824" t="str">
        <f>PROPER(TRIM([1]raw_orders!H824))</f>
        <v>Assam</v>
      </c>
      <c r="I824" t="str">
        <f>PROPER(TRIM([1]raw_orders!I824))</f>
        <v>Guwahati</v>
      </c>
      <c r="J824" t="str">
        <f>PROPER(TRIM([1]raw_orders!J824))</f>
        <v>Furniture</v>
      </c>
      <c r="K824" t="str">
        <f>PROPER(TRIM([1]raw_orders!K824))</f>
        <v>Furnishings</v>
      </c>
      <c r="L824" t="str">
        <f>[1]raw_orders!L824</f>
        <v>Smart Furnishings 175</v>
      </c>
      <c r="M824" t="str">
        <f>IF(TRIM([1]raw_orders!M824)="","Unknown",PROPER(TRIM([1]raw_orders!M824)))</f>
        <v>Second Class</v>
      </c>
      <c r="N824" s="5">
        <f>[1]raw_orders!N824</f>
        <v>4</v>
      </c>
      <c r="O824" s="5">
        <f>[1]raw_orders!O824</f>
        <v>3202.04</v>
      </c>
      <c r="P824" s="5">
        <f>[1]raw_orders!P824</f>
        <v>0.2</v>
      </c>
      <c r="Q824" t="str">
        <f>PROPER(TRIM([1]raw_orders!T824))</f>
        <v>Pending</v>
      </c>
      <c r="R824" t="str">
        <f>PROPER(TRIM([1]raw_orders!U824))</f>
        <v>Returned</v>
      </c>
      <c r="S824" s="5">
        <f>[1]raw_orders!S824</f>
        <v>1612.11</v>
      </c>
      <c r="T824" s="5">
        <f t="shared" si="96"/>
        <v>16.121099999999998</v>
      </c>
      <c r="U824" s="5">
        <f t="shared" si="97"/>
        <v>-193673.46817599997</v>
      </c>
      <c r="V824" s="5">
        <f t="shared" si="98"/>
        <v>-193673.66817599998</v>
      </c>
      <c r="W824" s="5">
        <f t="shared" si="99"/>
        <v>1.0000010326659707</v>
      </c>
      <c r="X824" s="5">
        <f t="shared" si="100"/>
        <v>-63</v>
      </c>
      <c r="Y824" s="5">
        <f t="shared" si="101"/>
        <v>12</v>
      </c>
      <c r="Z824" s="5">
        <f t="shared" si="102"/>
        <v>2024</v>
      </c>
      <c r="AA824" t="str">
        <f t="shared" si="103"/>
        <v>Invalid</v>
      </c>
    </row>
    <row r="825" spans="1:27" x14ac:dyDescent="0.3">
      <c r="A825" t="str">
        <f>[1]raw_orders!A825</f>
        <v>ORD-2025-10824</v>
      </c>
      <c r="B825" s="4">
        <f>IFERROR(DATEVALUE([1]raw_orders!B825), "Invalid Date")</f>
        <v>45663</v>
      </c>
      <c r="C825" s="4">
        <f>IFERROR(DATEVALUE([1]raw_orders!C825), "Invalid Date")</f>
        <v>45669</v>
      </c>
      <c r="D825" t="str">
        <f>[1]raw_orders!D825</f>
        <v>CUST-6638</v>
      </c>
      <c r="E825" t="str">
        <f>PROPER(TRIM([1]raw_orders!E825))</f>
        <v>Mira Das</v>
      </c>
      <c r="F825" t="str">
        <f>PROPER(TRIM([1]raw_orders!F825))</f>
        <v>Home Office</v>
      </c>
      <c r="G825" t="str">
        <f>IF(TRIM([1]raw_orders!G825)="","Unknown",PROPER(TRIM([1]raw_orders!G825)))</f>
        <v>West</v>
      </c>
      <c r="H825" t="str">
        <f>PROPER(TRIM([1]raw_orders!H825))</f>
        <v>Goa</v>
      </c>
      <c r="I825" t="str">
        <f>PROPER(TRIM([1]raw_orders!I825))</f>
        <v>Panaji</v>
      </c>
      <c r="J825" t="str">
        <f>PROPER(TRIM([1]raw_orders!J825))</f>
        <v>Office Supplies</v>
      </c>
      <c r="K825" t="str">
        <f>PROPER(TRIM([1]raw_orders!K825))</f>
        <v>Paper</v>
      </c>
      <c r="L825" t="str">
        <f>[1]raw_orders!L825</f>
        <v>Basic Paper 899</v>
      </c>
      <c r="M825" t="str">
        <f>IF(TRIM([1]raw_orders!M825)="","Unknown",PROPER(TRIM([1]raw_orders!M825)))</f>
        <v>Same Day</v>
      </c>
      <c r="N825" s="5">
        <f>[1]raw_orders!N825</f>
        <v>3</v>
      </c>
      <c r="O825" s="5">
        <f>[1]raw_orders!O825</f>
        <v>668.33</v>
      </c>
      <c r="P825" s="5">
        <f>[1]raw_orders!P825</f>
        <v>0.15</v>
      </c>
      <c r="Q825" t="str">
        <f>PROPER(TRIM([1]raw_orders!T825))</f>
        <v>Paid</v>
      </c>
      <c r="R825" t="str">
        <f>PROPER(TRIM([1]raw_orders!U825))</f>
        <v>Completed</v>
      </c>
      <c r="S825" s="5">
        <f>[1]raw_orders!S825</f>
        <v>746.69</v>
      </c>
      <c r="T825" s="5">
        <f t="shared" si="96"/>
        <v>7.4669000000000008</v>
      </c>
      <c r="U825" s="5">
        <f t="shared" si="97"/>
        <v>-12966.069831000003</v>
      </c>
      <c r="V825" s="5">
        <f t="shared" si="98"/>
        <v>-12966.219831000002</v>
      </c>
      <c r="W825" s="5">
        <f t="shared" si="99"/>
        <v>1.0000115686558806</v>
      </c>
      <c r="X825" s="5">
        <f t="shared" si="100"/>
        <v>6</v>
      </c>
      <c r="Y825" s="5">
        <f t="shared" si="101"/>
        <v>1</v>
      </c>
      <c r="Z825" s="5">
        <f t="shared" si="102"/>
        <v>2025</v>
      </c>
      <c r="AA825" t="str">
        <f t="shared" si="103"/>
        <v>Clean</v>
      </c>
    </row>
    <row r="826" spans="1:27" x14ac:dyDescent="0.3">
      <c r="A826" t="str">
        <f>[1]raw_orders!A826</f>
        <v>ORD-2025-10825</v>
      </c>
      <c r="B826" s="4">
        <f>IFERROR(DATEVALUE([1]raw_orders!B826), "Invalid Date")</f>
        <v>45737</v>
      </c>
      <c r="C826" s="4">
        <f>IFERROR(DATEVALUE([1]raw_orders!C826), "Invalid Date")</f>
        <v>45738</v>
      </c>
      <c r="D826" t="str">
        <f>[1]raw_orders!D826</f>
        <v>CUST-3540</v>
      </c>
      <c r="E826" t="str">
        <f>PROPER(TRIM([1]raw_orders!E826))</f>
        <v>Priya Menon</v>
      </c>
      <c r="F826" t="str">
        <f>PROPER(TRIM([1]raw_orders!F826))</f>
        <v>Consumer</v>
      </c>
      <c r="G826" t="str">
        <f>IF(TRIM([1]raw_orders!G826)="","Unknown",PROPER(TRIM([1]raw_orders!G826)))</f>
        <v>West</v>
      </c>
      <c r="H826" t="str">
        <f>PROPER(TRIM([1]raw_orders!H826))</f>
        <v>Goa</v>
      </c>
      <c r="I826" t="str">
        <f>PROPER(TRIM([1]raw_orders!I826))</f>
        <v>Panaji</v>
      </c>
      <c r="J826" t="str">
        <f>PROPER(TRIM([1]raw_orders!J826))</f>
        <v>Office Supplies</v>
      </c>
      <c r="K826" t="str">
        <f>PROPER(TRIM([1]raw_orders!K826))</f>
        <v>Paper</v>
      </c>
      <c r="L826" t="str">
        <f>[1]raw_orders!L826</f>
        <v>Pro Paper 267</v>
      </c>
      <c r="M826" t="str">
        <f>IF(TRIM([1]raw_orders!M826)="","Unknown",PROPER(TRIM([1]raw_orders!M826)))</f>
        <v>First Class</v>
      </c>
      <c r="N826" s="5">
        <f>[1]raw_orders!N826</f>
        <v>8</v>
      </c>
      <c r="O826" s="5">
        <f>[1]raw_orders!O826</f>
        <v>4436.74</v>
      </c>
      <c r="P826" s="5">
        <f>[1]raw_orders!P826</f>
        <v>0.05</v>
      </c>
      <c r="Q826" t="str">
        <f>PROPER(TRIM([1]raw_orders!T826))</f>
        <v>Paid</v>
      </c>
      <c r="R826" t="str">
        <f>PROPER(TRIM([1]raw_orders!U826))</f>
        <v>Completed</v>
      </c>
      <c r="S826" s="5">
        <f>[1]raw_orders!S826</f>
        <v>4794.79</v>
      </c>
      <c r="T826" s="5">
        <f t="shared" si="96"/>
        <v>47.947899999999997</v>
      </c>
      <c r="U826" s="5">
        <f t="shared" si="97"/>
        <v>-1666365.0067679998</v>
      </c>
      <c r="V826" s="5">
        <f t="shared" si="98"/>
        <v>-1666365.0567679999</v>
      </c>
      <c r="W826" s="5">
        <f t="shared" si="99"/>
        <v>1.0000000300054308</v>
      </c>
      <c r="X826" s="5">
        <f t="shared" si="100"/>
        <v>1</v>
      </c>
      <c r="Y826" s="5">
        <f t="shared" si="101"/>
        <v>3</v>
      </c>
      <c r="Z826" s="5">
        <f t="shared" si="102"/>
        <v>2025</v>
      </c>
      <c r="AA826" t="str">
        <f t="shared" si="103"/>
        <v>Clean</v>
      </c>
    </row>
    <row r="827" spans="1:27" x14ac:dyDescent="0.3">
      <c r="A827" t="str">
        <f>[1]raw_orders!A827</f>
        <v>ORD-2025-10826</v>
      </c>
      <c r="B827" s="4">
        <f>IFERROR(DATEVALUE([1]raw_orders!B827), "Invalid Date")</f>
        <v>45763</v>
      </c>
      <c r="C827" s="4">
        <f>IFERROR(DATEVALUE([1]raw_orders!C827), "Invalid Date")</f>
        <v>45764</v>
      </c>
      <c r="D827" t="str">
        <f>[1]raw_orders!D827</f>
        <v>CUST-3351</v>
      </c>
      <c r="E827" t="str">
        <f>PROPER(TRIM([1]raw_orders!E827))</f>
        <v>Vikram Iyer</v>
      </c>
      <c r="F827" t="str">
        <f>PROPER(TRIM([1]raw_orders!F827))</f>
        <v>Small Business</v>
      </c>
      <c r="G827" t="str">
        <f>IF(TRIM([1]raw_orders!G827)="","Unknown",PROPER(TRIM([1]raw_orders!G827)))</f>
        <v>North</v>
      </c>
      <c r="H827" t="str">
        <f>PROPER(TRIM([1]raw_orders!H827))</f>
        <v>Uttar Pradesh</v>
      </c>
      <c r="I827" t="str">
        <f>PROPER(TRIM([1]raw_orders!I827))</f>
        <v>Noida</v>
      </c>
      <c r="J827" t="str">
        <f>PROPER(TRIM([1]raw_orders!J827))</f>
        <v>Technology</v>
      </c>
      <c r="K827" t="str">
        <f>PROPER(TRIM([1]raw_orders!K827))</f>
        <v>Machines</v>
      </c>
      <c r="L827" t="str">
        <f>[1]raw_orders!L827</f>
        <v>Basic Machines 832</v>
      </c>
      <c r="M827" t="str">
        <f>IF(TRIM([1]raw_orders!M827)="","Unknown",PROPER(TRIM([1]raw_orders!M827)))</f>
        <v>First Class</v>
      </c>
      <c r="N827" s="5">
        <f>[1]raw_orders!N827</f>
        <v>1</v>
      </c>
      <c r="O827" s="5">
        <f>[1]raw_orders!O827</f>
        <v>2720.17</v>
      </c>
      <c r="P827" s="5">
        <f>[1]raw_orders!P827</f>
        <v>0</v>
      </c>
      <c r="Q827" t="str">
        <f>PROPER(TRIM([1]raw_orders!T827))</f>
        <v>Paid</v>
      </c>
      <c r="R827" t="str">
        <f>PROPER(TRIM([1]raw_orders!U827))</f>
        <v>Completed</v>
      </c>
      <c r="S827" s="5">
        <f>[1]raw_orders!S827</f>
        <v>885.94</v>
      </c>
      <c r="T827" s="5">
        <f t="shared" si="96"/>
        <v>8.8594000000000008</v>
      </c>
      <c r="U827" s="5">
        <f t="shared" si="97"/>
        <v>-21378.904098000003</v>
      </c>
      <c r="V827" s="5">
        <f t="shared" si="98"/>
        <v>-21378.904098000003</v>
      </c>
      <c r="W827" s="5">
        <f t="shared" si="99"/>
        <v>1</v>
      </c>
      <c r="X827" s="5">
        <f t="shared" si="100"/>
        <v>1</v>
      </c>
      <c r="Y827" s="5">
        <f t="shared" si="101"/>
        <v>4</v>
      </c>
      <c r="Z827" s="5">
        <f t="shared" si="102"/>
        <v>2025</v>
      </c>
      <c r="AA827" t="str">
        <f t="shared" si="103"/>
        <v>Clean</v>
      </c>
    </row>
    <row r="828" spans="1:27" x14ac:dyDescent="0.3">
      <c r="A828" t="str">
        <f>[1]raw_orders!A828</f>
        <v>ORD-2025-10827</v>
      </c>
      <c r="B828" s="4">
        <f>IFERROR(DATEVALUE([1]raw_orders!B828), "Invalid Date")</f>
        <v>45879</v>
      </c>
      <c r="C828" s="4">
        <f>IFERROR(DATEVALUE([1]raw_orders!C828), "Invalid Date")</f>
        <v>45883</v>
      </c>
      <c r="D828" t="str">
        <f>[1]raw_orders!D828</f>
        <v>CUST-4375</v>
      </c>
      <c r="E828" t="str">
        <f>PROPER(TRIM([1]raw_orders!E828))</f>
        <v>Aditi Sen</v>
      </c>
      <c r="F828" t="str">
        <f>PROPER(TRIM([1]raw_orders!F828))</f>
        <v>Consumer</v>
      </c>
      <c r="G828" t="str">
        <f>IF(TRIM([1]raw_orders!G828)="","Unknown",PROPER(TRIM([1]raw_orders!G828)))</f>
        <v>West</v>
      </c>
      <c r="H828" t="str">
        <f>PROPER(TRIM([1]raw_orders!H828))</f>
        <v>Rajasthan</v>
      </c>
      <c r="I828" t="str">
        <f>PROPER(TRIM([1]raw_orders!I828))</f>
        <v>Udaipur</v>
      </c>
      <c r="J828" t="str">
        <f>PROPER(TRIM([1]raw_orders!J828))</f>
        <v>Technology</v>
      </c>
      <c r="K828" t="str">
        <f>PROPER(TRIM([1]raw_orders!K828))</f>
        <v>Accessories</v>
      </c>
      <c r="L828" t="str">
        <f>[1]raw_orders!L828</f>
        <v>Elite Accessories 790</v>
      </c>
      <c r="M828" t="str">
        <f>IF(TRIM([1]raw_orders!M828)="","Unknown",PROPER(TRIM([1]raw_orders!M828)))</f>
        <v>Standard Class</v>
      </c>
      <c r="N828" s="5">
        <f>[1]raw_orders!N828</f>
        <v>5</v>
      </c>
      <c r="O828" s="5">
        <f>[1]raw_orders!O828</f>
        <v>2190.14</v>
      </c>
      <c r="P828" s="5">
        <f>[1]raw_orders!P828</f>
        <v>0.25</v>
      </c>
      <c r="Q828" t="str">
        <f>PROPER(TRIM([1]raw_orders!T828))</f>
        <v>Paid</v>
      </c>
      <c r="R828" t="str">
        <f>PROPER(TRIM([1]raw_orders!U828))</f>
        <v>Completed</v>
      </c>
      <c r="S828" s="5">
        <f>[1]raw_orders!S828</f>
        <v>2643.72</v>
      </c>
      <c r="T828" s="5">
        <f t="shared" si="96"/>
        <v>26.437199999999997</v>
      </c>
      <c r="U828" s="5">
        <f t="shared" si="97"/>
        <v>-278555.14603999996</v>
      </c>
      <c r="V828" s="5">
        <f t="shared" si="98"/>
        <v>-278555.39603999996</v>
      </c>
      <c r="W828" s="5">
        <f t="shared" si="99"/>
        <v>1.0000008974883556</v>
      </c>
      <c r="X828" s="5">
        <f t="shared" si="100"/>
        <v>4</v>
      </c>
      <c r="Y828" s="5">
        <f t="shared" si="101"/>
        <v>8</v>
      </c>
      <c r="Z828" s="5">
        <f t="shared" si="102"/>
        <v>2025</v>
      </c>
      <c r="AA828" t="str">
        <f t="shared" si="103"/>
        <v>Clean</v>
      </c>
    </row>
    <row r="829" spans="1:27" x14ac:dyDescent="0.3">
      <c r="A829" t="str">
        <f>[1]raw_orders!A829</f>
        <v>ORD-2024-10828</v>
      </c>
      <c r="B829" s="4">
        <f>IFERROR(DATEVALUE([1]raw_orders!B829), "Invalid Date")</f>
        <v>45620</v>
      </c>
      <c r="C829" s="4">
        <f>IFERROR(DATEVALUE([1]raw_orders!C829), "Invalid Date")</f>
        <v>45627</v>
      </c>
      <c r="D829" t="str">
        <f>[1]raw_orders!D829</f>
        <v>CUST-5125</v>
      </c>
      <c r="E829" t="str">
        <f>PROPER(TRIM([1]raw_orders!E829))</f>
        <v>Priya Menon</v>
      </c>
      <c r="F829" t="str">
        <f>PROPER(TRIM([1]raw_orders!F829))</f>
        <v>Home Office</v>
      </c>
      <c r="G829" t="str">
        <f>IF(TRIM([1]raw_orders!G829)="","Unknown",PROPER(TRIM([1]raw_orders!G829)))</f>
        <v>South</v>
      </c>
      <c r="H829" t="str">
        <f>PROPER(TRIM([1]raw_orders!H829))</f>
        <v>Tamil Nadu</v>
      </c>
      <c r="I829" t="str">
        <f>PROPER(TRIM([1]raw_orders!I829))</f>
        <v>Chennai</v>
      </c>
      <c r="J829" t="str">
        <f>PROPER(TRIM([1]raw_orders!J829))</f>
        <v>Office Supplies</v>
      </c>
      <c r="K829" t="str">
        <f>PROPER(TRIM([1]raw_orders!K829))</f>
        <v>Paper</v>
      </c>
      <c r="L829" t="str">
        <f>[1]raw_orders!L829</f>
        <v>Basic Paper 707</v>
      </c>
      <c r="M829" t="str">
        <f>IF(TRIM([1]raw_orders!M829)="","Unknown",PROPER(TRIM([1]raw_orders!M829)))</f>
        <v>Same Day</v>
      </c>
      <c r="N829" s="5">
        <f>[1]raw_orders!N829</f>
        <v>1</v>
      </c>
      <c r="O829" s="5">
        <f>[1]raw_orders!O829</f>
        <v>844.89</v>
      </c>
      <c r="P829" s="5">
        <f>[1]raw_orders!P829</f>
        <v>0.25</v>
      </c>
      <c r="Q829" t="str">
        <f>PROPER(TRIM([1]raw_orders!T829))</f>
        <v>Paid</v>
      </c>
      <c r="R829" t="str">
        <f>PROPER(TRIM([1]raw_orders!U829))</f>
        <v>Cancelled</v>
      </c>
      <c r="S829" s="5">
        <f>[1]raw_orders!S829</f>
        <v>113.2</v>
      </c>
      <c r="T829" s="5">
        <f t="shared" si="96"/>
        <v>1.1320000000000001</v>
      </c>
      <c r="U829" s="5">
        <f t="shared" si="97"/>
        <v>-111.5254800000001</v>
      </c>
      <c r="V829" s="5">
        <f t="shared" si="98"/>
        <v>-111.7754800000001</v>
      </c>
      <c r="W829" s="5">
        <f t="shared" si="99"/>
        <v>1.0022416402063457</v>
      </c>
      <c r="X829" s="5">
        <f t="shared" si="100"/>
        <v>7</v>
      </c>
      <c r="Y829" s="5">
        <f t="shared" si="101"/>
        <v>11</v>
      </c>
      <c r="Z829" s="5">
        <f t="shared" si="102"/>
        <v>2024</v>
      </c>
      <c r="AA829" t="str">
        <f t="shared" si="103"/>
        <v>Clean</v>
      </c>
    </row>
    <row r="830" spans="1:27" x14ac:dyDescent="0.3">
      <c r="A830" t="str">
        <f>[1]raw_orders!A830</f>
        <v>ORD-2025-10829</v>
      </c>
      <c r="B830" s="4">
        <f>IFERROR(DATEVALUE([1]raw_orders!B830), "Invalid Date")</f>
        <v>45940</v>
      </c>
      <c r="C830" s="4">
        <f>IFERROR(DATEVALUE([1]raw_orders!C830), "Invalid Date")</f>
        <v>45941</v>
      </c>
      <c r="D830" t="str">
        <f>[1]raw_orders!D830</f>
        <v>CUST-6010</v>
      </c>
      <c r="E830" t="str">
        <f>PROPER(TRIM([1]raw_orders!E830))</f>
        <v>Karan Malhotra</v>
      </c>
      <c r="F830" t="str">
        <f>PROPER(TRIM([1]raw_orders!F830))</f>
        <v>Corporate</v>
      </c>
      <c r="G830" t="str">
        <f>IF(TRIM([1]raw_orders!G830)="","Unknown",PROPER(TRIM([1]raw_orders!G830)))</f>
        <v>East</v>
      </c>
      <c r="H830" t="str">
        <f>PROPER(TRIM([1]raw_orders!H830))</f>
        <v>Odisha</v>
      </c>
      <c r="I830" t="str">
        <f>PROPER(TRIM([1]raw_orders!I830))</f>
        <v>Bhubaneswar</v>
      </c>
      <c r="J830" t="str">
        <f>PROPER(TRIM([1]raw_orders!J830))</f>
        <v>Furniture</v>
      </c>
      <c r="K830" t="str">
        <f>PROPER(TRIM([1]raw_orders!K830))</f>
        <v>Chairs</v>
      </c>
      <c r="L830" t="str">
        <f>[1]raw_orders!L830</f>
        <v>Elite Chairs 979</v>
      </c>
      <c r="M830" t="str">
        <f>IF(TRIM([1]raw_orders!M830)="","Unknown",PROPER(TRIM([1]raw_orders!M830)))</f>
        <v>Second Class</v>
      </c>
      <c r="N830" s="5">
        <f>[1]raw_orders!N830</f>
        <v>7</v>
      </c>
      <c r="O830" s="5">
        <f>[1]raw_orders!O830</f>
        <v>3791.96</v>
      </c>
      <c r="P830" s="5">
        <f>[1]raw_orders!P830</f>
        <v>0.05</v>
      </c>
      <c r="Q830" t="str">
        <f>PROPER(TRIM([1]raw_orders!T830))</f>
        <v>Failed</v>
      </c>
      <c r="R830" t="str">
        <f>PROPER(TRIM([1]raw_orders!U830))</f>
        <v>Cancelled</v>
      </c>
      <c r="S830" s="5">
        <f>[1]raw_orders!S830</f>
        <v>10999.59</v>
      </c>
      <c r="T830" s="5">
        <f t="shared" si="96"/>
        <v>109.99590000000001</v>
      </c>
      <c r="U830" s="5">
        <f t="shared" si="97"/>
        <v>-2893156.6507480005</v>
      </c>
      <c r="V830" s="5">
        <f t="shared" si="98"/>
        <v>-2893156.7007480003</v>
      </c>
      <c r="W830" s="5">
        <f t="shared" si="99"/>
        <v>1.0000000172821613</v>
      </c>
      <c r="X830" s="5">
        <f t="shared" si="100"/>
        <v>1</v>
      </c>
      <c r="Y830" s="5">
        <f t="shared" si="101"/>
        <v>10</v>
      </c>
      <c r="Z830" s="5">
        <f t="shared" si="102"/>
        <v>2025</v>
      </c>
      <c r="AA830" t="str">
        <f t="shared" si="103"/>
        <v>Clean</v>
      </c>
    </row>
    <row r="831" spans="1:27" x14ac:dyDescent="0.3">
      <c r="A831" t="str">
        <f>[1]raw_orders!A831</f>
        <v>ORD-2024-10830</v>
      </c>
      <c r="B831" s="4" t="str">
        <f>IFERROR(DATEVALUE([1]raw_orders!B831), "Invalid Date")</f>
        <v>Invalid Date</v>
      </c>
      <c r="C831" s="4">
        <f>IFERROR(DATEVALUE([1]raw_orders!C831), "Invalid Date")</f>
        <v>45350</v>
      </c>
      <c r="D831" t="str">
        <f>[1]raw_orders!D831</f>
        <v>CUST-9036</v>
      </c>
      <c r="E831" t="str">
        <f>PROPER(TRIM([1]raw_orders!E831))</f>
        <v>Aditi Sen</v>
      </c>
      <c r="F831" t="str">
        <f>PROPER(TRIM([1]raw_orders!F831))</f>
        <v>Small Business</v>
      </c>
      <c r="G831" t="str">
        <f>IF(TRIM([1]raw_orders!G831)="","Unknown",PROPER(TRIM([1]raw_orders!G831)))</f>
        <v>West</v>
      </c>
      <c r="H831" t="str">
        <f>PROPER(TRIM([1]raw_orders!H831))</f>
        <v>Goa</v>
      </c>
      <c r="I831" t="str">
        <f>PROPER(TRIM([1]raw_orders!I831))</f>
        <v>Panaji</v>
      </c>
      <c r="J831" t="str">
        <f>PROPER(TRIM([1]raw_orders!J831))</f>
        <v>Furniture</v>
      </c>
      <c r="K831" t="str">
        <f>PROPER(TRIM([1]raw_orders!K831))</f>
        <v>Furnishings</v>
      </c>
      <c r="L831" t="str">
        <f>[1]raw_orders!L831</f>
        <v>Pro Furnishings 192</v>
      </c>
      <c r="M831" t="str">
        <f>IF(TRIM([1]raw_orders!M831)="","Unknown",PROPER(TRIM([1]raw_orders!M831)))</f>
        <v>Second Class</v>
      </c>
      <c r="N831" s="5">
        <f>[1]raw_orders!N831</f>
        <v>7</v>
      </c>
      <c r="O831" s="5">
        <f>[1]raw_orders!O831</f>
        <v>1035.1400000000001</v>
      </c>
      <c r="P831" s="5">
        <f>[1]raw_orders!P831</f>
        <v>0.1</v>
      </c>
      <c r="Q831" t="str">
        <f>PROPER(TRIM([1]raw_orders!T831))</f>
        <v>Paid</v>
      </c>
      <c r="R831" t="str">
        <f>PROPER(TRIM([1]raw_orders!U831))</f>
        <v>Completed</v>
      </c>
      <c r="S831" s="5">
        <f>[1]raw_orders!S831</f>
        <v>2010.28</v>
      </c>
      <c r="T831" s="5">
        <f t="shared" si="96"/>
        <v>20.102799999999998</v>
      </c>
      <c r="U831" s="5">
        <f t="shared" si="97"/>
        <v>-138418.50674399998</v>
      </c>
      <c r="V831" s="5">
        <f t="shared" si="98"/>
        <v>-138418.60674399999</v>
      </c>
      <c r="W831" s="5">
        <f t="shared" si="99"/>
        <v>1.0000007224467475</v>
      </c>
      <c r="X831" s="5" t="str">
        <f t="shared" si="100"/>
        <v>Invalid Date</v>
      </c>
      <c r="Y831" s="5" t="e">
        <f t="shared" si="101"/>
        <v>#VALUE!</v>
      </c>
      <c r="Z831" s="5" t="e">
        <f t="shared" si="102"/>
        <v>#VALUE!</v>
      </c>
      <c r="AA831" t="str">
        <f t="shared" si="103"/>
        <v>Clean</v>
      </c>
    </row>
    <row r="832" spans="1:27" x14ac:dyDescent="0.3">
      <c r="A832" t="str">
        <f>[1]raw_orders!A832</f>
        <v>ORD-2025-10831</v>
      </c>
      <c r="B832" s="4">
        <f>IFERROR(DATEVALUE([1]raw_orders!B832), "Invalid Date")</f>
        <v>45853</v>
      </c>
      <c r="C832" s="4">
        <f>IFERROR(DATEVALUE([1]raw_orders!C832), "Invalid Date")</f>
        <v>45856</v>
      </c>
      <c r="D832" t="str">
        <f>[1]raw_orders!D832</f>
        <v>CUST-7929</v>
      </c>
      <c r="E832" t="str">
        <f>PROPER(TRIM([1]raw_orders!E832))</f>
        <v>Aditi Sen</v>
      </c>
      <c r="F832" t="str">
        <f>PROPER(TRIM([1]raw_orders!F832))</f>
        <v>Small Business</v>
      </c>
      <c r="G832" t="str">
        <f>IF(TRIM([1]raw_orders!G832)="","Unknown",PROPER(TRIM([1]raw_orders!G832)))</f>
        <v>Unknown</v>
      </c>
      <c r="H832" t="str">
        <f>PROPER(TRIM([1]raw_orders!H832))</f>
        <v>Tamil Nadu</v>
      </c>
      <c r="I832" t="str">
        <f>PROPER(TRIM([1]raw_orders!I832))</f>
        <v>Chennai</v>
      </c>
      <c r="J832" t="str">
        <f>PROPER(TRIM([1]raw_orders!J832))</f>
        <v>Technology</v>
      </c>
      <c r="K832" t="str">
        <f>PROPER(TRIM([1]raw_orders!K832))</f>
        <v>Machines</v>
      </c>
      <c r="L832" t="str">
        <f>[1]raw_orders!L832</f>
        <v>Smart Machines 951</v>
      </c>
      <c r="M832" t="str">
        <f>IF(TRIM([1]raw_orders!M832)="","Unknown",PROPER(TRIM([1]raw_orders!M832)))</f>
        <v>First Class</v>
      </c>
      <c r="N832" s="5">
        <f>[1]raw_orders!N832</f>
        <v>6</v>
      </c>
      <c r="O832" s="5">
        <f>[1]raw_orders!O832</f>
        <v>2382.88</v>
      </c>
      <c r="P832" s="5">
        <f>[1]raw_orders!P832</f>
        <v>0.1</v>
      </c>
      <c r="Q832" t="str">
        <f>PROPER(TRIM([1]raw_orders!T832))</f>
        <v>Paid</v>
      </c>
      <c r="R832" t="str">
        <f>PROPER(TRIM([1]raw_orders!U832))</f>
        <v>Completed</v>
      </c>
      <c r="S832" s="5">
        <f>[1]raw_orders!S832</f>
        <v>2798.61</v>
      </c>
      <c r="T832" s="5">
        <f t="shared" si="96"/>
        <v>27.9861</v>
      </c>
      <c r="U832" s="5">
        <f t="shared" si="97"/>
        <v>-385827.82780800003</v>
      </c>
      <c r="V832" s="5">
        <f t="shared" si="98"/>
        <v>-385827.92780800001</v>
      </c>
      <c r="W832" s="5">
        <f t="shared" si="99"/>
        <v>1.000000259182964</v>
      </c>
      <c r="X832" s="5">
        <f t="shared" si="100"/>
        <v>3</v>
      </c>
      <c r="Y832" s="5">
        <f t="shared" si="101"/>
        <v>7</v>
      </c>
      <c r="Z832" s="5">
        <f t="shared" si="102"/>
        <v>2025</v>
      </c>
      <c r="AA832" t="str">
        <f t="shared" si="103"/>
        <v>Warning</v>
      </c>
    </row>
    <row r="833" spans="1:27" x14ac:dyDescent="0.3">
      <c r="A833" t="str">
        <f>[1]raw_orders!A833</f>
        <v>ORD-2025-10832</v>
      </c>
      <c r="B833" s="4">
        <f>IFERROR(DATEVALUE([1]raw_orders!B833), "Invalid Date")</f>
        <v>45720</v>
      </c>
      <c r="C833" s="4">
        <f>IFERROR(DATEVALUE([1]raw_orders!C833), "Invalid Date")</f>
        <v>45750</v>
      </c>
      <c r="D833" t="str">
        <f>[1]raw_orders!D833</f>
        <v>CUST-1106</v>
      </c>
      <c r="E833" t="str">
        <f>PROPER(TRIM([1]raw_orders!E833))</f>
        <v>Diya Patel</v>
      </c>
      <c r="F833" t="str">
        <f>PROPER(TRIM([1]raw_orders!F833))</f>
        <v>Home Office</v>
      </c>
      <c r="G833" t="str">
        <f>IF(TRIM([1]raw_orders!G833)="","Unknown",PROPER(TRIM([1]raw_orders!G833)))</f>
        <v>Unknown</v>
      </c>
      <c r="H833" t="str">
        <f>PROPER(TRIM([1]raw_orders!H833))</f>
        <v>Haryana</v>
      </c>
      <c r="I833" t="str">
        <f>PROPER(TRIM([1]raw_orders!I833))</f>
        <v>Gurugram</v>
      </c>
      <c r="J833" t="str">
        <f>PROPER(TRIM([1]raw_orders!J833))</f>
        <v>Furniture</v>
      </c>
      <c r="K833" t="str">
        <f>PROPER(TRIM([1]raw_orders!K833))</f>
        <v>Chairs</v>
      </c>
      <c r="L833" t="str">
        <f>[1]raw_orders!L833</f>
        <v>Smart Chairs 794</v>
      </c>
      <c r="M833" t="str">
        <f>IF(TRIM([1]raw_orders!M833)="","Unknown",PROPER(TRIM([1]raw_orders!M833)))</f>
        <v>First Class</v>
      </c>
      <c r="N833" s="5">
        <f>[1]raw_orders!N833</f>
        <v>9</v>
      </c>
      <c r="O833" s="5">
        <f>[1]raw_orders!O833</f>
        <v>3462.7</v>
      </c>
      <c r="P833" s="5">
        <f>[1]raw_orders!P833</f>
        <v>0.15</v>
      </c>
      <c r="Q833" t="str">
        <f>PROPER(TRIM([1]raw_orders!T833))</f>
        <v>Failed</v>
      </c>
      <c r="R833" t="str">
        <f>PROPER(TRIM([1]raw_orders!U833))</f>
        <v>Returned</v>
      </c>
      <c r="S833" s="5">
        <f>[1]raw_orders!S833</f>
        <v>10671.19</v>
      </c>
      <c r="T833" s="5">
        <f t="shared" si="96"/>
        <v>106.7119</v>
      </c>
      <c r="U833" s="5">
        <f t="shared" si="97"/>
        <v>-3294437.3651700001</v>
      </c>
      <c r="V833" s="5">
        <f t="shared" si="98"/>
        <v>-3294437.51517</v>
      </c>
      <c r="W833" s="5">
        <f t="shared" si="99"/>
        <v>1.0000000455312952</v>
      </c>
      <c r="X833" s="5">
        <f t="shared" si="100"/>
        <v>30</v>
      </c>
      <c r="Y833" s="5">
        <f t="shared" si="101"/>
        <v>3</v>
      </c>
      <c r="Z833" s="5">
        <f t="shared" si="102"/>
        <v>2025</v>
      </c>
      <c r="AA833" t="str">
        <f t="shared" si="103"/>
        <v>Warning</v>
      </c>
    </row>
    <row r="834" spans="1:27" x14ac:dyDescent="0.3">
      <c r="A834" t="str">
        <f>[1]raw_orders!A834</f>
        <v>ORD-2025-10833</v>
      </c>
      <c r="B834" s="4">
        <f>IFERROR(DATEVALUE([1]raw_orders!B834), "Invalid Date")</f>
        <v>45803</v>
      </c>
      <c r="C834" s="4">
        <f>IFERROR(DATEVALUE([1]raw_orders!C834), "Invalid Date")</f>
        <v>45805</v>
      </c>
      <c r="D834" t="str">
        <f>[1]raw_orders!D834</f>
        <v>CUST-9557</v>
      </c>
      <c r="E834" t="str">
        <f>PROPER(TRIM([1]raw_orders!E834))</f>
        <v>Kabir Singh</v>
      </c>
      <c r="F834" t="str">
        <f>PROPER(TRIM([1]raw_orders!F834))</f>
        <v>Small Business</v>
      </c>
      <c r="G834" t="str">
        <f>IF(TRIM([1]raw_orders!G834)="","Unknown",PROPER(TRIM([1]raw_orders!G834)))</f>
        <v>South</v>
      </c>
      <c r="H834" t="str">
        <f>PROPER(TRIM([1]raw_orders!H834))</f>
        <v>Andhra Pradesh</v>
      </c>
      <c r="I834" t="str">
        <f>PROPER(TRIM([1]raw_orders!I834))</f>
        <v>Vijayawada</v>
      </c>
      <c r="J834" t="str">
        <f>PROPER(TRIM([1]raw_orders!J834))</f>
        <v>Technology</v>
      </c>
      <c r="K834" t="str">
        <f>PROPER(TRIM([1]raw_orders!K834))</f>
        <v>Phones</v>
      </c>
      <c r="L834" t="str">
        <f>[1]raw_orders!L834</f>
        <v>Max Phones 919</v>
      </c>
      <c r="M834" t="str">
        <f>IF(TRIM([1]raw_orders!M834)="","Unknown",PROPER(TRIM([1]raw_orders!M834)))</f>
        <v>Second Class</v>
      </c>
      <c r="N834" s="5">
        <f>[1]raw_orders!N834</f>
        <v>9</v>
      </c>
      <c r="O834" s="5">
        <f>[1]raw_orders!O834</f>
        <v>4302.0200000000004</v>
      </c>
      <c r="P834" s="5">
        <f>[1]raw_orders!P834</f>
        <v>0.05</v>
      </c>
      <c r="Q834" t="str">
        <f>PROPER(TRIM([1]raw_orders!T834))</f>
        <v>Paid</v>
      </c>
      <c r="R834" t="str">
        <f>PROPER(TRIM([1]raw_orders!U834))</f>
        <v>Completed</v>
      </c>
      <c r="S834" s="5">
        <f>[1]raw_orders!S834</f>
        <v>10879.46</v>
      </c>
      <c r="T834" s="5">
        <f t="shared" si="96"/>
        <v>108.79459999999999</v>
      </c>
      <c r="U834" s="5">
        <f t="shared" si="97"/>
        <v>-4173610.7258280003</v>
      </c>
      <c r="V834" s="5">
        <f t="shared" si="98"/>
        <v>-4173610.7758280002</v>
      </c>
      <c r="W834" s="5">
        <f t="shared" si="99"/>
        <v>1.0000000119800343</v>
      </c>
      <c r="X834" s="5">
        <f t="shared" si="100"/>
        <v>2</v>
      </c>
      <c r="Y834" s="5">
        <f t="shared" si="101"/>
        <v>5</v>
      </c>
      <c r="Z834" s="5">
        <f t="shared" si="102"/>
        <v>2025</v>
      </c>
      <c r="AA834" t="str">
        <f t="shared" si="103"/>
        <v>Clean</v>
      </c>
    </row>
    <row r="835" spans="1:27" x14ac:dyDescent="0.3">
      <c r="A835" t="str">
        <f>[1]raw_orders!A835</f>
        <v>ORD-2024-10834</v>
      </c>
      <c r="B835" s="4">
        <f>IFERROR(DATEVALUE([1]raw_orders!B835), "Invalid Date")</f>
        <v>45447</v>
      </c>
      <c r="C835" s="4">
        <f>IFERROR(DATEVALUE([1]raw_orders!C835), "Invalid Date")</f>
        <v>45388</v>
      </c>
      <c r="D835" t="str">
        <f>[1]raw_orders!D835</f>
        <v>CUST-2689</v>
      </c>
      <c r="E835" t="str">
        <f>PROPER(TRIM([1]raw_orders!E835))</f>
        <v>Rahul Verma</v>
      </c>
      <c r="F835" t="str">
        <f>PROPER(TRIM([1]raw_orders!F835))</f>
        <v>Home Office</v>
      </c>
      <c r="G835" t="str">
        <f>IF(TRIM([1]raw_orders!G835)="","Unknown",PROPER(TRIM([1]raw_orders!G835)))</f>
        <v>East</v>
      </c>
      <c r="H835" t="str">
        <f>PROPER(TRIM([1]raw_orders!H835))</f>
        <v>West Bengal</v>
      </c>
      <c r="I835" t="str">
        <f>PROPER(TRIM([1]raw_orders!I835))</f>
        <v>Kolkata</v>
      </c>
      <c r="J835" t="str">
        <f>PROPER(TRIM([1]raw_orders!J835))</f>
        <v>Furniture</v>
      </c>
      <c r="K835" t="str">
        <f>PROPER(TRIM([1]raw_orders!K835))</f>
        <v>Bookcases</v>
      </c>
      <c r="L835" t="str">
        <f>[1]raw_orders!L835</f>
        <v>Basic Bookcases 499</v>
      </c>
      <c r="M835" t="str">
        <f>IF(TRIM([1]raw_orders!M835)="","Unknown",PROPER(TRIM([1]raw_orders!M835)))</f>
        <v>First Class</v>
      </c>
      <c r="N835" s="5">
        <f>[1]raw_orders!N835</f>
        <v>6</v>
      </c>
      <c r="O835" s="5">
        <f>[1]raw_orders!O835</f>
        <v>3949.4</v>
      </c>
      <c r="P835" s="5">
        <f>[1]raw_orders!P835</f>
        <v>0</v>
      </c>
      <c r="Q835" t="str">
        <f>PROPER(TRIM([1]raw_orders!T835))</f>
        <v>Paid</v>
      </c>
      <c r="R835" t="str">
        <f>PROPER(TRIM([1]raw_orders!U835))</f>
        <v>Completed</v>
      </c>
      <c r="S835" s="5">
        <f>[1]raw_orders!S835</f>
        <v>5586.63</v>
      </c>
      <c r="T835" s="5">
        <f t="shared" ref="T835:T898" si="104">IF(AND(ISNUMBER(S835),S835&gt;=0,S835&lt;=1),S835,IF(S835="",0,IF(S835&lt;0,"INVALID - Negative",IF(S835&gt;1,S835/100,"INVALID"))))</f>
        <v>55.866300000000003</v>
      </c>
      <c r="U835" s="5">
        <f t="shared" ref="U835:U898" si="105">IF(AND(ISNUMBER(N835),ISNUMBER(O835),OR(ISNUMBER(T835),T835=0)),N835*O835*(1-IF(ISNUMBER(T835),T835,0)),"Calculation Error")</f>
        <v>-1300133.7913200001</v>
      </c>
      <c r="V835" s="5">
        <f t="shared" ref="V835:V898" si="106">IF(AND(ISNUMBER(U835),ISNUMBER(P835)),U835-P835,"Calculation Error")</f>
        <v>-1300133.7913200001</v>
      </c>
      <c r="W835" s="5">
        <f t="shared" ref="W835:W898" si="107">IF(AND(ISNUMBER(V835),ISNUMBER(U835),U835&lt;&gt;0),V835/U835,IF(U835=0,"N/A","Calculation Error"))</f>
        <v>1</v>
      </c>
      <c r="X835" s="5">
        <f t="shared" ref="X835:X898" si="108">IF(AND(ISNUMBER(B835),ISNUMBER(C835)),C835-B835,"Invalid Date")</f>
        <v>-59</v>
      </c>
      <c r="Y835" s="5">
        <f t="shared" ref="Y835:Y898" si="109">MONTH(B835)</f>
        <v>6</v>
      </c>
      <c r="Z835" s="5">
        <f t="shared" ref="Z835:Z898" si="110">YEAR(B835)</f>
        <v>2024</v>
      </c>
      <c r="AA835" t="str">
        <f t="shared" ref="AA835:AA898" si="111">IF(OR(G835="Unknown",M835="Unknown",T835="INVALID - Negative",T835="INVALID",X835&lt;0,R835="Duplicate ID - Review Required"),IF(OR(T835="INVALID - Negative",T835="INVALID",X835&lt;0,R835="Duplicate ID - Review Required"),"Invalid","Warning"),"Clean")</f>
        <v>Invalid</v>
      </c>
    </row>
    <row r="836" spans="1:27" x14ac:dyDescent="0.3">
      <c r="A836" t="str">
        <f>[1]raw_orders!A836</f>
        <v>ORD-2024-10835</v>
      </c>
      <c r="B836" s="4">
        <f>IFERROR(DATEVALUE([1]raw_orders!B836), "Invalid Date")</f>
        <v>45583</v>
      </c>
      <c r="C836" s="4">
        <f>IFERROR(DATEVALUE([1]raw_orders!C836), "Invalid Date")</f>
        <v>45587</v>
      </c>
      <c r="D836" t="str">
        <f>[1]raw_orders!D836</f>
        <v>CUST-2879</v>
      </c>
      <c r="E836" t="str">
        <f>PROPER(TRIM([1]raw_orders!E836))</f>
        <v>Aarav Sharma</v>
      </c>
      <c r="F836" t="str">
        <f>PROPER(TRIM([1]raw_orders!F836))</f>
        <v>Home Office</v>
      </c>
      <c r="G836" t="str">
        <f>IF(TRIM([1]raw_orders!G836)="","Unknown",PROPER(TRIM([1]raw_orders!G836)))</f>
        <v>South</v>
      </c>
      <c r="H836" t="str">
        <f>PROPER(TRIM([1]raw_orders!H836))</f>
        <v>Telangana</v>
      </c>
      <c r="I836" t="str">
        <f>PROPER(TRIM([1]raw_orders!I836))</f>
        <v>Hyderabad</v>
      </c>
      <c r="J836" t="str">
        <f>PROPER(TRIM([1]raw_orders!J836))</f>
        <v>Office Supplies</v>
      </c>
      <c r="K836" t="str">
        <f>PROPER(TRIM([1]raw_orders!K836))</f>
        <v>Art</v>
      </c>
      <c r="L836" t="str">
        <f>[1]raw_orders!L836</f>
        <v>Basic Art 143</v>
      </c>
      <c r="M836" t="str">
        <f>IF(TRIM([1]raw_orders!M836)="","Unknown",PROPER(TRIM([1]raw_orders!M836)))</f>
        <v>First Class</v>
      </c>
      <c r="N836" s="5">
        <f>[1]raw_orders!N836</f>
        <v>6</v>
      </c>
      <c r="O836" s="5">
        <f>[1]raw_orders!O836</f>
        <v>674.61</v>
      </c>
      <c r="P836" s="5">
        <f>[1]raw_orders!P836</f>
        <v>0</v>
      </c>
      <c r="Q836" t="str">
        <f>PROPER(TRIM([1]raw_orders!T836))</f>
        <v>Paid</v>
      </c>
      <c r="R836" t="str">
        <f>PROPER(TRIM([1]raw_orders!U836))</f>
        <v>Completed</v>
      </c>
      <c r="S836" s="5">
        <f>[1]raw_orders!S836</f>
        <v>1279.79</v>
      </c>
      <c r="T836" s="5">
        <f t="shared" si="104"/>
        <v>12.7979</v>
      </c>
      <c r="U836" s="5">
        <f t="shared" si="105"/>
        <v>-47753.887913999999</v>
      </c>
      <c r="V836" s="5">
        <f t="shared" si="106"/>
        <v>-47753.887913999999</v>
      </c>
      <c r="W836" s="5">
        <f t="shared" si="107"/>
        <v>1</v>
      </c>
      <c r="X836" s="5">
        <f t="shared" si="108"/>
        <v>4</v>
      </c>
      <c r="Y836" s="5">
        <f t="shared" si="109"/>
        <v>10</v>
      </c>
      <c r="Z836" s="5">
        <f t="shared" si="110"/>
        <v>2024</v>
      </c>
      <c r="AA836" t="str">
        <f t="shared" si="111"/>
        <v>Clean</v>
      </c>
    </row>
    <row r="837" spans="1:27" x14ac:dyDescent="0.3">
      <c r="A837" t="str">
        <f>[1]raw_orders!A837</f>
        <v>ORD-2025-10836</v>
      </c>
      <c r="B837" s="4" t="str">
        <f>IFERROR(DATEVALUE([1]raw_orders!B837), "Invalid Date")</f>
        <v>Invalid Date</v>
      </c>
      <c r="C837" s="4">
        <f>IFERROR(DATEVALUE([1]raw_orders!C837), "Invalid Date")</f>
        <v>45934</v>
      </c>
      <c r="D837" t="str">
        <f>[1]raw_orders!D837</f>
        <v>CUST-5150</v>
      </c>
      <c r="E837" t="str">
        <f>PROPER(TRIM([1]raw_orders!E837))</f>
        <v>Priya Menon</v>
      </c>
      <c r="F837" t="str">
        <f>PROPER(TRIM([1]raw_orders!F837))</f>
        <v>Small Business</v>
      </c>
      <c r="G837" t="str">
        <f>IF(TRIM([1]raw_orders!G837)="","Unknown",PROPER(TRIM([1]raw_orders!G837)))</f>
        <v>East</v>
      </c>
      <c r="H837" t="str">
        <f>PROPER(TRIM([1]raw_orders!H837))</f>
        <v>Assam</v>
      </c>
      <c r="I837" t="str">
        <f>PROPER(TRIM([1]raw_orders!I837))</f>
        <v>Guwahati</v>
      </c>
      <c r="J837" t="str">
        <f>PROPER(TRIM([1]raw_orders!J837))</f>
        <v>Technology</v>
      </c>
      <c r="K837" t="str">
        <f>PROPER(TRIM([1]raw_orders!K837))</f>
        <v>Phones</v>
      </c>
      <c r="L837" t="str">
        <f>[1]raw_orders!L837</f>
        <v>Prime Phones 338</v>
      </c>
      <c r="M837" t="str">
        <f>IF(TRIM([1]raw_orders!M837)="","Unknown",PROPER(TRIM([1]raw_orders!M837)))</f>
        <v>Second Class</v>
      </c>
      <c r="N837" s="5">
        <f>[1]raw_orders!N837</f>
        <v>7</v>
      </c>
      <c r="O837" s="5">
        <f>[1]raw_orders!O837</f>
        <v>1509.59</v>
      </c>
      <c r="P837" s="5">
        <f>[1]raw_orders!P837</f>
        <v>0.05</v>
      </c>
      <c r="Q837" t="str">
        <f>PROPER(TRIM([1]raw_orders!T837))</f>
        <v>Paid</v>
      </c>
      <c r="R837" t="str">
        <f>PROPER(TRIM([1]raw_orders!U837))</f>
        <v>Completed</v>
      </c>
      <c r="S837" s="5">
        <f>[1]raw_orders!S837</f>
        <v>4365.67</v>
      </c>
      <c r="T837" s="5">
        <f t="shared" si="104"/>
        <v>43.656700000000001</v>
      </c>
      <c r="U837" s="5">
        <f t="shared" si="105"/>
        <v>-450758.894271</v>
      </c>
      <c r="V837" s="5">
        <f t="shared" si="106"/>
        <v>-450758.94427099999</v>
      </c>
      <c r="W837" s="5">
        <f t="shared" si="107"/>
        <v>1.0000001109240453</v>
      </c>
      <c r="X837" s="5" t="str">
        <f t="shared" si="108"/>
        <v>Invalid Date</v>
      </c>
      <c r="Y837" s="5" t="e">
        <f t="shared" si="109"/>
        <v>#VALUE!</v>
      </c>
      <c r="Z837" s="5" t="e">
        <f t="shared" si="110"/>
        <v>#VALUE!</v>
      </c>
      <c r="AA837" t="str">
        <f t="shared" si="111"/>
        <v>Clean</v>
      </c>
    </row>
    <row r="838" spans="1:27" x14ac:dyDescent="0.3">
      <c r="A838" t="str">
        <f>[1]raw_orders!A838</f>
        <v>ORD-2024-10837</v>
      </c>
      <c r="B838" s="4">
        <f>IFERROR(DATEVALUE([1]raw_orders!B838), "Invalid Date")</f>
        <v>45641</v>
      </c>
      <c r="C838" s="4">
        <f>IFERROR(DATEVALUE([1]raw_orders!C838), "Invalid Date")</f>
        <v>45644</v>
      </c>
      <c r="D838" t="str">
        <f>[1]raw_orders!D838</f>
        <v>CUST-9776</v>
      </c>
      <c r="E838" t="str">
        <f>PROPER(TRIM([1]raw_orders!E838))</f>
        <v>Isha Nair</v>
      </c>
      <c r="F838" t="str">
        <f>PROPER(TRIM([1]raw_orders!F838))</f>
        <v>Small Business</v>
      </c>
      <c r="G838" t="str">
        <f>IF(TRIM([1]raw_orders!G838)="","Unknown",PROPER(TRIM([1]raw_orders!G838)))</f>
        <v>North</v>
      </c>
      <c r="H838" t="str">
        <f>PROPER(TRIM([1]raw_orders!H838))</f>
        <v>Rajasthan</v>
      </c>
      <c r="I838" t="str">
        <f>PROPER(TRIM([1]raw_orders!I838))</f>
        <v>Jaipur</v>
      </c>
      <c r="J838" t="str">
        <f>PROPER(TRIM([1]raw_orders!J838))</f>
        <v>Office Supplies</v>
      </c>
      <c r="K838" t="str">
        <f>PROPER(TRIM([1]raw_orders!K838))</f>
        <v>Labels</v>
      </c>
      <c r="L838" t="str">
        <f>[1]raw_orders!L838</f>
        <v>Smart Labels 814</v>
      </c>
      <c r="M838" t="str">
        <f>IF(TRIM([1]raw_orders!M838)="","Unknown",PROPER(TRIM([1]raw_orders!M838)))</f>
        <v>Second Class</v>
      </c>
      <c r="N838" s="5">
        <f>[1]raw_orders!N838</f>
        <v>2</v>
      </c>
      <c r="O838" s="5">
        <f>[1]raw_orders!O838</f>
        <v>537.11</v>
      </c>
      <c r="P838" s="5">
        <f>[1]raw_orders!P838</f>
        <v>0</v>
      </c>
      <c r="Q838" t="str">
        <f>PROPER(TRIM([1]raw_orders!T838))</f>
        <v>Paid</v>
      </c>
      <c r="R838" t="str">
        <f>PROPER(TRIM([1]raw_orders!U838))</f>
        <v>Completed</v>
      </c>
      <c r="S838" s="5">
        <f>[1]raw_orders!S838</f>
        <v>223.36</v>
      </c>
      <c r="T838" s="5">
        <f t="shared" si="104"/>
        <v>2.2336</v>
      </c>
      <c r="U838" s="5">
        <f t="shared" si="105"/>
        <v>-1325.157792</v>
      </c>
      <c r="V838" s="5">
        <f t="shared" si="106"/>
        <v>-1325.157792</v>
      </c>
      <c r="W838" s="5">
        <f t="shared" si="107"/>
        <v>1</v>
      </c>
      <c r="X838" s="5">
        <f t="shared" si="108"/>
        <v>3</v>
      </c>
      <c r="Y838" s="5">
        <f t="shared" si="109"/>
        <v>12</v>
      </c>
      <c r="Z838" s="5">
        <f t="shared" si="110"/>
        <v>2024</v>
      </c>
      <c r="AA838" t="str">
        <f t="shared" si="111"/>
        <v>Clean</v>
      </c>
    </row>
    <row r="839" spans="1:27" x14ac:dyDescent="0.3">
      <c r="A839" t="str">
        <f>[1]raw_orders!A839</f>
        <v>ORD-2025-10838</v>
      </c>
      <c r="B839" s="4">
        <f>IFERROR(DATEVALUE([1]raw_orders!B839), "Invalid Date")</f>
        <v>45927</v>
      </c>
      <c r="C839" s="4" t="str">
        <f>IFERROR(DATEVALUE([1]raw_orders!C839), "Invalid Date")</f>
        <v>Invalid Date</v>
      </c>
      <c r="D839" t="str">
        <f>[1]raw_orders!D839</f>
        <v>CUST-2551</v>
      </c>
      <c r="E839" t="str">
        <f>PROPER(TRIM([1]raw_orders!E839))</f>
        <v>Karan Malhotra</v>
      </c>
      <c r="F839" t="str">
        <f>PROPER(TRIM([1]raw_orders!F839))</f>
        <v>Home Office</v>
      </c>
      <c r="G839" t="str">
        <f>IF(TRIM([1]raw_orders!G839)="","Unknown",PROPER(TRIM([1]raw_orders!G839)))</f>
        <v>West</v>
      </c>
      <c r="H839" t="str">
        <f>PROPER(TRIM([1]raw_orders!H839))</f>
        <v>Maharashtra</v>
      </c>
      <c r="I839" t="str">
        <f>PROPER(TRIM([1]raw_orders!I839))</f>
        <v>Mumbai</v>
      </c>
      <c r="J839" t="str">
        <f>PROPER(TRIM([1]raw_orders!J839))</f>
        <v>Office Supplies</v>
      </c>
      <c r="K839" t="str">
        <f>PROPER(TRIM([1]raw_orders!K839))</f>
        <v>Paper</v>
      </c>
      <c r="L839" t="str">
        <f>[1]raw_orders!L839</f>
        <v>Prime Paper 812</v>
      </c>
      <c r="M839" t="str">
        <f>IF(TRIM([1]raw_orders!M839)="","Unknown",PROPER(TRIM([1]raw_orders!M839)))</f>
        <v>First Class</v>
      </c>
      <c r="N839" s="5">
        <f>[1]raw_orders!N839</f>
        <v>3</v>
      </c>
      <c r="O839" s="5">
        <f>[1]raw_orders!O839</f>
        <v>4177.63</v>
      </c>
      <c r="P839" s="5">
        <f>[1]raw_orders!P839</f>
        <v>0.25</v>
      </c>
      <c r="Q839" t="str">
        <f>PROPER(TRIM([1]raw_orders!T839))</f>
        <v>Paid</v>
      </c>
      <c r="R839" t="str">
        <f>PROPER(TRIM([1]raw_orders!U839))</f>
        <v>Completed</v>
      </c>
      <c r="S839" s="5">
        <f>[1]raw_orders!S839</f>
        <v>2859.3</v>
      </c>
      <c r="T839" s="5">
        <f t="shared" si="104"/>
        <v>28.593000000000004</v>
      </c>
      <c r="U839" s="5">
        <f t="shared" si="105"/>
        <v>-345820.03377000004</v>
      </c>
      <c r="V839" s="5">
        <f t="shared" si="106"/>
        <v>-345820.28377000004</v>
      </c>
      <c r="W839" s="5">
        <f t="shared" si="107"/>
        <v>1.0000007229193673</v>
      </c>
      <c r="X839" s="5" t="str">
        <f t="shared" si="108"/>
        <v>Invalid Date</v>
      </c>
      <c r="Y839" s="5">
        <f t="shared" si="109"/>
        <v>9</v>
      </c>
      <c r="Z839" s="5">
        <f t="shared" si="110"/>
        <v>2025</v>
      </c>
      <c r="AA839" t="str">
        <f t="shared" si="111"/>
        <v>Clean</v>
      </c>
    </row>
    <row r="840" spans="1:27" x14ac:dyDescent="0.3">
      <c r="A840" t="str">
        <f>[1]raw_orders!A840</f>
        <v>ORD-2025-10839</v>
      </c>
      <c r="B840" s="4">
        <f>IFERROR(DATEVALUE([1]raw_orders!B840), "Invalid Date")</f>
        <v>45720</v>
      </c>
      <c r="C840" s="4">
        <f>IFERROR(DATEVALUE([1]raw_orders!C840), "Invalid Date")</f>
        <v>45754</v>
      </c>
      <c r="D840" t="str">
        <f>[1]raw_orders!D840</f>
        <v>CUST-4708</v>
      </c>
      <c r="E840" t="str">
        <f>PROPER(TRIM([1]raw_orders!E840))</f>
        <v>Ananya Rao</v>
      </c>
      <c r="F840" t="str">
        <f>PROPER(TRIM([1]raw_orders!F840))</f>
        <v>Small Business</v>
      </c>
      <c r="G840" t="str">
        <f>IF(TRIM([1]raw_orders!G840)="","Unknown",PROPER(TRIM([1]raw_orders!G840)))</f>
        <v>West</v>
      </c>
      <c r="H840" t="str">
        <f>PROPER(TRIM([1]raw_orders!H840))</f>
        <v>Goa</v>
      </c>
      <c r="I840" t="str">
        <f>PROPER(TRIM([1]raw_orders!I840))</f>
        <v>Panaji</v>
      </c>
      <c r="J840" t="str">
        <f>PROPER(TRIM([1]raw_orders!J840))</f>
        <v>Office Supplies</v>
      </c>
      <c r="K840" t="str">
        <f>PROPER(TRIM([1]raw_orders!K840))</f>
        <v>Paper</v>
      </c>
      <c r="L840" t="str">
        <f>[1]raw_orders!L840</f>
        <v>Pro Paper 355</v>
      </c>
      <c r="M840" t="str">
        <f>IF(TRIM([1]raw_orders!M840)="","Unknown",PROPER(TRIM([1]raw_orders!M840)))</f>
        <v>Same Day</v>
      </c>
      <c r="N840" s="5">
        <f>[1]raw_orders!N840</f>
        <v>1</v>
      </c>
      <c r="O840" s="5">
        <f>[1]raw_orders!O840</f>
        <v>1470.57</v>
      </c>
      <c r="P840" s="5">
        <f>[1]raw_orders!P840</f>
        <v>0</v>
      </c>
      <c r="Q840" t="str">
        <f>PROPER(TRIM([1]raw_orders!T840))</f>
        <v>Paid</v>
      </c>
      <c r="R840" t="str">
        <f>PROPER(TRIM([1]raw_orders!U840))</f>
        <v>Returned</v>
      </c>
      <c r="S840" s="5">
        <f>[1]raw_orders!S840</f>
        <v>636.54999999999995</v>
      </c>
      <c r="T840" s="5">
        <f t="shared" si="104"/>
        <v>6.3654999999999999</v>
      </c>
      <c r="U840" s="5">
        <f t="shared" si="105"/>
        <v>-7890.3433349999996</v>
      </c>
      <c r="V840" s="5">
        <f t="shared" si="106"/>
        <v>-7890.3433349999996</v>
      </c>
      <c r="W840" s="5">
        <f t="shared" si="107"/>
        <v>1</v>
      </c>
      <c r="X840" s="5">
        <f t="shared" si="108"/>
        <v>34</v>
      </c>
      <c r="Y840" s="5">
        <f t="shared" si="109"/>
        <v>3</v>
      </c>
      <c r="Z840" s="5">
        <f t="shared" si="110"/>
        <v>2025</v>
      </c>
      <c r="AA840" t="str">
        <f t="shared" si="111"/>
        <v>Clean</v>
      </c>
    </row>
    <row r="841" spans="1:27" x14ac:dyDescent="0.3">
      <c r="A841" t="str">
        <f>[1]raw_orders!A841</f>
        <v>ORD-2024-10840</v>
      </c>
      <c r="B841" s="4" t="str">
        <f>IFERROR(DATEVALUE([1]raw_orders!B841), "Invalid Date")</f>
        <v>Invalid Date</v>
      </c>
      <c r="C841" s="4">
        <f>IFERROR(DATEVALUE([1]raw_orders!C841), "Invalid Date")</f>
        <v>45557</v>
      </c>
      <c r="D841" t="str">
        <f>[1]raw_orders!D841</f>
        <v>CUST-8206</v>
      </c>
      <c r="E841" t="str">
        <f>PROPER(TRIM([1]raw_orders!E841))</f>
        <v>Rohan Mehta</v>
      </c>
      <c r="F841" t="str">
        <f>PROPER(TRIM([1]raw_orders!F841))</f>
        <v>Home Office</v>
      </c>
      <c r="G841" t="str">
        <f>IF(TRIM([1]raw_orders!G841)="","Unknown",PROPER(TRIM([1]raw_orders!G841)))</f>
        <v>East</v>
      </c>
      <c r="H841" t="str">
        <f>PROPER(TRIM([1]raw_orders!H841))</f>
        <v>Odisha</v>
      </c>
      <c r="I841" t="str">
        <f>PROPER(TRIM([1]raw_orders!I841))</f>
        <v>Bhubaneswar</v>
      </c>
      <c r="J841" t="str">
        <f>PROPER(TRIM([1]raw_orders!J841))</f>
        <v>Technology</v>
      </c>
      <c r="K841" t="str">
        <f>PROPER(TRIM([1]raw_orders!K841))</f>
        <v>Phones</v>
      </c>
      <c r="L841" t="str">
        <f>[1]raw_orders!L841</f>
        <v>Basic Phones 398</v>
      </c>
      <c r="M841" t="str">
        <f>IF(TRIM([1]raw_orders!M841)="","Unknown",PROPER(TRIM([1]raw_orders!M841)))</f>
        <v>Standard Class</v>
      </c>
      <c r="N841" s="5">
        <f>[1]raw_orders!N841</f>
        <v>8</v>
      </c>
      <c r="O841" s="5">
        <f>[1]raw_orders!O841</f>
        <v>531.42999999999995</v>
      </c>
      <c r="P841" s="5">
        <f>[1]raw_orders!P841</f>
        <v>0.1</v>
      </c>
      <c r="Q841" t="str">
        <f>PROPER(TRIM([1]raw_orders!T841))</f>
        <v>Paid</v>
      </c>
      <c r="R841" t="str">
        <f>PROPER(TRIM([1]raw_orders!U841))</f>
        <v>Completed</v>
      </c>
      <c r="S841" s="5">
        <f>[1]raw_orders!S841</f>
        <v>1632.18</v>
      </c>
      <c r="T841" s="5">
        <f t="shared" si="104"/>
        <v>16.3218</v>
      </c>
      <c r="U841" s="5">
        <f t="shared" si="105"/>
        <v>-65139.713391999991</v>
      </c>
      <c r="V841" s="5">
        <f t="shared" si="106"/>
        <v>-65139.813391999989</v>
      </c>
      <c r="W841" s="5">
        <f t="shared" si="107"/>
        <v>1.0000015351618052</v>
      </c>
      <c r="X841" s="5" t="str">
        <f t="shared" si="108"/>
        <v>Invalid Date</v>
      </c>
      <c r="Y841" s="5" t="e">
        <f t="shared" si="109"/>
        <v>#VALUE!</v>
      </c>
      <c r="Z841" s="5" t="e">
        <f t="shared" si="110"/>
        <v>#VALUE!</v>
      </c>
      <c r="AA841" t="str">
        <f t="shared" si="111"/>
        <v>Clean</v>
      </c>
    </row>
    <row r="842" spans="1:27" x14ac:dyDescent="0.3">
      <c r="A842" t="str">
        <f>[1]raw_orders!A842</f>
        <v>ORD-2025-10841</v>
      </c>
      <c r="B842" s="4">
        <f>IFERROR(DATEVALUE([1]raw_orders!B842), "Invalid Date")</f>
        <v>45919</v>
      </c>
      <c r="C842" s="4">
        <f>IFERROR(DATEVALUE([1]raw_orders!C842), "Invalid Date")</f>
        <v>45919</v>
      </c>
      <c r="D842" t="str">
        <f>[1]raw_orders!D842</f>
        <v>CUST-1297</v>
      </c>
      <c r="E842" t="str">
        <f>PROPER(TRIM([1]raw_orders!E842))</f>
        <v>Neha Gupta</v>
      </c>
      <c r="F842" t="str">
        <f>PROPER(TRIM([1]raw_orders!F842))</f>
        <v>Home Office</v>
      </c>
      <c r="G842" t="str">
        <f>IF(TRIM([1]raw_orders!G842)="","Unknown",PROPER(TRIM([1]raw_orders!G842)))</f>
        <v>North</v>
      </c>
      <c r="H842" t="str">
        <f>PROPER(TRIM([1]raw_orders!H842))</f>
        <v>Delhi</v>
      </c>
      <c r="I842" t="str">
        <f>PROPER(TRIM([1]raw_orders!I842))</f>
        <v>New Delhi</v>
      </c>
      <c r="J842" t="str">
        <f>PROPER(TRIM([1]raw_orders!J842))</f>
        <v>Furniture</v>
      </c>
      <c r="K842" t="str">
        <f>PROPER(TRIM([1]raw_orders!K842))</f>
        <v>Chairs</v>
      </c>
      <c r="L842" t="str">
        <f>[1]raw_orders!L842</f>
        <v>Classic Chairs 204</v>
      </c>
      <c r="M842" t="str">
        <f>IF(TRIM([1]raw_orders!M842)="","Unknown",PROPER(TRIM([1]raw_orders!M842)))</f>
        <v>Same Day</v>
      </c>
      <c r="N842" s="5">
        <f>[1]raw_orders!N842</f>
        <v>4</v>
      </c>
      <c r="O842" s="5">
        <f>[1]raw_orders!O842</f>
        <v>1584.11</v>
      </c>
      <c r="P842" s="5">
        <f>[1]raw_orders!P842</f>
        <v>0</v>
      </c>
      <c r="Q842" t="str">
        <f>PROPER(TRIM([1]raw_orders!T842))</f>
        <v>Paid</v>
      </c>
      <c r="R842" t="str">
        <f>PROPER(TRIM([1]raw_orders!U842))</f>
        <v>Completed</v>
      </c>
      <c r="S842" s="5">
        <f>[1]raw_orders!S842</f>
        <v>1655.76</v>
      </c>
      <c r="T842" s="5">
        <f t="shared" si="104"/>
        <v>16.557600000000001</v>
      </c>
      <c r="U842" s="5">
        <f t="shared" si="105"/>
        <v>-98579.798943999995</v>
      </c>
      <c r="V842" s="5">
        <f t="shared" si="106"/>
        <v>-98579.798943999995</v>
      </c>
      <c r="W842" s="5">
        <f t="shared" si="107"/>
        <v>1</v>
      </c>
      <c r="X842" s="5">
        <f t="shared" si="108"/>
        <v>0</v>
      </c>
      <c r="Y842" s="5">
        <f t="shared" si="109"/>
        <v>9</v>
      </c>
      <c r="Z842" s="5">
        <f t="shared" si="110"/>
        <v>2025</v>
      </c>
      <c r="AA842" t="str">
        <f t="shared" si="111"/>
        <v>Clean</v>
      </c>
    </row>
    <row r="843" spans="1:27" x14ac:dyDescent="0.3">
      <c r="A843" t="str">
        <f>[1]raw_orders!A843</f>
        <v>ORD-2025-10842</v>
      </c>
      <c r="B843" s="4">
        <f>IFERROR(DATEVALUE([1]raw_orders!B843), "Invalid Date")</f>
        <v>45694</v>
      </c>
      <c r="C843" s="4">
        <f>IFERROR(DATEVALUE([1]raw_orders!C843), "Invalid Date")</f>
        <v>45700</v>
      </c>
      <c r="D843" t="str">
        <f>[1]raw_orders!D843</f>
        <v>CUST-7558</v>
      </c>
      <c r="E843" t="str">
        <f>PROPER(TRIM([1]raw_orders!E843))</f>
        <v>Ananya Rao</v>
      </c>
      <c r="F843" t="str">
        <f>PROPER(TRIM([1]raw_orders!F843))</f>
        <v>Small Business</v>
      </c>
      <c r="G843" t="str">
        <f>IF(TRIM([1]raw_orders!G843)="","Unknown",PROPER(TRIM([1]raw_orders!G843)))</f>
        <v>East</v>
      </c>
      <c r="H843" t="str">
        <f>PROPER(TRIM([1]raw_orders!H843))</f>
        <v>Bihar</v>
      </c>
      <c r="I843" t="str">
        <f>PROPER(TRIM([1]raw_orders!I843))</f>
        <v>Patna</v>
      </c>
      <c r="J843" t="str">
        <f>PROPER(TRIM([1]raw_orders!J843))</f>
        <v>Office Supplies</v>
      </c>
      <c r="K843" t="str">
        <f>PROPER(TRIM([1]raw_orders!K843))</f>
        <v>Art</v>
      </c>
      <c r="L843" t="str">
        <f>[1]raw_orders!L843</f>
        <v>Max Art 339</v>
      </c>
      <c r="M843" t="str">
        <f>IF(TRIM([1]raw_orders!M843)="","Unknown",PROPER(TRIM([1]raw_orders!M843)))</f>
        <v>Standard Class</v>
      </c>
      <c r="N843" s="5">
        <f>[1]raw_orders!N843</f>
        <v>9</v>
      </c>
      <c r="O843" s="5">
        <f>[1]raw_orders!O843</f>
        <v>3237.16</v>
      </c>
      <c r="P843" s="5">
        <f>[1]raw_orders!P843</f>
        <v>0.25</v>
      </c>
      <c r="Q843" t="str">
        <f>PROPER(TRIM([1]raw_orders!T843))</f>
        <v>Paid</v>
      </c>
      <c r="R843" t="str">
        <f>PROPER(TRIM([1]raw_orders!U843))</f>
        <v>Completed</v>
      </c>
      <c r="S843" s="5">
        <f>[1]raw_orders!S843</f>
        <v>5250.7</v>
      </c>
      <c r="T843" s="5">
        <f t="shared" si="104"/>
        <v>52.506999999999998</v>
      </c>
      <c r="U843" s="5">
        <f t="shared" si="105"/>
        <v>-1500627.6010799999</v>
      </c>
      <c r="V843" s="5">
        <f t="shared" si="106"/>
        <v>-1500627.8510799999</v>
      </c>
      <c r="W843" s="5">
        <f t="shared" si="107"/>
        <v>1.0000001665969624</v>
      </c>
      <c r="X843" s="5">
        <f t="shared" si="108"/>
        <v>6</v>
      </c>
      <c r="Y843" s="5">
        <f t="shared" si="109"/>
        <v>2</v>
      </c>
      <c r="Z843" s="5">
        <f t="shared" si="110"/>
        <v>2025</v>
      </c>
      <c r="AA843" t="str">
        <f t="shared" si="111"/>
        <v>Clean</v>
      </c>
    </row>
    <row r="844" spans="1:27" x14ac:dyDescent="0.3">
      <c r="A844" t="str">
        <f>[1]raw_orders!A844</f>
        <v>ORD-2024-10843</v>
      </c>
      <c r="B844" s="4">
        <f>IFERROR(DATEVALUE([1]raw_orders!B844), "Invalid Date")</f>
        <v>45382</v>
      </c>
      <c r="C844" s="4" t="str">
        <f>IFERROR(DATEVALUE([1]raw_orders!C844), "Invalid Date")</f>
        <v>Invalid Date</v>
      </c>
      <c r="D844" t="str">
        <f>[1]raw_orders!D844</f>
        <v>CUST-1798</v>
      </c>
      <c r="E844" t="str">
        <f>PROPER(TRIM([1]raw_orders!E844))</f>
        <v>Kabir Singh</v>
      </c>
      <c r="F844" t="str">
        <f>PROPER(TRIM([1]raw_orders!F844))</f>
        <v>Consumer</v>
      </c>
      <c r="G844" t="str">
        <f>IF(TRIM([1]raw_orders!G844)="","Unknown",PROPER(TRIM([1]raw_orders!G844)))</f>
        <v>North</v>
      </c>
      <c r="H844" t="str">
        <f>PROPER(TRIM([1]raw_orders!H844))</f>
        <v>Haryana</v>
      </c>
      <c r="I844" t="str">
        <f>PROPER(TRIM([1]raw_orders!I844))</f>
        <v>Gurugram</v>
      </c>
      <c r="J844" t="str">
        <f>PROPER(TRIM([1]raw_orders!J844))</f>
        <v>Technology</v>
      </c>
      <c r="K844" t="str">
        <f>PROPER(TRIM([1]raw_orders!K844))</f>
        <v>Machines</v>
      </c>
      <c r="L844" t="str">
        <f>[1]raw_orders!L844</f>
        <v>Smart Machines 581</v>
      </c>
      <c r="M844" t="str">
        <f>IF(TRIM([1]raw_orders!M844)="","Unknown",PROPER(TRIM([1]raw_orders!M844)))</f>
        <v>First Class</v>
      </c>
      <c r="N844" s="5">
        <f>[1]raw_orders!N844</f>
        <v>4</v>
      </c>
      <c r="O844" s="5">
        <f>[1]raw_orders!O844</f>
        <v>2192.08</v>
      </c>
      <c r="P844" s="5">
        <f>[1]raw_orders!P844</f>
        <v>0.15</v>
      </c>
      <c r="Q844" t="str">
        <f>PROPER(TRIM([1]raw_orders!T844))</f>
        <v>Paid</v>
      </c>
      <c r="R844" t="str">
        <f>PROPER(TRIM([1]raw_orders!U844))</f>
        <v>Returned</v>
      </c>
      <c r="S844" s="5">
        <f>[1]raw_orders!S844</f>
        <v>2319.29</v>
      </c>
      <c r="T844" s="5">
        <f t="shared" si="104"/>
        <v>23.192899999999998</v>
      </c>
      <c r="U844" s="5">
        <f t="shared" si="105"/>
        <v>-194594.44892799997</v>
      </c>
      <c r="V844" s="5">
        <f t="shared" si="106"/>
        <v>-194594.59892799996</v>
      </c>
      <c r="W844" s="5">
        <f t="shared" si="107"/>
        <v>1.0000007708339103</v>
      </c>
      <c r="X844" s="5" t="str">
        <f t="shared" si="108"/>
        <v>Invalid Date</v>
      </c>
      <c r="Y844" s="5">
        <f t="shared" si="109"/>
        <v>3</v>
      </c>
      <c r="Z844" s="5">
        <f t="shared" si="110"/>
        <v>2024</v>
      </c>
      <c r="AA844" t="str">
        <f t="shared" si="111"/>
        <v>Clean</v>
      </c>
    </row>
    <row r="845" spans="1:27" x14ac:dyDescent="0.3">
      <c r="A845" t="str">
        <f>[1]raw_orders!A845</f>
        <v>ORD-2025-10844</v>
      </c>
      <c r="B845" s="4">
        <f>IFERROR(DATEVALUE([1]raw_orders!B845), "Invalid Date")</f>
        <v>45856</v>
      </c>
      <c r="C845" s="4">
        <f>IFERROR(DATEVALUE([1]raw_orders!C845), "Invalid Date")</f>
        <v>45863</v>
      </c>
      <c r="D845" t="str">
        <f>[1]raw_orders!D845</f>
        <v>CUST-7333</v>
      </c>
      <c r="E845" t="str">
        <f>PROPER(TRIM([1]raw_orders!E845))</f>
        <v>Priya Menon</v>
      </c>
      <c r="F845" t="str">
        <f>PROPER(TRIM([1]raw_orders!F845))</f>
        <v>Small Business</v>
      </c>
      <c r="G845" t="str">
        <f>IF(TRIM([1]raw_orders!G845)="","Unknown",PROPER(TRIM([1]raw_orders!G845)))</f>
        <v>North</v>
      </c>
      <c r="H845" t="str">
        <f>PROPER(TRIM([1]raw_orders!H845))</f>
        <v>Uttar Pradesh</v>
      </c>
      <c r="I845" t="str">
        <f>PROPER(TRIM([1]raw_orders!I845))</f>
        <v>Noida</v>
      </c>
      <c r="J845" t="str">
        <f>PROPER(TRIM([1]raw_orders!J845))</f>
        <v>Technology</v>
      </c>
      <c r="K845" t="str">
        <f>PROPER(TRIM([1]raw_orders!K845))</f>
        <v>Phones</v>
      </c>
      <c r="L845" t="str">
        <f>[1]raw_orders!L845</f>
        <v>Prime Phones 482</v>
      </c>
      <c r="M845" t="str">
        <f>IF(TRIM([1]raw_orders!M845)="","Unknown",PROPER(TRIM([1]raw_orders!M845)))</f>
        <v>First Class</v>
      </c>
      <c r="N845" s="5">
        <f>[1]raw_orders!N845</f>
        <v>9</v>
      </c>
      <c r="O845" s="5">
        <f>[1]raw_orders!O845</f>
        <v>3989.52</v>
      </c>
      <c r="P845" s="5">
        <f>[1]raw_orders!P845</f>
        <v>-0.02</v>
      </c>
      <c r="Q845" t="str">
        <f>PROPER(TRIM([1]raw_orders!T845))</f>
        <v>Paid</v>
      </c>
      <c r="R845" t="str">
        <f>PROPER(TRIM([1]raw_orders!U845))</f>
        <v>Completed</v>
      </c>
      <c r="S845" s="5">
        <f>[1]raw_orders!S845</f>
        <v>11989.58</v>
      </c>
      <c r="T845" s="5">
        <f t="shared" si="104"/>
        <v>119.89579999999999</v>
      </c>
      <c r="U845" s="5">
        <f t="shared" si="105"/>
        <v>-4269034.5481439997</v>
      </c>
      <c r="V845" s="5">
        <f t="shared" si="106"/>
        <v>-4269034.5281440001</v>
      </c>
      <c r="W845" s="5">
        <f t="shared" si="107"/>
        <v>0.99999999531510009</v>
      </c>
      <c r="X845" s="5">
        <f t="shared" si="108"/>
        <v>7</v>
      </c>
      <c r="Y845" s="5">
        <f t="shared" si="109"/>
        <v>7</v>
      </c>
      <c r="Z845" s="5">
        <f t="shared" si="110"/>
        <v>2025</v>
      </c>
      <c r="AA845" t="str">
        <f t="shared" si="111"/>
        <v>Clean</v>
      </c>
    </row>
    <row r="846" spans="1:27" x14ac:dyDescent="0.3">
      <c r="A846" t="str">
        <f>[1]raw_orders!A846</f>
        <v>ORD-2025-10845</v>
      </c>
      <c r="B846" s="4">
        <f>IFERROR(DATEVALUE([1]raw_orders!B846), "Invalid Date")</f>
        <v>45677</v>
      </c>
      <c r="C846" s="4">
        <f>IFERROR(DATEVALUE([1]raw_orders!C846), "Invalid Date")</f>
        <v>45682</v>
      </c>
      <c r="D846" t="str">
        <f>[1]raw_orders!D846</f>
        <v>CUST-2086</v>
      </c>
      <c r="E846" t="str">
        <f>PROPER(TRIM([1]raw_orders!E846))</f>
        <v>Aditi Sen</v>
      </c>
      <c r="F846" t="str">
        <f>PROPER(TRIM([1]raw_orders!F846))</f>
        <v>Home Office</v>
      </c>
      <c r="G846" t="str">
        <f>IF(TRIM([1]raw_orders!G846)="","Unknown",PROPER(TRIM([1]raw_orders!G846)))</f>
        <v>West</v>
      </c>
      <c r="H846" t="str">
        <f>PROPER(TRIM([1]raw_orders!H846))</f>
        <v>Goa</v>
      </c>
      <c r="I846" t="str">
        <f>PROPER(TRIM([1]raw_orders!I846))</f>
        <v>Panaji</v>
      </c>
      <c r="J846" t="str">
        <f>PROPER(TRIM([1]raw_orders!J846))</f>
        <v>Office Supplies</v>
      </c>
      <c r="K846" t="str">
        <f>PROPER(TRIM([1]raw_orders!K846))</f>
        <v>Art</v>
      </c>
      <c r="L846" t="str">
        <f>[1]raw_orders!L846</f>
        <v>Pro Art 588</v>
      </c>
      <c r="M846" t="str">
        <f>IF(TRIM([1]raw_orders!M846)="","Unknown",PROPER(TRIM([1]raw_orders!M846)))</f>
        <v>First Class</v>
      </c>
      <c r="N846" s="5">
        <f>[1]raw_orders!N846</f>
        <v>1</v>
      </c>
      <c r="O846" s="5">
        <f>[1]raw_orders!O846</f>
        <v>3515.15</v>
      </c>
      <c r="P846" s="5">
        <f>[1]raw_orders!P846</f>
        <v>0</v>
      </c>
      <c r="Q846" t="str">
        <f>PROPER(TRIM([1]raw_orders!T846))</f>
        <v>Paid</v>
      </c>
      <c r="R846" t="str">
        <f>PROPER(TRIM([1]raw_orders!U846))</f>
        <v>Completed</v>
      </c>
      <c r="S846" s="5">
        <f>[1]raw_orders!S846</f>
        <v>1298.81</v>
      </c>
      <c r="T846" s="5">
        <f t="shared" si="104"/>
        <v>12.988099999999999</v>
      </c>
      <c r="U846" s="5">
        <f t="shared" si="105"/>
        <v>-42139.969714999999</v>
      </c>
      <c r="V846" s="5">
        <f t="shared" si="106"/>
        <v>-42139.969714999999</v>
      </c>
      <c r="W846" s="5">
        <f t="shared" si="107"/>
        <v>1</v>
      </c>
      <c r="X846" s="5">
        <f t="shared" si="108"/>
        <v>5</v>
      </c>
      <c r="Y846" s="5">
        <f t="shared" si="109"/>
        <v>1</v>
      </c>
      <c r="Z846" s="5">
        <f t="shared" si="110"/>
        <v>2025</v>
      </c>
      <c r="AA846" t="str">
        <f t="shared" si="111"/>
        <v>Clean</v>
      </c>
    </row>
    <row r="847" spans="1:27" x14ac:dyDescent="0.3">
      <c r="A847" t="str">
        <f>[1]raw_orders!A847</f>
        <v>ORD-2024-10846</v>
      </c>
      <c r="B847" s="4">
        <f>IFERROR(DATEVALUE([1]raw_orders!B847), "Invalid Date")</f>
        <v>45345</v>
      </c>
      <c r="C847" s="4">
        <f>IFERROR(DATEVALUE([1]raw_orders!C847), "Invalid Date")</f>
        <v>45349</v>
      </c>
      <c r="D847" t="str">
        <f>[1]raw_orders!D847</f>
        <v>CUST-2367</v>
      </c>
      <c r="E847" t="str">
        <f>PROPER(TRIM([1]raw_orders!E847))</f>
        <v>Karan Malhotra</v>
      </c>
      <c r="F847" t="str">
        <f>PROPER(TRIM([1]raw_orders!F847))</f>
        <v>Consumer</v>
      </c>
      <c r="G847" t="str">
        <f>IF(TRIM([1]raw_orders!G847)="","Unknown",PROPER(TRIM([1]raw_orders!G847)))</f>
        <v>East</v>
      </c>
      <c r="H847" t="str">
        <f>PROPER(TRIM([1]raw_orders!H847))</f>
        <v>Odisha</v>
      </c>
      <c r="I847" t="str">
        <f>PROPER(TRIM([1]raw_orders!I847))</f>
        <v>Bhubaneswar</v>
      </c>
      <c r="J847" t="str">
        <f>PROPER(TRIM([1]raw_orders!J847))</f>
        <v>Furniture</v>
      </c>
      <c r="K847" t="str">
        <f>PROPER(TRIM([1]raw_orders!K847))</f>
        <v>Tables</v>
      </c>
      <c r="L847" t="str">
        <f>[1]raw_orders!L847</f>
        <v>Eco Tables 792</v>
      </c>
      <c r="M847" t="str">
        <f>IF(TRIM([1]raw_orders!M847)="","Unknown",PROPER(TRIM([1]raw_orders!M847)))</f>
        <v>First Class</v>
      </c>
      <c r="N847" s="5">
        <f>[1]raw_orders!N847</f>
        <v>9</v>
      </c>
      <c r="O847" s="5">
        <f>[1]raw_orders!O847</f>
        <v>3616.23</v>
      </c>
      <c r="P847" s="5">
        <f>[1]raw_orders!P847</f>
        <v>0.25</v>
      </c>
      <c r="Q847" t="str">
        <f>PROPER(TRIM([1]raw_orders!T847))</f>
        <v>Pending</v>
      </c>
      <c r="R847" t="str">
        <f>PROPER(TRIM([1]raw_orders!U847))</f>
        <v>Returned</v>
      </c>
      <c r="S847" s="5">
        <f>[1]raw_orders!S847</f>
        <v>7251.97</v>
      </c>
      <c r="T847" s="5">
        <f t="shared" si="104"/>
        <v>72.5197</v>
      </c>
      <c r="U847" s="5">
        <f t="shared" si="105"/>
        <v>-2327685.162579</v>
      </c>
      <c r="V847" s="5">
        <f t="shared" si="106"/>
        <v>-2327685.412579</v>
      </c>
      <c r="W847" s="5">
        <f t="shared" si="107"/>
        <v>1.0000001074028413</v>
      </c>
      <c r="X847" s="5">
        <f t="shared" si="108"/>
        <v>4</v>
      </c>
      <c r="Y847" s="5">
        <f t="shared" si="109"/>
        <v>2</v>
      </c>
      <c r="Z847" s="5">
        <f t="shared" si="110"/>
        <v>2024</v>
      </c>
      <c r="AA847" t="str">
        <f t="shared" si="111"/>
        <v>Clean</v>
      </c>
    </row>
    <row r="848" spans="1:27" x14ac:dyDescent="0.3">
      <c r="A848" t="str">
        <f>[1]raw_orders!A848</f>
        <v>ORD-2024-10847</v>
      </c>
      <c r="B848" s="4">
        <f>IFERROR(DATEVALUE([1]raw_orders!B848), "Invalid Date")</f>
        <v>45396</v>
      </c>
      <c r="C848" s="4">
        <f>IFERROR(DATEVALUE([1]raw_orders!C848), "Invalid Date")</f>
        <v>45404</v>
      </c>
      <c r="D848" t="str">
        <f>[1]raw_orders!D848</f>
        <v>CUST-6522</v>
      </c>
      <c r="E848" t="str">
        <f>PROPER(TRIM([1]raw_orders!E848))</f>
        <v>Priya Menon</v>
      </c>
      <c r="F848" t="str">
        <f>PROPER(TRIM([1]raw_orders!F848))</f>
        <v>Small Business</v>
      </c>
      <c r="G848" t="str">
        <f>IF(TRIM([1]raw_orders!G848)="","Unknown",PROPER(TRIM([1]raw_orders!G848)))</f>
        <v>West</v>
      </c>
      <c r="H848" t="str">
        <f>PROPER(TRIM([1]raw_orders!H848))</f>
        <v>Gujarat</v>
      </c>
      <c r="I848" t="str">
        <f>PROPER(TRIM([1]raw_orders!I848))</f>
        <v>Ahmedabad</v>
      </c>
      <c r="J848" t="str">
        <f>PROPER(TRIM([1]raw_orders!J848))</f>
        <v>Furniture</v>
      </c>
      <c r="K848" t="str">
        <f>PROPER(TRIM([1]raw_orders!K848))</f>
        <v>Bookcases</v>
      </c>
      <c r="L848" t="str">
        <f>[1]raw_orders!L848</f>
        <v>Prime Bookcases 177</v>
      </c>
      <c r="M848" t="str">
        <f>IF(TRIM([1]raw_orders!M848)="","Unknown",PROPER(TRIM([1]raw_orders!M848)))</f>
        <v>Standard Class</v>
      </c>
      <c r="N848" s="5">
        <f>[1]raw_orders!N848</f>
        <v>2</v>
      </c>
      <c r="O848" s="5">
        <f>[1]raw_orders!O848</f>
        <v>3977.52</v>
      </c>
      <c r="P848" s="5">
        <f>[1]raw_orders!P848</f>
        <v>0</v>
      </c>
      <c r="Q848" t="str">
        <f>PROPER(TRIM([1]raw_orders!T848))</f>
        <v>Pending</v>
      </c>
      <c r="R848" t="str">
        <f>PROPER(TRIM([1]raw_orders!U848))</f>
        <v>Returned</v>
      </c>
      <c r="S848" s="5">
        <f>[1]raw_orders!S848</f>
        <v>2374.36</v>
      </c>
      <c r="T848" s="5">
        <f t="shared" si="104"/>
        <v>23.743600000000001</v>
      </c>
      <c r="U848" s="5">
        <f t="shared" si="105"/>
        <v>-180926.24774399999</v>
      </c>
      <c r="V848" s="5">
        <f t="shared" si="106"/>
        <v>-180926.24774399999</v>
      </c>
      <c r="W848" s="5">
        <f t="shared" si="107"/>
        <v>1</v>
      </c>
      <c r="X848" s="5">
        <f t="shared" si="108"/>
        <v>8</v>
      </c>
      <c r="Y848" s="5">
        <f t="shared" si="109"/>
        <v>4</v>
      </c>
      <c r="Z848" s="5">
        <f t="shared" si="110"/>
        <v>2024</v>
      </c>
      <c r="AA848" t="str">
        <f t="shared" si="111"/>
        <v>Clean</v>
      </c>
    </row>
    <row r="849" spans="1:27" x14ac:dyDescent="0.3">
      <c r="A849" t="str">
        <f>[1]raw_orders!A849</f>
        <v>ORD-2025-10848</v>
      </c>
      <c r="B849" s="4">
        <f>IFERROR(DATEVALUE([1]raw_orders!B849), "Invalid Date")</f>
        <v>45797</v>
      </c>
      <c r="C849" s="4" t="str">
        <f>IFERROR(DATEVALUE([1]raw_orders!C849), "Invalid Date")</f>
        <v>Invalid Date</v>
      </c>
      <c r="D849" t="str">
        <f>[1]raw_orders!D849</f>
        <v>CUST-8329</v>
      </c>
      <c r="E849" t="str">
        <f>PROPER(TRIM([1]raw_orders!E849))</f>
        <v>Diya Patel</v>
      </c>
      <c r="F849" t="str">
        <f>PROPER(TRIM([1]raw_orders!F849))</f>
        <v>Home Office</v>
      </c>
      <c r="G849" t="str">
        <f>IF(TRIM([1]raw_orders!G849)="","Unknown",PROPER(TRIM([1]raw_orders!G849)))</f>
        <v>East</v>
      </c>
      <c r="H849" t="str">
        <f>PROPER(TRIM([1]raw_orders!H849))</f>
        <v>Odisha</v>
      </c>
      <c r="I849" t="str">
        <f>PROPER(TRIM([1]raw_orders!I849))</f>
        <v>Bhubaneswar</v>
      </c>
      <c r="J849" t="str">
        <f>PROPER(TRIM([1]raw_orders!J849))</f>
        <v>Furniture</v>
      </c>
      <c r="K849" t="str">
        <f>PROPER(TRIM([1]raw_orders!K849))</f>
        <v>Tables</v>
      </c>
      <c r="L849" t="str">
        <f>[1]raw_orders!L849</f>
        <v>Pro Tables 828</v>
      </c>
      <c r="M849" t="str">
        <f>IF(TRIM([1]raw_orders!M849)="","Unknown",PROPER(TRIM([1]raw_orders!M849)))</f>
        <v>Second Class</v>
      </c>
      <c r="N849" s="5">
        <f>[1]raw_orders!N849</f>
        <v>2</v>
      </c>
      <c r="O849" s="5">
        <f>[1]raw_orders!O849</f>
        <v>210.08</v>
      </c>
      <c r="P849" s="5">
        <f>[1]raw_orders!P849</f>
        <v>0.2</v>
      </c>
      <c r="Q849" t="str">
        <f>PROPER(TRIM([1]raw_orders!T849))</f>
        <v>Paid</v>
      </c>
      <c r="R849" t="str">
        <f>PROPER(TRIM([1]raw_orders!U849))</f>
        <v>Completed</v>
      </c>
      <c r="S849" s="5">
        <f>[1]raw_orders!S849</f>
        <v>93.94</v>
      </c>
      <c r="T849" s="5">
        <f t="shared" si="104"/>
        <v>0.93940000000000001</v>
      </c>
      <c r="U849" s="5">
        <f t="shared" si="105"/>
        <v>25.461695999999996</v>
      </c>
      <c r="V849" s="5">
        <f t="shared" si="106"/>
        <v>25.261695999999997</v>
      </c>
      <c r="W849" s="5">
        <f t="shared" si="107"/>
        <v>0.99214506370667532</v>
      </c>
      <c r="X849" s="5" t="str">
        <f t="shared" si="108"/>
        <v>Invalid Date</v>
      </c>
      <c r="Y849" s="5">
        <f t="shared" si="109"/>
        <v>5</v>
      </c>
      <c r="Z849" s="5">
        <f t="shared" si="110"/>
        <v>2025</v>
      </c>
      <c r="AA849" t="str">
        <f t="shared" si="111"/>
        <v>Clean</v>
      </c>
    </row>
    <row r="850" spans="1:27" x14ac:dyDescent="0.3">
      <c r="A850" t="str">
        <f>[1]raw_orders!A850</f>
        <v>ORD-2025-10849</v>
      </c>
      <c r="B850" s="4">
        <f>IFERROR(DATEVALUE([1]raw_orders!B850), "Invalid Date")</f>
        <v>45804</v>
      </c>
      <c r="C850" s="4">
        <f>IFERROR(DATEVALUE([1]raw_orders!C850), "Invalid Date")</f>
        <v>45806</v>
      </c>
      <c r="D850" t="str">
        <f>[1]raw_orders!D850</f>
        <v>CUST-4426</v>
      </c>
      <c r="E850" t="str">
        <f>PROPER(TRIM([1]raw_orders!E850))</f>
        <v>Rahul Verma</v>
      </c>
      <c r="F850" t="str">
        <f>PROPER(TRIM([1]raw_orders!F850))</f>
        <v>Home Office</v>
      </c>
      <c r="G850" t="str">
        <f>IF(TRIM([1]raw_orders!G850)="","Unknown",PROPER(TRIM([1]raw_orders!G850)))</f>
        <v>South</v>
      </c>
      <c r="H850" t="str">
        <f>PROPER(TRIM([1]raw_orders!H850))</f>
        <v>Tamil Nadu</v>
      </c>
      <c r="I850" t="str">
        <f>PROPER(TRIM([1]raw_orders!I850))</f>
        <v>Chennai</v>
      </c>
      <c r="J850" t="str">
        <f>PROPER(TRIM([1]raw_orders!J850))</f>
        <v>Furniture</v>
      </c>
      <c r="K850" t="str">
        <f>PROPER(TRIM([1]raw_orders!K850))</f>
        <v>Furnishings</v>
      </c>
      <c r="L850" t="str">
        <f>[1]raw_orders!L850</f>
        <v>Elite Furnishings 480</v>
      </c>
      <c r="M850" t="str">
        <f>IF(TRIM([1]raw_orders!M850)="","Unknown",PROPER(TRIM([1]raw_orders!M850)))</f>
        <v>Second Class</v>
      </c>
      <c r="N850" s="5">
        <f>[1]raw_orders!N850</f>
        <v>1</v>
      </c>
      <c r="O850" s="5">
        <f>[1]raw_orders!O850</f>
        <v>1744.35</v>
      </c>
      <c r="P850" s="5">
        <f>[1]raw_orders!P850</f>
        <v>0.25</v>
      </c>
      <c r="Q850" t="str">
        <f>PROPER(TRIM([1]raw_orders!T850))</f>
        <v>Paid</v>
      </c>
      <c r="R850" t="str">
        <f>PROPER(TRIM([1]raw_orders!U850))</f>
        <v>Completed</v>
      </c>
      <c r="S850" s="5">
        <f>[1]raw_orders!S850</f>
        <v>224.7</v>
      </c>
      <c r="T850" s="5">
        <f t="shared" si="104"/>
        <v>2.2469999999999999</v>
      </c>
      <c r="U850" s="5">
        <f t="shared" si="105"/>
        <v>-2175.2044499999997</v>
      </c>
      <c r="V850" s="5">
        <f t="shared" si="106"/>
        <v>-2175.4544499999997</v>
      </c>
      <c r="W850" s="5">
        <f t="shared" si="107"/>
        <v>1.0001149317251534</v>
      </c>
      <c r="X850" s="5">
        <f t="shared" si="108"/>
        <v>2</v>
      </c>
      <c r="Y850" s="5">
        <f t="shared" si="109"/>
        <v>5</v>
      </c>
      <c r="Z850" s="5">
        <f t="shared" si="110"/>
        <v>2025</v>
      </c>
      <c r="AA850" t="str">
        <f t="shared" si="111"/>
        <v>Clean</v>
      </c>
    </row>
    <row r="851" spans="1:27" x14ac:dyDescent="0.3">
      <c r="A851" t="str">
        <f>[1]raw_orders!A851</f>
        <v>ORD-2024-10850</v>
      </c>
      <c r="B851" s="4">
        <f>IFERROR(DATEVALUE([1]raw_orders!B851), "Invalid Date")</f>
        <v>45357</v>
      </c>
      <c r="C851" s="4">
        <f>IFERROR(DATEVALUE([1]raw_orders!C851), "Invalid Date")</f>
        <v>45363</v>
      </c>
      <c r="D851" t="str">
        <f>[1]raw_orders!D851</f>
        <v>CUST-3360</v>
      </c>
      <c r="E851" t="str">
        <f>PROPER(TRIM([1]raw_orders!E851))</f>
        <v>Isha Nair</v>
      </c>
      <c r="F851" t="str">
        <f>PROPER(TRIM([1]raw_orders!F851))</f>
        <v>Home Office</v>
      </c>
      <c r="G851" t="str">
        <f>IF(TRIM([1]raw_orders!G851)="","Unknown",PROPER(TRIM([1]raw_orders!G851)))</f>
        <v>West</v>
      </c>
      <c r="H851" t="str">
        <f>PROPER(TRIM([1]raw_orders!H851))</f>
        <v>Gujarat</v>
      </c>
      <c r="I851" t="str">
        <f>PROPER(TRIM([1]raw_orders!I851))</f>
        <v>Ahmedabad</v>
      </c>
      <c r="J851" t="str">
        <f>PROPER(TRIM([1]raw_orders!J851))</f>
        <v>Furniture</v>
      </c>
      <c r="K851" t="str">
        <f>PROPER(TRIM([1]raw_orders!K851))</f>
        <v>Bookcases</v>
      </c>
      <c r="L851" t="str">
        <f>[1]raw_orders!L851</f>
        <v>Prime Bookcases 755</v>
      </c>
      <c r="M851" t="str">
        <f>IF(TRIM([1]raw_orders!M851)="","Unknown",PROPER(TRIM([1]raw_orders!M851)))</f>
        <v>Standard Class</v>
      </c>
      <c r="N851" s="5">
        <f>[1]raw_orders!N851</f>
        <v>3</v>
      </c>
      <c r="O851" s="5">
        <f>[1]raw_orders!O851</f>
        <v>679.63</v>
      </c>
      <c r="P851" s="5">
        <f>[1]raw_orders!P851</f>
        <v>0.2</v>
      </c>
      <c r="Q851" t="str">
        <f>PROPER(TRIM([1]raw_orders!T851))</f>
        <v>Paid</v>
      </c>
      <c r="R851" t="str">
        <f>PROPER(TRIM([1]raw_orders!U851))</f>
        <v>Completed</v>
      </c>
      <c r="S851" s="5">
        <f>[1]raw_orders!S851</f>
        <v>396.58</v>
      </c>
      <c r="T851" s="5">
        <f t="shared" si="104"/>
        <v>3.9657999999999998</v>
      </c>
      <c r="U851" s="5">
        <f t="shared" si="105"/>
        <v>-6046.9399619999995</v>
      </c>
      <c r="V851" s="5">
        <f t="shared" si="106"/>
        <v>-6047.1399619999993</v>
      </c>
      <c r="W851" s="5">
        <f t="shared" si="107"/>
        <v>1.0000330745800781</v>
      </c>
      <c r="X851" s="5">
        <f t="shared" si="108"/>
        <v>6</v>
      </c>
      <c r="Y851" s="5">
        <f t="shared" si="109"/>
        <v>3</v>
      </c>
      <c r="Z851" s="5">
        <f t="shared" si="110"/>
        <v>2024</v>
      </c>
      <c r="AA851" t="str">
        <f t="shared" si="111"/>
        <v>Clean</v>
      </c>
    </row>
    <row r="852" spans="1:27" x14ac:dyDescent="0.3">
      <c r="A852" t="str">
        <f>[1]raw_orders!A852</f>
        <v>ORD-2024-10851</v>
      </c>
      <c r="B852" s="4">
        <f>IFERROR(DATEVALUE([1]raw_orders!B852), "Invalid Date")</f>
        <v>45473</v>
      </c>
      <c r="C852" s="4">
        <f>IFERROR(DATEVALUE([1]raw_orders!C852), "Invalid Date")</f>
        <v>45476</v>
      </c>
      <c r="D852" t="str">
        <f>[1]raw_orders!D852</f>
        <v>CUST-2623</v>
      </c>
      <c r="E852" t="str">
        <f>PROPER(TRIM([1]raw_orders!E852))</f>
        <v>Priya Menon</v>
      </c>
      <c r="F852" t="str">
        <f>PROPER(TRIM([1]raw_orders!F852))</f>
        <v>Home Office</v>
      </c>
      <c r="G852" t="str">
        <f>IF(TRIM([1]raw_orders!G852)="","Unknown",PROPER(TRIM([1]raw_orders!G852)))</f>
        <v>East</v>
      </c>
      <c r="H852" t="str">
        <f>PROPER(TRIM([1]raw_orders!H852))</f>
        <v>West Bengal</v>
      </c>
      <c r="I852" t="str">
        <f>PROPER(TRIM([1]raw_orders!I852))</f>
        <v>Kolkata</v>
      </c>
      <c r="J852" t="str">
        <f>PROPER(TRIM([1]raw_orders!J852))</f>
        <v>Office Supplies</v>
      </c>
      <c r="K852" t="str">
        <f>PROPER(TRIM([1]raw_orders!K852))</f>
        <v>Paper</v>
      </c>
      <c r="L852" t="str">
        <f>[1]raw_orders!L852</f>
        <v>Prime Paper 317</v>
      </c>
      <c r="M852" t="str">
        <f>IF(TRIM([1]raw_orders!M852)="","Unknown",PROPER(TRIM([1]raw_orders!M852)))</f>
        <v>First Class</v>
      </c>
      <c r="N852" s="5">
        <f>[1]raw_orders!N852</f>
        <v>6</v>
      </c>
      <c r="O852" s="5">
        <f>[1]raw_orders!O852</f>
        <v>1211.01</v>
      </c>
      <c r="P852" s="5">
        <f>[1]raw_orders!P852</f>
        <v>0</v>
      </c>
      <c r="Q852" t="str">
        <f>PROPER(TRIM([1]raw_orders!T852))</f>
        <v>Paid</v>
      </c>
      <c r="R852" t="str">
        <f>PROPER(TRIM([1]raw_orders!U852))</f>
        <v>Completed</v>
      </c>
      <c r="S852" s="5">
        <f>[1]raw_orders!S852</f>
        <v>1049.17</v>
      </c>
      <c r="T852" s="5">
        <f t="shared" si="104"/>
        <v>10.491700000000002</v>
      </c>
      <c r="U852" s="5">
        <f t="shared" si="105"/>
        <v>-68967.261702000003</v>
      </c>
      <c r="V852" s="5">
        <f t="shared" si="106"/>
        <v>-68967.261702000003</v>
      </c>
      <c r="W852" s="5">
        <f t="shared" si="107"/>
        <v>1</v>
      </c>
      <c r="X852" s="5">
        <f t="shared" si="108"/>
        <v>3</v>
      </c>
      <c r="Y852" s="5">
        <f t="shared" si="109"/>
        <v>6</v>
      </c>
      <c r="Z852" s="5">
        <f t="shared" si="110"/>
        <v>2024</v>
      </c>
      <c r="AA852" t="str">
        <f t="shared" si="111"/>
        <v>Clean</v>
      </c>
    </row>
    <row r="853" spans="1:27" x14ac:dyDescent="0.3">
      <c r="A853" t="str">
        <f>[1]raw_orders!A853</f>
        <v>ORD-2024-10852</v>
      </c>
      <c r="B853" s="4">
        <f>IFERROR(DATEVALUE([1]raw_orders!B853), "Invalid Date")</f>
        <v>45377</v>
      </c>
      <c r="C853" s="4">
        <f>IFERROR(DATEVALUE([1]raw_orders!C853), "Invalid Date")</f>
        <v>45383</v>
      </c>
      <c r="D853" t="str">
        <f>[1]raw_orders!D853</f>
        <v>CUST-3175</v>
      </c>
      <c r="E853" t="str">
        <f>PROPER(TRIM([1]raw_orders!E853))</f>
        <v>Karan Malhotra</v>
      </c>
      <c r="F853" t="str">
        <f>PROPER(TRIM([1]raw_orders!F853))</f>
        <v>Small Business</v>
      </c>
      <c r="G853" t="str">
        <f>IF(TRIM([1]raw_orders!G853)="","Unknown",PROPER(TRIM([1]raw_orders!G853)))</f>
        <v>West</v>
      </c>
      <c r="H853" t="str">
        <f>PROPER(TRIM([1]raw_orders!H853))</f>
        <v>Gujarat</v>
      </c>
      <c r="I853" t="str">
        <f>PROPER(TRIM([1]raw_orders!I853))</f>
        <v>Ahmedabad</v>
      </c>
      <c r="J853" t="str">
        <f>PROPER(TRIM([1]raw_orders!J853))</f>
        <v>Technology</v>
      </c>
      <c r="K853" t="str">
        <f>PROPER(TRIM([1]raw_orders!K853))</f>
        <v>Accessories</v>
      </c>
      <c r="L853" t="str">
        <f>[1]raw_orders!L853</f>
        <v>Classic Accessories 933</v>
      </c>
      <c r="M853" t="str">
        <f>IF(TRIM([1]raw_orders!M853)="","Unknown",PROPER(TRIM([1]raw_orders!M853)))</f>
        <v>First Class</v>
      </c>
      <c r="N853" s="5">
        <f>[1]raw_orders!N853</f>
        <v>2</v>
      </c>
      <c r="O853" s="5">
        <f>[1]raw_orders!O853</f>
        <v>1161.3</v>
      </c>
      <c r="P853" s="5">
        <f>[1]raw_orders!P853</f>
        <v>0.2</v>
      </c>
      <c r="Q853" t="str">
        <f>PROPER(TRIM([1]raw_orders!T853))</f>
        <v>Paid</v>
      </c>
      <c r="R853" t="str">
        <f>PROPER(TRIM([1]raw_orders!U853))</f>
        <v>Completed</v>
      </c>
      <c r="S853" s="5">
        <f>[1]raw_orders!S853</f>
        <v>267.33</v>
      </c>
      <c r="T853" s="5">
        <f t="shared" si="104"/>
        <v>2.6732999999999998</v>
      </c>
      <c r="U853" s="5">
        <f t="shared" si="105"/>
        <v>-3886.4065799999994</v>
      </c>
      <c r="V853" s="5">
        <f t="shared" si="106"/>
        <v>-3886.6065799999992</v>
      </c>
      <c r="W853" s="5">
        <f t="shared" si="107"/>
        <v>1.0000514614196643</v>
      </c>
      <c r="X853" s="5">
        <f t="shared" si="108"/>
        <v>6</v>
      </c>
      <c r="Y853" s="5">
        <f t="shared" si="109"/>
        <v>3</v>
      </c>
      <c r="Z853" s="5">
        <f t="shared" si="110"/>
        <v>2024</v>
      </c>
      <c r="AA853" t="str">
        <f t="shared" si="111"/>
        <v>Clean</v>
      </c>
    </row>
    <row r="854" spans="1:27" x14ac:dyDescent="0.3">
      <c r="A854" t="str">
        <f>[1]raw_orders!A854</f>
        <v>ORD-2024-10853</v>
      </c>
      <c r="B854" s="4">
        <f>IFERROR(DATEVALUE([1]raw_orders!B854), "Invalid Date")</f>
        <v>45383</v>
      </c>
      <c r="C854" s="4">
        <f>IFERROR(DATEVALUE([1]raw_orders!C854), "Invalid Date")</f>
        <v>45390</v>
      </c>
      <c r="D854" t="str">
        <f>[1]raw_orders!D854</f>
        <v>CUST-9630</v>
      </c>
      <c r="E854" t="str">
        <f>PROPER(TRIM([1]raw_orders!E854))</f>
        <v>Ananya Rao</v>
      </c>
      <c r="F854" t="str">
        <f>PROPER(TRIM([1]raw_orders!F854))</f>
        <v>Consumer</v>
      </c>
      <c r="G854" t="str">
        <f>IF(TRIM([1]raw_orders!G854)="","Unknown",PROPER(TRIM([1]raw_orders!G854)))</f>
        <v>East</v>
      </c>
      <c r="H854" t="str">
        <f>PROPER(TRIM([1]raw_orders!H854))</f>
        <v>Assam</v>
      </c>
      <c r="I854" t="str">
        <f>PROPER(TRIM([1]raw_orders!I854))</f>
        <v>Guwahati</v>
      </c>
      <c r="J854" t="str">
        <f>PROPER(TRIM([1]raw_orders!J854))</f>
        <v>Furniture</v>
      </c>
      <c r="K854" t="str">
        <f>PROPER(TRIM([1]raw_orders!K854))</f>
        <v>Tables</v>
      </c>
      <c r="L854" t="str">
        <f>[1]raw_orders!L854</f>
        <v>Smart Tables 513</v>
      </c>
      <c r="M854" t="str">
        <f>IF(TRIM([1]raw_orders!M854)="","Unknown",PROPER(TRIM([1]raw_orders!M854)))</f>
        <v>Second Class</v>
      </c>
      <c r="N854" s="5">
        <f>[1]raw_orders!N854</f>
        <v>7</v>
      </c>
      <c r="O854" s="5">
        <f>[1]raw_orders!O854</f>
        <v>4205.3500000000004</v>
      </c>
      <c r="P854" s="5">
        <f>[1]raw_orders!P854</f>
        <v>0.15</v>
      </c>
      <c r="Q854" t="str">
        <f>PROPER(TRIM([1]raw_orders!T854))</f>
        <v>Pending</v>
      </c>
      <c r="R854" t="str">
        <f>PROPER(TRIM([1]raw_orders!U854))</f>
        <v>Cancelled</v>
      </c>
      <c r="S854" s="5">
        <f>[1]raw_orders!S854</f>
        <v>9477.39</v>
      </c>
      <c r="T854" s="5">
        <f t="shared" si="104"/>
        <v>94.773899999999998</v>
      </c>
      <c r="U854" s="5">
        <f t="shared" si="105"/>
        <v>-2760464.4925550004</v>
      </c>
      <c r="V854" s="5">
        <f t="shared" si="106"/>
        <v>-2760464.6425550003</v>
      </c>
      <c r="W854" s="5">
        <f t="shared" si="107"/>
        <v>1.0000000543386811</v>
      </c>
      <c r="X854" s="5">
        <f t="shared" si="108"/>
        <v>7</v>
      </c>
      <c r="Y854" s="5">
        <f t="shared" si="109"/>
        <v>4</v>
      </c>
      <c r="Z854" s="5">
        <f t="shared" si="110"/>
        <v>2024</v>
      </c>
      <c r="AA854" t="str">
        <f t="shared" si="111"/>
        <v>Clean</v>
      </c>
    </row>
    <row r="855" spans="1:27" x14ac:dyDescent="0.3">
      <c r="A855" t="str">
        <f>[1]raw_orders!A855</f>
        <v>ORD-2025-10854</v>
      </c>
      <c r="B855" s="4">
        <f>IFERROR(DATEVALUE([1]raw_orders!B855), "Invalid Date")</f>
        <v>45793</v>
      </c>
      <c r="C855" s="4" t="str">
        <f>IFERROR(DATEVALUE([1]raw_orders!C855), "Invalid Date")</f>
        <v>Invalid Date</v>
      </c>
      <c r="D855" t="str">
        <f>[1]raw_orders!D855</f>
        <v>CUST-8274</v>
      </c>
      <c r="E855" t="str">
        <f>PROPER(TRIM([1]raw_orders!E855))</f>
        <v>Arjun Bose</v>
      </c>
      <c r="F855" t="str">
        <f>PROPER(TRIM([1]raw_orders!F855))</f>
        <v>Corporate</v>
      </c>
      <c r="G855" t="str">
        <f>IF(TRIM([1]raw_orders!G855)="","Unknown",PROPER(TRIM([1]raw_orders!G855)))</f>
        <v>South</v>
      </c>
      <c r="H855" t="str">
        <f>PROPER(TRIM([1]raw_orders!H855))</f>
        <v>Tamil Nadu</v>
      </c>
      <c r="I855" t="str">
        <f>PROPER(TRIM([1]raw_orders!I855))</f>
        <v>Chennai</v>
      </c>
      <c r="J855" t="str">
        <f>PROPER(TRIM([1]raw_orders!J855))</f>
        <v>Technology</v>
      </c>
      <c r="K855" t="str">
        <f>PROPER(TRIM([1]raw_orders!K855))</f>
        <v>Accessories</v>
      </c>
      <c r="L855" t="str">
        <f>[1]raw_orders!L855</f>
        <v>Elite Accessories 708</v>
      </c>
      <c r="M855" t="str">
        <f>IF(TRIM([1]raw_orders!M855)="","Unknown",PROPER(TRIM([1]raw_orders!M855)))</f>
        <v>Same Day</v>
      </c>
      <c r="N855" s="5">
        <f>[1]raw_orders!N855</f>
        <v>8</v>
      </c>
      <c r="O855" s="5">
        <f>[1]raw_orders!O855</f>
        <v>579.79999999999995</v>
      </c>
      <c r="P855" s="5">
        <f>[1]raw_orders!P855</f>
        <v>0.2</v>
      </c>
      <c r="Q855" t="str">
        <f>PROPER(TRIM([1]raw_orders!T855))</f>
        <v>Paid</v>
      </c>
      <c r="R855" t="str">
        <f>PROPER(TRIM([1]raw_orders!U855))</f>
        <v>Completed</v>
      </c>
      <c r="S855" s="5">
        <f>[1]raw_orders!S855</f>
        <v>595.42999999999995</v>
      </c>
      <c r="T855" s="5">
        <f t="shared" si="104"/>
        <v>5.9542999999999999</v>
      </c>
      <c r="U855" s="5">
        <f t="shared" si="105"/>
        <v>-22980.025119999998</v>
      </c>
      <c r="V855" s="5">
        <f t="shared" si="106"/>
        <v>-22980.225119999999</v>
      </c>
      <c r="W855" s="5">
        <f t="shared" si="107"/>
        <v>1.0000087032106779</v>
      </c>
      <c r="X855" s="5" t="str">
        <f t="shared" si="108"/>
        <v>Invalid Date</v>
      </c>
      <c r="Y855" s="5">
        <f t="shared" si="109"/>
        <v>5</v>
      </c>
      <c r="Z855" s="5">
        <f t="shared" si="110"/>
        <v>2025</v>
      </c>
      <c r="AA855" t="str">
        <f t="shared" si="111"/>
        <v>Clean</v>
      </c>
    </row>
    <row r="856" spans="1:27" x14ac:dyDescent="0.3">
      <c r="A856" t="str">
        <f>[1]raw_orders!A856</f>
        <v>ORD-2025-10855</v>
      </c>
      <c r="B856" s="4" t="str">
        <f>IFERROR(DATEVALUE([1]raw_orders!B856), "Invalid Date")</f>
        <v>Invalid Date</v>
      </c>
      <c r="C856" s="4">
        <f>IFERROR(DATEVALUE([1]raw_orders!C856), "Invalid Date")</f>
        <v>45692</v>
      </c>
      <c r="D856" t="str">
        <f>[1]raw_orders!D856</f>
        <v>CUST-2514</v>
      </c>
      <c r="E856" t="str">
        <f>PROPER(TRIM([1]raw_orders!E856))</f>
        <v>Priya Menon</v>
      </c>
      <c r="F856" t="str">
        <f>PROPER(TRIM([1]raw_orders!F856))</f>
        <v>Consumer</v>
      </c>
      <c r="G856" t="str">
        <f>IF(TRIM([1]raw_orders!G856)="","Unknown",PROPER(TRIM([1]raw_orders!G856)))</f>
        <v>South</v>
      </c>
      <c r="H856" t="str">
        <f>PROPER(TRIM([1]raw_orders!H856))</f>
        <v>Karnataka</v>
      </c>
      <c r="I856" t="str">
        <f>PROPER(TRIM([1]raw_orders!I856))</f>
        <v>Bengaluru</v>
      </c>
      <c r="J856" t="str">
        <f>PROPER(TRIM([1]raw_orders!J856))</f>
        <v>Furniture</v>
      </c>
      <c r="K856" t="str">
        <f>PROPER(TRIM([1]raw_orders!K856))</f>
        <v>Bookcases</v>
      </c>
      <c r="L856" t="str">
        <f>[1]raw_orders!L856</f>
        <v>Max Bookcases 381</v>
      </c>
      <c r="M856" t="str">
        <f>IF(TRIM([1]raw_orders!M856)="","Unknown",PROPER(TRIM([1]raw_orders!M856)))</f>
        <v>Second Class</v>
      </c>
      <c r="N856" s="5">
        <f>[1]raw_orders!N856</f>
        <v>4</v>
      </c>
      <c r="O856" s="5">
        <f>[1]raw_orders!O856</f>
        <v>2233.64</v>
      </c>
      <c r="P856" s="5">
        <f>[1]raw_orders!P856</f>
        <v>0.05</v>
      </c>
      <c r="Q856" t="str">
        <f>PROPER(TRIM([1]raw_orders!T856))</f>
        <v>Paid</v>
      </c>
      <c r="R856" t="str">
        <f>PROPER(TRIM([1]raw_orders!U856))</f>
        <v>Completed</v>
      </c>
      <c r="S856" s="5">
        <f>[1]raw_orders!S856</f>
        <v>3242.11</v>
      </c>
      <c r="T856" s="5">
        <f t="shared" si="104"/>
        <v>32.421100000000003</v>
      </c>
      <c r="U856" s="5">
        <f t="shared" si="105"/>
        <v>-280733.70321599999</v>
      </c>
      <c r="V856" s="5">
        <f t="shared" si="106"/>
        <v>-280733.75321599998</v>
      </c>
      <c r="W856" s="5">
        <f t="shared" si="107"/>
        <v>1.0000001781047285</v>
      </c>
      <c r="X856" s="5" t="str">
        <f t="shared" si="108"/>
        <v>Invalid Date</v>
      </c>
      <c r="Y856" s="5" t="e">
        <f t="shared" si="109"/>
        <v>#VALUE!</v>
      </c>
      <c r="Z856" s="5" t="e">
        <f t="shared" si="110"/>
        <v>#VALUE!</v>
      </c>
      <c r="AA856" t="str">
        <f t="shared" si="111"/>
        <v>Clean</v>
      </c>
    </row>
    <row r="857" spans="1:27" x14ac:dyDescent="0.3">
      <c r="A857" t="str">
        <f>[1]raw_orders!A857</f>
        <v>ORD-2024-10856</v>
      </c>
      <c r="B857" s="4">
        <f>IFERROR(DATEVALUE([1]raw_orders!B857), "Invalid Date")</f>
        <v>45498</v>
      </c>
      <c r="C857" s="4">
        <f>IFERROR(DATEVALUE([1]raw_orders!C857), "Invalid Date")</f>
        <v>45506</v>
      </c>
      <c r="D857" t="str">
        <f>[1]raw_orders!D857</f>
        <v>CUST-2752</v>
      </c>
      <c r="E857" t="str">
        <f>PROPER(TRIM([1]raw_orders!E857))</f>
        <v>Rahul Verma</v>
      </c>
      <c r="F857" t="str">
        <f>PROPER(TRIM([1]raw_orders!F857))</f>
        <v>Consumer</v>
      </c>
      <c r="G857" t="str">
        <f>IF(TRIM([1]raw_orders!G857)="","Unknown",PROPER(TRIM([1]raw_orders!G857)))</f>
        <v>North</v>
      </c>
      <c r="H857" t="str">
        <f>PROPER(TRIM([1]raw_orders!H857))</f>
        <v>Rajasthan</v>
      </c>
      <c r="I857" t="str">
        <f>PROPER(TRIM([1]raw_orders!I857))</f>
        <v>Jaipur</v>
      </c>
      <c r="J857" t="str">
        <f>PROPER(TRIM([1]raw_orders!J857))</f>
        <v>Office Supplies</v>
      </c>
      <c r="K857" t="str">
        <f>PROPER(TRIM([1]raw_orders!K857))</f>
        <v>Labels</v>
      </c>
      <c r="L857" t="str">
        <f>[1]raw_orders!L857</f>
        <v>Classic Labels 215</v>
      </c>
      <c r="M857" t="str">
        <f>IF(TRIM([1]raw_orders!M857)="","Unknown",PROPER(TRIM([1]raw_orders!M857)))</f>
        <v>Second Class</v>
      </c>
      <c r="N857" s="5">
        <f>[1]raw_orders!N857</f>
        <v>2</v>
      </c>
      <c r="O857" s="5">
        <f>[1]raw_orders!O857</f>
        <v>2073.5300000000002</v>
      </c>
      <c r="P857" s="5">
        <f>[1]raw_orders!P857</f>
        <v>0.25</v>
      </c>
      <c r="Q857" t="str">
        <f>PROPER(TRIM([1]raw_orders!T857))</f>
        <v>Paid</v>
      </c>
      <c r="R857" t="str">
        <f>PROPER(TRIM([1]raw_orders!U857))</f>
        <v>Completed</v>
      </c>
      <c r="S857" s="5">
        <f>[1]raw_orders!S857</f>
        <v>1009.27</v>
      </c>
      <c r="T857" s="5">
        <f t="shared" si="104"/>
        <v>10.092700000000001</v>
      </c>
      <c r="U857" s="5">
        <f t="shared" si="105"/>
        <v>-37707.972462000005</v>
      </c>
      <c r="V857" s="5">
        <f t="shared" si="106"/>
        <v>-37708.222462000005</v>
      </c>
      <c r="W857" s="5">
        <f t="shared" si="107"/>
        <v>1.0000066298977026</v>
      </c>
      <c r="X857" s="5">
        <f t="shared" si="108"/>
        <v>8</v>
      </c>
      <c r="Y857" s="5">
        <f t="shared" si="109"/>
        <v>7</v>
      </c>
      <c r="Z857" s="5">
        <f t="shared" si="110"/>
        <v>2024</v>
      </c>
      <c r="AA857" t="str">
        <f t="shared" si="111"/>
        <v>Clean</v>
      </c>
    </row>
    <row r="858" spans="1:27" x14ac:dyDescent="0.3">
      <c r="A858" t="str">
        <f>[1]raw_orders!A858</f>
        <v>ORD-2024-10857</v>
      </c>
      <c r="B858" s="4">
        <f>IFERROR(DATEVALUE([1]raw_orders!B858), "Invalid Date")</f>
        <v>45455</v>
      </c>
      <c r="C858" s="4">
        <f>IFERROR(DATEVALUE([1]raw_orders!C858), "Invalid Date")</f>
        <v>45462</v>
      </c>
      <c r="D858" t="str">
        <f>[1]raw_orders!D858</f>
        <v>CUST-5647</v>
      </c>
      <c r="E858" t="str">
        <f>PROPER(TRIM([1]raw_orders!E858))</f>
        <v>Rohan Mehta</v>
      </c>
      <c r="F858" t="str">
        <f>PROPER(TRIM([1]raw_orders!F858))</f>
        <v>Home Office</v>
      </c>
      <c r="G858" t="str">
        <f>IF(TRIM([1]raw_orders!G858)="","Unknown",PROPER(TRIM([1]raw_orders!G858)))</f>
        <v>South</v>
      </c>
      <c r="H858" t="str">
        <f>PROPER(TRIM([1]raw_orders!H858))</f>
        <v>Tamil Nadu</v>
      </c>
      <c r="I858" t="str">
        <f>PROPER(TRIM([1]raw_orders!I858))</f>
        <v>Chennai</v>
      </c>
      <c r="J858" t="str">
        <f>PROPER(TRIM([1]raw_orders!J858))</f>
        <v>Office Supplies</v>
      </c>
      <c r="K858" t="str">
        <f>PROPER(TRIM([1]raw_orders!K858))</f>
        <v>Storage</v>
      </c>
      <c r="L858" t="str">
        <f>[1]raw_orders!L858</f>
        <v>Classic Storage 918</v>
      </c>
      <c r="M858" t="str">
        <f>IF(TRIM([1]raw_orders!M858)="","Unknown",PROPER(TRIM([1]raw_orders!M858)))</f>
        <v>Standard Class</v>
      </c>
      <c r="N858" s="5">
        <f>[1]raw_orders!N858</f>
        <v>4</v>
      </c>
      <c r="O858" s="5">
        <f>[1]raw_orders!O858</f>
        <v>395.1</v>
      </c>
      <c r="P858" s="5">
        <f>[1]raw_orders!P858</f>
        <v>-0.16</v>
      </c>
      <c r="Q858" t="str">
        <f>PROPER(TRIM([1]raw_orders!T858))</f>
        <v>Failed</v>
      </c>
      <c r="R858" t="str">
        <f>PROPER(TRIM([1]raw_orders!U858))</f>
        <v>Cancelled</v>
      </c>
      <c r="S858" s="5">
        <f>[1]raw_orders!S858</f>
        <v>218.75</v>
      </c>
      <c r="T858" s="5">
        <f t="shared" si="104"/>
        <v>2.1875</v>
      </c>
      <c r="U858" s="5">
        <f t="shared" si="105"/>
        <v>-1876.7250000000001</v>
      </c>
      <c r="V858" s="5">
        <f t="shared" si="106"/>
        <v>-1876.5650000000001</v>
      </c>
      <c r="W858" s="5">
        <f t="shared" si="107"/>
        <v>0.99991474510117351</v>
      </c>
      <c r="X858" s="5">
        <f t="shared" si="108"/>
        <v>7</v>
      </c>
      <c r="Y858" s="5">
        <f t="shared" si="109"/>
        <v>6</v>
      </c>
      <c r="Z858" s="5">
        <f t="shared" si="110"/>
        <v>2024</v>
      </c>
      <c r="AA858" t="str">
        <f t="shared" si="111"/>
        <v>Clean</v>
      </c>
    </row>
    <row r="859" spans="1:27" x14ac:dyDescent="0.3">
      <c r="A859" t="str">
        <f>[1]raw_orders!A859</f>
        <v>ORD-2024-10858</v>
      </c>
      <c r="B859" s="4">
        <f>IFERROR(DATEVALUE([1]raw_orders!B859), "Invalid Date")</f>
        <v>45447</v>
      </c>
      <c r="C859" s="4">
        <f>IFERROR(DATEVALUE([1]raw_orders!C859), "Invalid Date")</f>
        <v>45447</v>
      </c>
      <c r="D859" t="str">
        <f>[1]raw_orders!D859</f>
        <v>CUST-8575</v>
      </c>
      <c r="E859" t="str">
        <f>PROPER(TRIM([1]raw_orders!E859))</f>
        <v>Sneha Kapoor</v>
      </c>
      <c r="F859" t="str">
        <f>PROPER(TRIM([1]raw_orders!F859))</f>
        <v>Home Office</v>
      </c>
      <c r="G859" t="str">
        <f>IF(TRIM([1]raw_orders!G859)="","Unknown",PROPER(TRIM([1]raw_orders!G859)))</f>
        <v>South</v>
      </c>
      <c r="H859" t="str">
        <f>PROPER(TRIM([1]raw_orders!H859))</f>
        <v>Kerala</v>
      </c>
      <c r="I859" t="str">
        <f>PROPER(TRIM([1]raw_orders!I859))</f>
        <v>Kochi</v>
      </c>
      <c r="J859" t="str">
        <f>PROPER(TRIM([1]raw_orders!J859))</f>
        <v>Office Supplies</v>
      </c>
      <c r="K859" t="str">
        <f>PROPER(TRIM([1]raw_orders!K859))</f>
        <v>Storage</v>
      </c>
      <c r="L859" t="str">
        <f>[1]raw_orders!L859</f>
        <v>Max Storage 223</v>
      </c>
      <c r="M859" t="str">
        <f>IF(TRIM([1]raw_orders!M859)="","Unknown",PROPER(TRIM([1]raw_orders!M859)))</f>
        <v>First Class</v>
      </c>
      <c r="N859" s="5">
        <f>[1]raw_orders!N859</f>
        <v>6</v>
      </c>
      <c r="O859" s="5">
        <f>[1]raw_orders!O859</f>
        <v>2708.97</v>
      </c>
      <c r="P859" s="5">
        <f>[1]raw_orders!P859</f>
        <v>0.25</v>
      </c>
      <c r="Q859" t="str">
        <f>PROPER(TRIM([1]raw_orders!T859))</f>
        <v>Paid</v>
      </c>
      <c r="R859" t="str">
        <f>PROPER(TRIM([1]raw_orders!U859))</f>
        <v>Completed</v>
      </c>
      <c r="S859" s="5">
        <f>[1]raw_orders!S859</f>
        <v>2013.37</v>
      </c>
      <c r="T859" s="5">
        <f t="shared" si="104"/>
        <v>20.133699999999997</v>
      </c>
      <c r="U859" s="5">
        <f t="shared" si="105"/>
        <v>-310995.71573399997</v>
      </c>
      <c r="V859" s="5">
        <f t="shared" si="106"/>
        <v>-310995.96573399997</v>
      </c>
      <c r="W859" s="5">
        <f t="shared" si="107"/>
        <v>1.0000008038695949</v>
      </c>
      <c r="X859" s="5">
        <f t="shared" si="108"/>
        <v>0</v>
      </c>
      <c r="Y859" s="5">
        <f t="shared" si="109"/>
        <v>6</v>
      </c>
      <c r="Z859" s="5">
        <f t="shared" si="110"/>
        <v>2024</v>
      </c>
      <c r="AA859" t="str">
        <f t="shared" si="111"/>
        <v>Clean</v>
      </c>
    </row>
    <row r="860" spans="1:27" x14ac:dyDescent="0.3">
      <c r="A860" t="str">
        <f>[1]raw_orders!A860</f>
        <v>ORD-2024-10859</v>
      </c>
      <c r="B860" s="4">
        <f>IFERROR(DATEVALUE([1]raw_orders!B860), "Invalid Date")</f>
        <v>45327</v>
      </c>
      <c r="C860" s="4">
        <f>IFERROR(DATEVALUE([1]raw_orders!C860), "Invalid Date")</f>
        <v>45421</v>
      </c>
      <c r="D860" t="str">
        <f>[1]raw_orders!D860</f>
        <v>CUST-9576</v>
      </c>
      <c r="E860" t="str">
        <f>PROPER(TRIM([1]raw_orders!E860))</f>
        <v>Arjun Bose</v>
      </c>
      <c r="F860" t="str">
        <f>PROPER(TRIM([1]raw_orders!F860))</f>
        <v>Consumer</v>
      </c>
      <c r="G860" t="str">
        <f>IF(TRIM([1]raw_orders!G860)="","Unknown",PROPER(TRIM([1]raw_orders!G860)))</f>
        <v>East</v>
      </c>
      <c r="H860" t="str">
        <f>PROPER(TRIM([1]raw_orders!H860))</f>
        <v>Odisha</v>
      </c>
      <c r="I860" t="str">
        <f>PROPER(TRIM([1]raw_orders!I860))</f>
        <v>Bhubaneswar</v>
      </c>
      <c r="J860" t="str">
        <f>PROPER(TRIM([1]raw_orders!J860))</f>
        <v>Technology</v>
      </c>
      <c r="K860" t="str">
        <f>PROPER(TRIM([1]raw_orders!K860))</f>
        <v>Accessories</v>
      </c>
      <c r="L860" t="str">
        <f>[1]raw_orders!L860</f>
        <v>Basic Accessories 602</v>
      </c>
      <c r="M860" t="str">
        <f>IF(TRIM([1]raw_orders!M860)="","Unknown",PROPER(TRIM([1]raw_orders!M860)))</f>
        <v>Second Class</v>
      </c>
      <c r="N860" s="5">
        <f>[1]raw_orders!N860</f>
        <v>4</v>
      </c>
      <c r="O860" s="5">
        <f>[1]raw_orders!O860</f>
        <v>2904.86</v>
      </c>
      <c r="P860" s="5">
        <f>[1]raw_orders!P860</f>
        <v>0</v>
      </c>
      <c r="Q860" t="str">
        <f>PROPER(TRIM([1]raw_orders!T860))</f>
        <v>Paid</v>
      </c>
      <c r="R860" t="str">
        <f>PROPER(TRIM([1]raw_orders!U860))</f>
        <v>Completed</v>
      </c>
      <c r="S860" s="5">
        <f>[1]raw_orders!S860</f>
        <v>4494.6400000000003</v>
      </c>
      <c r="T860" s="5">
        <f t="shared" si="104"/>
        <v>44.946400000000004</v>
      </c>
      <c r="U860" s="5">
        <f t="shared" si="105"/>
        <v>-510632.55801600008</v>
      </c>
      <c r="V860" s="5">
        <f t="shared" si="106"/>
        <v>-510632.55801600008</v>
      </c>
      <c r="W860" s="5">
        <f t="shared" si="107"/>
        <v>1</v>
      </c>
      <c r="X860" s="5">
        <f t="shared" si="108"/>
        <v>94</v>
      </c>
      <c r="Y860" s="5">
        <f t="shared" si="109"/>
        <v>2</v>
      </c>
      <c r="Z860" s="5">
        <f t="shared" si="110"/>
        <v>2024</v>
      </c>
      <c r="AA860" t="str">
        <f t="shared" si="111"/>
        <v>Clean</v>
      </c>
    </row>
    <row r="861" spans="1:27" x14ac:dyDescent="0.3">
      <c r="A861" t="str">
        <f>[1]raw_orders!A861</f>
        <v>ORD-2024-10860</v>
      </c>
      <c r="B861" s="4" t="str">
        <f>IFERROR(DATEVALUE([1]raw_orders!B861), "Invalid Date")</f>
        <v>Invalid Date</v>
      </c>
      <c r="C861" s="4">
        <f>IFERROR(DATEVALUE([1]raw_orders!C861), "Invalid Date")</f>
        <v>45597</v>
      </c>
      <c r="D861" t="str">
        <f>[1]raw_orders!D861</f>
        <v>CUST-2395</v>
      </c>
      <c r="E861" t="str">
        <f>PROPER(TRIM([1]raw_orders!E861))</f>
        <v>Aditi Sen</v>
      </c>
      <c r="F861" t="str">
        <f>PROPER(TRIM([1]raw_orders!F861))</f>
        <v>Corporate</v>
      </c>
      <c r="G861" t="str">
        <f>IF(TRIM([1]raw_orders!G861)="","Unknown",PROPER(TRIM([1]raw_orders!G861)))</f>
        <v>South</v>
      </c>
      <c r="H861" t="str">
        <f>PROPER(TRIM([1]raw_orders!H861))</f>
        <v>Tamil Nadu</v>
      </c>
      <c r="I861" t="str">
        <f>PROPER(TRIM([1]raw_orders!I861))</f>
        <v>Chennai</v>
      </c>
      <c r="J861" t="str">
        <f>PROPER(TRIM([1]raw_orders!J861))</f>
        <v>Technology</v>
      </c>
      <c r="K861" t="str">
        <f>PROPER(TRIM([1]raw_orders!K861))</f>
        <v>Phones</v>
      </c>
      <c r="L861" t="str">
        <f>[1]raw_orders!L861</f>
        <v>Elite Phones 394</v>
      </c>
      <c r="M861" t="str">
        <f>IF(TRIM([1]raw_orders!M861)="","Unknown",PROPER(TRIM([1]raw_orders!M861)))</f>
        <v>Standard Class</v>
      </c>
      <c r="N861" s="5">
        <f>[1]raw_orders!N861</f>
        <v>6</v>
      </c>
      <c r="O861" s="5">
        <f>[1]raw_orders!O861</f>
        <v>4399.2</v>
      </c>
      <c r="P861" s="5">
        <f>[1]raw_orders!P861</f>
        <v>0.05</v>
      </c>
      <c r="Q861" t="str">
        <f>PROPER(TRIM([1]raw_orders!T861))</f>
        <v>Paid</v>
      </c>
      <c r="R861" t="str">
        <f>PROPER(TRIM([1]raw_orders!U861))</f>
        <v>Completed</v>
      </c>
      <c r="S861" s="5">
        <f>[1]raw_orders!S861</f>
        <v>8792.7000000000007</v>
      </c>
      <c r="T861" s="5">
        <f t="shared" si="104"/>
        <v>87.927000000000007</v>
      </c>
      <c r="U861" s="5">
        <f t="shared" si="105"/>
        <v>-2294455.5504000001</v>
      </c>
      <c r="V861" s="5">
        <f t="shared" si="106"/>
        <v>-2294455.6003999999</v>
      </c>
      <c r="W861" s="5">
        <f t="shared" si="107"/>
        <v>1.000000021791662</v>
      </c>
      <c r="X861" s="5" t="str">
        <f t="shared" si="108"/>
        <v>Invalid Date</v>
      </c>
      <c r="Y861" s="5" t="e">
        <f t="shared" si="109"/>
        <v>#VALUE!</v>
      </c>
      <c r="Z861" s="5" t="e">
        <f t="shared" si="110"/>
        <v>#VALUE!</v>
      </c>
      <c r="AA861" t="str">
        <f t="shared" si="111"/>
        <v>Clean</v>
      </c>
    </row>
    <row r="862" spans="1:27" x14ac:dyDescent="0.3">
      <c r="A862" t="str">
        <f>[1]raw_orders!A862</f>
        <v>ORD-2024-10861</v>
      </c>
      <c r="B862" s="4">
        <f>IFERROR(DATEVALUE([1]raw_orders!B862), "Invalid Date")</f>
        <v>45324</v>
      </c>
      <c r="C862" s="4">
        <f>IFERROR(DATEVALUE([1]raw_orders!C862), "Invalid Date")</f>
        <v>45326</v>
      </c>
      <c r="D862" t="str">
        <f>[1]raw_orders!D862</f>
        <v>CUST-8941</v>
      </c>
      <c r="E862" t="str">
        <f>PROPER(TRIM([1]raw_orders!E862))</f>
        <v>Vikram Iyer</v>
      </c>
      <c r="F862" t="str">
        <f>PROPER(TRIM([1]raw_orders!F862))</f>
        <v>Home Office</v>
      </c>
      <c r="G862" t="str">
        <f>IF(TRIM([1]raw_orders!G862)="","Unknown",PROPER(TRIM([1]raw_orders!G862)))</f>
        <v>North</v>
      </c>
      <c r="H862" t="str">
        <f>PROPER(TRIM([1]raw_orders!H862))</f>
        <v>Uttar Pradesh</v>
      </c>
      <c r="I862" t="str">
        <f>PROPER(TRIM([1]raw_orders!I862))</f>
        <v>Noida</v>
      </c>
      <c r="J862" t="str">
        <f>PROPER(TRIM([1]raw_orders!J862))</f>
        <v>Office Supplies</v>
      </c>
      <c r="K862" t="str">
        <f>PROPER(TRIM([1]raw_orders!K862))</f>
        <v>Storage</v>
      </c>
      <c r="L862" t="str">
        <f>[1]raw_orders!L862</f>
        <v>Classic Storage 194</v>
      </c>
      <c r="M862" t="str">
        <f>IF(TRIM([1]raw_orders!M862)="","Unknown",PROPER(TRIM([1]raw_orders!M862)))</f>
        <v>Second Class</v>
      </c>
      <c r="N862" s="5">
        <f>[1]raw_orders!N862</f>
        <v>1</v>
      </c>
      <c r="O862" s="5">
        <f>[1]raw_orders!O862</f>
        <v>4397.32</v>
      </c>
      <c r="P862" s="5">
        <f>[1]raw_orders!P862</f>
        <v>0.05</v>
      </c>
      <c r="Q862" t="str">
        <f>PROPER(TRIM([1]raw_orders!T862))</f>
        <v>Paid</v>
      </c>
      <c r="R862" t="str">
        <f>PROPER(TRIM([1]raw_orders!U862))</f>
        <v>Completed</v>
      </c>
      <c r="S862" s="5">
        <f>[1]raw_orders!S862</f>
        <v>1877.95</v>
      </c>
      <c r="T862" s="5">
        <f t="shared" si="104"/>
        <v>18.779499999999999</v>
      </c>
      <c r="U862" s="5">
        <f t="shared" si="105"/>
        <v>-78182.150939999992</v>
      </c>
      <c r="V862" s="5">
        <f t="shared" si="106"/>
        <v>-78182.200939999995</v>
      </c>
      <c r="W862" s="5">
        <f t="shared" si="107"/>
        <v>1.0000006395321617</v>
      </c>
      <c r="X862" s="5">
        <f t="shared" si="108"/>
        <v>2</v>
      </c>
      <c r="Y862" s="5">
        <f t="shared" si="109"/>
        <v>2</v>
      </c>
      <c r="Z862" s="5">
        <f t="shared" si="110"/>
        <v>2024</v>
      </c>
      <c r="AA862" t="str">
        <f t="shared" si="111"/>
        <v>Clean</v>
      </c>
    </row>
    <row r="863" spans="1:27" x14ac:dyDescent="0.3">
      <c r="A863" t="str">
        <f>[1]raw_orders!A863</f>
        <v>ORD-2025-10862</v>
      </c>
      <c r="B863" s="4">
        <f>IFERROR(DATEVALUE([1]raw_orders!B863), "Invalid Date")</f>
        <v>45724</v>
      </c>
      <c r="C863" s="4">
        <f>IFERROR(DATEVALUE([1]raw_orders!C863), "Invalid Date")</f>
        <v>45725</v>
      </c>
      <c r="D863" t="str">
        <f>[1]raw_orders!D863</f>
        <v>CUST-9448</v>
      </c>
      <c r="E863" t="str">
        <f>PROPER(TRIM([1]raw_orders!E863))</f>
        <v>Priya Menon</v>
      </c>
      <c r="F863" t="str">
        <f>PROPER(TRIM([1]raw_orders!F863))</f>
        <v>Home Office</v>
      </c>
      <c r="G863" t="str">
        <f>IF(TRIM([1]raw_orders!G863)="","Unknown",PROPER(TRIM([1]raw_orders!G863)))</f>
        <v>North</v>
      </c>
      <c r="H863" t="str">
        <f>PROPER(TRIM([1]raw_orders!H863))</f>
        <v>Delhi</v>
      </c>
      <c r="I863" t="str">
        <f>PROPER(TRIM([1]raw_orders!I863))</f>
        <v>New Delhi</v>
      </c>
      <c r="J863" t="str">
        <f>PROPER(TRIM([1]raw_orders!J863))</f>
        <v>Furniture</v>
      </c>
      <c r="K863" t="str">
        <f>PROPER(TRIM([1]raw_orders!K863))</f>
        <v>Furnishings</v>
      </c>
      <c r="L863" t="str">
        <f>[1]raw_orders!L863</f>
        <v>Smart Furnishings 892</v>
      </c>
      <c r="M863" t="str">
        <f>IF(TRIM([1]raw_orders!M863)="","Unknown",PROPER(TRIM([1]raw_orders!M863)))</f>
        <v>Same Day</v>
      </c>
      <c r="N863" s="5">
        <f>[1]raw_orders!N863</f>
        <v>4</v>
      </c>
      <c r="O863" s="5">
        <f>[1]raw_orders!O863</f>
        <v>3405.68</v>
      </c>
      <c r="P863" s="5">
        <f>[1]raw_orders!P863</f>
        <v>0.2</v>
      </c>
      <c r="Q863" t="str">
        <f>PROPER(TRIM([1]raw_orders!T863))</f>
        <v>Paid</v>
      </c>
      <c r="R863" t="str">
        <f>PROPER(TRIM([1]raw_orders!U863))</f>
        <v>Completed</v>
      </c>
      <c r="S863" s="5">
        <f>[1]raw_orders!S863</f>
        <v>4666.7700000000004</v>
      </c>
      <c r="T863" s="5">
        <f t="shared" si="104"/>
        <v>46.667700000000004</v>
      </c>
      <c r="U863" s="5">
        <f t="shared" si="105"/>
        <v>-622118.29014399997</v>
      </c>
      <c r="V863" s="5">
        <f t="shared" si="106"/>
        <v>-622118.49014399992</v>
      </c>
      <c r="W863" s="5">
        <f t="shared" si="107"/>
        <v>1.0000003214822697</v>
      </c>
      <c r="X863" s="5">
        <f t="shared" si="108"/>
        <v>1</v>
      </c>
      <c r="Y863" s="5">
        <f t="shared" si="109"/>
        <v>3</v>
      </c>
      <c r="Z863" s="5">
        <f t="shared" si="110"/>
        <v>2025</v>
      </c>
      <c r="AA863" t="str">
        <f t="shared" si="111"/>
        <v>Clean</v>
      </c>
    </row>
    <row r="864" spans="1:27" x14ac:dyDescent="0.3">
      <c r="A864" t="str">
        <f>[1]raw_orders!A864</f>
        <v>ORD-2025-10863</v>
      </c>
      <c r="B864" s="4">
        <f>IFERROR(DATEVALUE([1]raw_orders!B864), "Invalid Date")</f>
        <v>45742</v>
      </c>
      <c r="C864" s="4">
        <f>IFERROR(DATEVALUE([1]raw_orders!C864), "Invalid Date")</f>
        <v>45747</v>
      </c>
      <c r="D864" t="str">
        <f>[1]raw_orders!D864</f>
        <v>CUST-8354</v>
      </c>
      <c r="E864" t="str">
        <f>PROPER(TRIM([1]raw_orders!E864))</f>
        <v>Priya Menon</v>
      </c>
      <c r="F864" t="str">
        <f>PROPER(TRIM([1]raw_orders!F864))</f>
        <v>Small Business</v>
      </c>
      <c r="G864" t="str">
        <f>IF(TRIM([1]raw_orders!G864)="","Unknown",PROPER(TRIM([1]raw_orders!G864)))</f>
        <v>East</v>
      </c>
      <c r="H864" t="str">
        <f>PROPER(TRIM([1]raw_orders!H864))</f>
        <v>Jharkhand</v>
      </c>
      <c r="I864" t="str">
        <f>PROPER(TRIM([1]raw_orders!I864))</f>
        <v>Ranchi</v>
      </c>
      <c r="J864" t="str">
        <f>PROPER(TRIM([1]raw_orders!J864))</f>
        <v>Office Supplies</v>
      </c>
      <c r="K864" t="str">
        <f>PROPER(TRIM([1]raw_orders!K864))</f>
        <v>Binders</v>
      </c>
      <c r="L864" t="str">
        <f>[1]raw_orders!L864</f>
        <v>Pro Binders 488</v>
      </c>
      <c r="M864" t="str">
        <f>IF(TRIM([1]raw_orders!M864)="","Unknown",PROPER(TRIM([1]raw_orders!M864)))</f>
        <v>First Class</v>
      </c>
      <c r="N864" s="5">
        <f>[1]raw_orders!N864</f>
        <v>5</v>
      </c>
      <c r="O864" s="5">
        <f>[1]raw_orders!O864</f>
        <v>1395.14</v>
      </c>
      <c r="P864" s="5">
        <f>[1]raw_orders!P864</f>
        <v>0</v>
      </c>
      <c r="Q864" t="str">
        <f>PROPER(TRIM([1]raw_orders!T864))</f>
        <v>Paid</v>
      </c>
      <c r="R864" t="str">
        <f>PROPER(TRIM([1]raw_orders!U864))</f>
        <v>Cancelled</v>
      </c>
      <c r="S864" s="5">
        <f>[1]raw_orders!S864</f>
        <v>2177.8200000000002</v>
      </c>
      <c r="T864" s="5">
        <f t="shared" si="104"/>
        <v>21.778200000000002</v>
      </c>
      <c r="U864" s="5">
        <f t="shared" si="105"/>
        <v>-144942.48974000002</v>
      </c>
      <c r="V864" s="5">
        <f t="shared" si="106"/>
        <v>-144942.48974000002</v>
      </c>
      <c r="W864" s="5">
        <f t="shared" si="107"/>
        <v>1</v>
      </c>
      <c r="X864" s="5">
        <f t="shared" si="108"/>
        <v>5</v>
      </c>
      <c r="Y864" s="5">
        <f t="shared" si="109"/>
        <v>3</v>
      </c>
      <c r="Z864" s="5">
        <f t="shared" si="110"/>
        <v>2025</v>
      </c>
      <c r="AA864" t="str">
        <f t="shared" si="111"/>
        <v>Clean</v>
      </c>
    </row>
    <row r="865" spans="1:27" x14ac:dyDescent="0.3">
      <c r="A865" t="str">
        <f>[1]raw_orders!A865</f>
        <v>ORD-2025-10864</v>
      </c>
      <c r="B865" s="4">
        <f>IFERROR(DATEVALUE([1]raw_orders!B865), "Invalid Date")</f>
        <v>45817</v>
      </c>
      <c r="C865" s="4">
        <f>IFERROR(DATEVALUE([1]raw_orders!C865), "Invalid Date")</f>
        <v>45878</v>
      </c>
      <c r="D865" t="str">
        <f>[1]raw_orders!D865</f>
        <v>CUST-2200</v>
      </c>
      <c r="E865" t="str">
        <f>PROPER(TRIM([1]raw_orders!E865))</f>
        <v>Aarav Sharma</v>
      </c>
      <c r="F865" t="str">
        <f>PROPER(TRIM([1]raw_orders!F865))</f>
        <v>Home Office</v>
      </c>
      <c r="G865" t="str">
        <f>IF(TRIM([1]raw_orders!G865)="","Unknown",PROPER(TRIM([1]raw_orders!G865)))</f>
        <v>West</v>
      </c>
      <c r="H865" t="str">
        <f>PROPER(TRIM([1]raw_orders!H865))</f>
        <v>Madhya Pradesh</v>
      </c>
      <c r="I865" t="str">
        <f>PROPER(TRIM([1]raw_orders!I865))</f>
        <v>Indore</v>
      </c>
      <c r="J865" t="str">
        <f>PROPER(TRIM([1]raw_orders!J865))</f>
        <v>Furniture</v>
      </c>
      <c r="K865" t="str">
        <f>PROPER(TRIM([1]raw_orders!K865))</f>
        <v>Furnishings</v>
      </c>
      <c r="L865" t="str">
        <f>[1]raw_orders!L865</f>
        <v>Prime Furnishings 679</v>
      </c>
      <c r="M865" t="str">
        <f>IF(TRIM([1]raw_orders!M865)="","Unknown",PROPER(TRIM([1]raw_orders!M865)))</f>
        <v>Same Day</v>
      </c>
      <c r="N865" s="5">
        <f>[1]raw_orders!N865</f>
        <v>3</v>
      </c>
      <c r="O865" s="5">
        <f>[1]raw_orders!O865</f>
        <v>2937.23</v>
      </c>
      <c r="P865" s="5">
        <f>[1]raw_orders!P865</f>
        <v>0</v>
      </c>
      <c r="Q865" t="str">
        <f>PROPER(TRIM([1]raw_orders!T865))</f>
        <v>Paid</v>
      </c>
      <c r="R865" t="str">
        <f>PROPER(TRIM([1]raw_orders!U865))</f>
        <v>Completed</v>
      </c>
      <c r="S865" s="5">
        <f>[1]raw_orders!S865</f>
        <v>2045.78</v>
      </c>
      <c r="T865" s="5">
        <f t="shared" si="104"/>
        <v>20.457799999999999</v>
      </c>
      <c r="U865" s="5">
        <f t="shared" si="105"/>
        <v>-171456.10168200001</v>
      </c>
      <c r="V865" s="5">
        <f t="shared" si="106"/>
        <v>-171456.10168200001</v>
      </c>
      <c r="W865" s="5">
        <f t="shared" si="107"/>
        <v>1</v>
      </c>
      <c r="X865" s="5">
        <f t="shared" si="108"/>
        <v>61</v>
      </c>
      <c r="Y865" s="5">
        <f t="shared" si="109"/>
        <v>6</v>
      </c>
      <c r="Z865" s="5">
        <f t="shared" si="110"/>
        <v>2025</v>
      </c>
      <c r="AA865" t="str">
        <f t="shared" si="111"/>
        <v>Clean</v>
      </c>
    </row>
    <row r="866" spans="1:27" x14ac:dyDescent="0.3">
      <c r="A866" t="str">
        <f>[1]raw_orders!A866</f>
        <v>ORD-2025-10865</v>
      </c>
      <c r="B866" s="4">
        <f>IFERROR(DATEVALUE([1]raw_orders!B866), "Invalid Date")</f>
        <v>45902</v>
      </c>
      <c r="C866" s="4">
        <f>IFERROR(DATEVALUE([1]raw_orders!C866), "Invalid Date")</f>
        <v>45905</v>
      </c>
      <c r="D866" t="str">
        <f>[1]raw_orders!D866</f>
        <v>CUST-1178</v>
      </c>
      <c r="E866" t="str">
        <f>PROPER(TRIM([1]raw_orders!E866))</f>
        <v>Vikram Iyer</v>
      </c>
      <c r="F866" t="str">
        <f>PROPER(TRIM([1]raw_orders!F866))</f>
        <v>Consumer</v>
      </c>
      <c r="G866" t="str">
        <f>IF(TRIM([1]raw_orders!G866)="","Unknown",PROPER(TRIM([1]raw_orders!G866)))</f>
        <v>South</v>
      </c>
      <c r="H866" t="str">
        <f>PROPER(TRIM([1]raw_orders!H866))</f>
        <v>Tamil Nadu</v>
      </c>
      <c r="I866" t="str">
        <f>PROPER(TRIM([1]raw_orders!I866))</f>
        <v>Chennai</v>
      </c>
      <c r="J866" t="str">
        <f>PROPER(TRIM([1]raw_orders!J866))</f>
        <v>Technology</v>
      </c>
      <c r="K866" t="str">
        <f>PROPER(TRIM([1]raw_orders!K866))</f>
        <v>Phones</v>
      </c>
      <c r="L866" t="str">
        <f>[1]raw_orders!L866</f>
        <v>Smart Phones 158</v>
      </c>
      <c r="M866" t="str">
        <f>IF(TRIM([1]raw_orders!M866)="","Unknown",PROPER(TRIM([1]raw_orders!M866)))</f>
        <v>First Class</v>
      </c>
      <c r="N866" s="5">
        <f>[1]raw_orders!N866</f>
        <v>5</v>
      </c>
      <c r="O866" s="5">
        <f>[1]raw_orders!O866</f>
        <v>3406.87</v>
      </c>
      <c r="P866" s="5">
        <f>[1]raw_orders!P866</f>
        <v>0</v>
      </c>
      <c r="Q866" t="str">
        <f>PROPER(TRIM([1]raw_orders!T866))</f>
        <v>Paid</v>
      </c>
      <c r="R866" t="str">
        <f>PROPER(TRIM([1]raw_orders!U866))</f>
        <v>Completed</v>
      </c>
      <c r="S866" s="5">
        <f>[1]raw_orders!S866</f>
        <v>2402.9899999999998</v>
      </c>
      <c r="T866" s="5">
        <f t="shared" si="104"/>
        <v>24.029899999999998</v>
      </c>
      <c r="U866" s="5">
        <f t="shared" si="105"/>
        <v>-392299.37706499995</v>
      </c>
      <c r="V866" s="5">
        <f t="shared" si="106"/>
        <v>-392299.37706499995</v>
      </c>
      <c r="W866" s="5">
        <f t="shared" si="107"/>
        <v>1</v>
      </c>
      <c r="X866" s="5">
        <f t="shared" si="108"/>
        <v>3</v>
      </c>
      <c r="Y866" s="5">
        <f t="shared" si="109"/>
        <v>9</v>
      </c>
      <c r="Z866" s="5">
        <f t="shared" si="110"/>
        <v>2025</v>
      </c>
      <c r="AA866" t="str">
        <f t="shared" si="111"/>
        <v>Clean</v>
      </c>
    </row>
    <row r="867" spans="1:27" x14ac:dyDescent="0.3">
      <c r="A867" t="str">
        <f>[1]raw_orders!A867</f>
        <v>ORD-2025-10866</v>
      </c>
      <c r="B867" s="4">
        <f>IFERROR(DATEVALUE([1]raw_orders!B867), "Invalid Date")</f>
        <v>45694</v>
      </c>
      <c r="C867" s="4">
        <f>IFERROR(DATEVALUE([1]raw_orders!C867), "Invalid Date")</f>
        <v>45702</v>
      </c>
      <c r="D867" t="str">
        <f>[1]raw_orders!D867</f>
        <v>CUST-8099</v>
      </c>
      <c r="E867" t="str">
        <f>PROPER(TRIM([1]raw_orders!E867))</f>
        <v>Kabir Singh</v>
      </c>
      <c r="F867" t="str">
        <f>PROPER(TRIM([1]raw_orders!F867))</f>
        <v>Consumer</v>
      </c>
      <c r="G867" t="str">
        <f>IF(TRIM([1]raw_orders!G867)="","Unknown",PROPER(TRIM([1]raw_orders!G867)))</f>
        <v>West</v>
      </c>
      <c r="H867" t="str">
        <f>PROPER(TRIM([1]raw_orders!H867))</f>
        <v>Maharashtra</v>
      </c>
      <c r="I867" t="str">
        <f>PROPER(TRIM([1]raw_orders!I867))</f>
        <v>Mumbai</v>
      </c>
      <c r="J867" t="str">
        <f>PROPER(TRIM([1]raw_orders!J867))</f>
        <v>Office Supplies</v>
      </c>
      <c r="K867" t="str">
        <f>PROPER(TRIM([1]raw_orders!K867))</f>
        <v>Labels</v>
      </c>
      <c r="L867" t="str">
        <f>[1]raw_orders!L867</f>
        <v>Classic Labels 218</v>
      </c>
      <c r="M867" t="str">
        <f>IF(TRIM([1]raw_orders!M867)="","Unknown",PROPER(TRIM([1]raw_orders!M867)))</f>
        <v>Second Class</v>
      </c>
      <c r="N867" s="5">
        <f>[1]raw_orders!N867</f>
        <v>2</v>
      </c>
      <c r="O867" s="5">
        <f>[1]raw_orders!O867</f>
        <v>3992.04</v>
      </c>
      <c r="P867" s="5">
        <f>[1]raw_orders!P867</f>
        <v>0</v>
      </c>
      <c r="Q867" t="str">
        <f>PROPER(TRIM([1]raw_orders!T867))</f>
        <v>Paid</v>
      </c>
      <c r="R867" t="str">
        <f>PROPER(TRIM([1]raw_orders!U867))</f>
        <v>Completed</v>
      </c>
      <c r="S867" s="5">
        <f>[1]raw_orders!S867</f>
        <v>2326.0300000000002</v>
      </c>
      <c r="T867" s="5">
        <f t="shared" si="104"/>
        <v>23.260300000000001</v>
      </c>
      <c r="U867" s="5">
        <f t="shared" si="105"/>
        <v>-177728.01602400001</v>
      </c>
      <c r="V867" s="5">
        <f t="shared" si="106"/>
        <v>-177728.01602400001</v>
      </c>
      <c r="W867" s="5">
        <f t="shared" si="107"/>
        <v>1</v>
      </c>
      <c r="X867" s="5">
        <f t="shared" si="108"/>
        <v>8</v>
      </c>
      <c r="Y867" s="5">
        <f t="shared" si="109"/>
        <v>2</v>
      </c>
      <c r="Z867" s="5">
        <f t="shared" si="110"/>
        <v>2025</v>
      </c>
      <c r="AA867" t="str">
        <f t="shared" si="111"/>
        <v>Clean</v>
      </c>
    </row>
    <row r="868" spans="1:27" x14ac:dyDescent="0.3">
      <c r="A868" t="str">
        <f>[1]raw_orders!A868</f>
        <v>ORD-2025-10867</v>
      </c>
      <c r="B868" s="4" t="str">
        <f>IFERROR(DATEVALUE([1]raw_orders!B868), "Invalid Date")</f>
        <v>Invalid Date</v>
      </c>
      <c r="C868" s="4">
        <f>IFERROR(DATEVALUE([1]raw_orders!C868), "Invalid Date")</f>
        <v>45722</v>
      </c>
      <c r="D868" t="str">
        <f>[1]raw_orders!D868</f>
        <v>CUST-7596</v>
      </c>
      <c r="E868" t="str">
        <f>PROPER(TRIM([1]raw_orders!E868))</f>
        <v>Priya Menon</v>
      </c>
      <c r="F868" t="str">
        <f>PROPER(TRIM([1]raw_orders!F868))</f>
        <v>Consumer</v>
      </c>
      <c r="G868" t="str">
        <f>IF(TRIM([1]raw_orders!G868)="","Unknown",PROPER(TRIM([1]raw_orders!G868)))</f>
        <v>East</v>
      </c>
      <c r="H868" t="str">
        <f>PROPER(TRIM([1]raw_orders!H868))</f>
        <v>Bihar</v>
      </c>
      <c r="I868" t="str">
        <f>PROPER(TRIM([1]raw_orders!I868))</f>
        <v>Patna</v>
      </c>
      <c r="J868" t="str">
        <f>PROPER(TRIM([1]raw_orders!J868))</f>
        <v>Furniture</v>
      </c>
      <c r="K868" t="str">
        <f>PROPER(TRIM([1]raw_orders!K868))</f>
        <v>Bookcases</v>
      </c>
      <c r="L868" t="str">
        <f>[1]raw_orders!L868</f>
        <v>Smart Bookcases 552</v>
      </c>
      <c r="M868" t="str">
        <f>IF(TRIM([1]raw_orders!M868)="","Unknown",PROPER(TRIM([1]raw_orders!M868)))</f>
        <v>First Class</v>
      </c>
      <c r="N868" s="5">
        <f>[1]raw_orders!N868</f>
        <v>9</v>
      </c>
      <c r="O868" s="5">
        <f>[1]raw_orders!O868</f>
        <v>3043.37</v>
      </c>
      <c r="P868" s="5">
        <f>[1]raw_orders!P868</f>
        <v>0.2</v>
      </c>
      <c r="Q868" t="str">
        <f>PROPER(TRIM([1]raw_orders!T868))</f>
        <v>Pending</v>
      </c>
      <c r="R868" t="str">
        <f>PROPER(TRIM([1]raw_orders!U868))</f>
        <v>Cancelled</v>
      </c>
      <c r="S868" s="5">
        <f>[1]raw_orders!S868</f>
        <v>5544.48</v>
      </c>
      <c r="T868" s="5">
        <f t="shared" si="104"/>
        <v>55.444799999999994</v>
      </c>
      <c r="U868" s="5">
        <f t="shared" si="105"/>
        <v>-1491261.0387839996</v>
      </c>
      <c r="V868" s="5">
        <f t="shared" si="106"/>
        <v>-1491261.2387839996</v>
      </c>
      <c r="W868" s="5">
        <f t="shared" si="107"/>
        <v>1.000000134114682</v>
      </c>
      <c r="X868" s="5" t="str">
        <f t="shared" si="108"/>
        <v>Invalid Date</v>
      </c>
      <c r="Y868" s="5" t="e">
        <f t="shared" si="109"/>
        <v>#VALUE!</v>
      </c>
      <c r="Z868" s="5" t="e">
        <f t="shared" si="110"/>
        <v>#VALUE!</v>
      </c>
      <c r="AA868" t="str">
        <f t="shared" si="111"/>
        <v>Clean</v>
      </c>
    </row>
    <row r="869" spans="1:27" x14ac:dyDescent="0.3">
      <c r="A869" t="str">
        <f>[1]raw_orders!A869</f>
        <v>ORD-2024-10868</v>
      </c>
      <c r="B869" s="4">
        <f>IFERROR(DATEVALUE([1]raw_orders!B869), "Invalid Date")</f>
        <v>45617</v>
      </c>
      <c r="C869" s="4">
        <f>IFERROR(DATEVALUE([1]raw_orders!C869), "Invalid Date")</f>
        <v>45618</v>
      </c>
      <c r="D869" t="str">
        <f>[1]raw_orders!D869</f>
        <v>CUST-2328</v>
      </c>
      <c r="E869" t="str">
        <f>PROPER(TRIM([1]raw_orders!E869))</f>
        <v>Rahul Verma</v>
      </c>
      <c r="F869" t="str">
        <f>PROPER(TRIM([1]raw_orders!F869))</f>
        <v>Home Office</v>
      </c>
      <c r="G869" t="str">
        <f>IF(TRIM([1]raw_orders!G869)="","Unknown",PROPER(TRIM([1]raw_orders!G869)))</f>
        <v>South</v>
      </c>
      <c r="H869" t="str">
        <f>PROPER(TRIM([1]raw_orders!H869))</f>
        <v>Andhra Pradesh</v>
      </c>
      <c r="I869" t="str">
        <f>PROPER(TRIM([1]raw_orders!I869))</f>
        <v>Vijayawada</v>
      </c>
      <c r="J869" t="str">
        <f>PROPER(TRIM([1]raw_orders!J869))</f>
        <v>Technology</v>
      </c>
      <c r="K869" t="str">
        <f>PROPER(TRIM([1]raw_orders!K869))</f>
        <v>Accessories</v>
      </c>
      <c r="L869" t="str">
        <f>[1]raw_orders!L869</f>
        <v>Eco Accessories 389</v>
      </c>
      <c r="M869" t="str">
        <f>IF(TRIM([1]raw_orders!M869)="","Unknown",PROPER(TRIM([1]raw_orders!M869)))</f>
        <v>Same Day</v>
      </c>
      <c r="N869" s="5">
        <f>[1]raw_orders!N869</f>
        <v>6</v>
      </c>
      <c r="O869" s="5">
        <f>[1]raw_orders!O869</f>
        <v>1043.49</v>
      </c>
      <c r="P869" s="5">
        <f>[1]raw_orders!P869</f>
        <v>0.25</v>
      </c>
      <c r="Q869" t="str">
        <f>PROPER(TRIM([1]raw_orders!T869))</f>
        <v>Failed</v>
      </c>
      <c r="R869" t="str">
        <f>PROPER(TRIM([1]raw_orders!U869))</f>
        <v>Cancelled</v>
      </c>
      <c r="S869" s="5">
        <f>[1]raw_orders!S869</f>
        <v>824.01</v>
      </c>
      <c r="T869" s="5">
        <f t="shared" si="104"/>
        <v>8.2401</v>
      </c>
      <c r="U869" s="5">
        <f t="shared" si="105"/>
        <v>-45329.831694</v>
      </c>
      <c r="V869" s="5">
        <f t="shared" si="106"/>
        <v>-45330.081694</v>
      </c>
      <c r="W869" s="5">
        <f t="shared" si="107"/>
        <v>1.0000055151318825</v>
      </c>
      <c r="X869" s="5">
        <f t="shared" si="108"/>
        <v>1</v>
      </c>
      <c r="Y869" s="5">
        <f t="shared" si="109"/>
        <v>11</v>
      </c>
      <c r="Z869" s="5">
        <f t="shared" si="110"/>
        <v>2024</v>
      </c>
      <c r="AA869" t="str">
        <f t="shared" si="111"/>
        <v>Clean</v>
      </c>
    </row>
    <row r="870" spans="1:27" x14ac:dyDescent="0.3">
      <c r="A870" t="str">
        <f>[1]raw_orders!A870</f>
        <v>ORD-2025-10869</v>
      </c>
      <c r="B870" s="4">
        <f>IFERROR(DATEVALUE([1]raw_orders!B870), "Invalid Date")</f>
        <v>45758</v>
      </c>
      <c r="C870" s="4">
        <f>IFERROR(DATEVALUE([1]raw_orders!C870), "Invalid Date")</f>
        <v>45762</v>
      </c>
      <c r="D870" t="str">
        <f>[1]raw_orders!D870</f>
        <v>CUST-8483</v>
      </c>
      <c r="E870" t="str">
        <f>PROPER(TRIM([1]raw_orders!E870))</f>
        <v>Vikram Iyer</v>
      </c>
      <c r="F870" t="str">
        <f>PROPER(TRIM([1]raw_orders!F870))</f>
        <v>Home Office</v>
      </c>
      <c r="G870" t="str">
        <f>IF(TRIM([1]raw_orders!G870)="","Unknown",PROPER(TRIM([1]raw_orders!G870)))</f>
        <v>South</v>
      </c>
      <c r="H870" t="str">
        <f>PROPER(TRIM([1]raw_orders!H870))</f>
        <v>Karnataka</v>
      </c>
      <c r="I870" t="str">
        <f>PROPER(TRIM([1]raw_orders!I870))</f>
        <v>Bengaluru</v>
      </c>
      <c r="J870" t="str">
        <f>PROPER(TRIM([1]raw_orders!J870))</f>
        <v>Office Supplies</v>
      </c>
      <c r="K870" t="str">
        <f>PROPER(TRIM([1]raw_orders!K870))</f>
        <v>Storage</v>
      </c>
      <c r="L870" t="str">
        <f>[1]raw_orders!L870</f>
        <v>Elite Storage 187</v>
      </c>
      <c r="M870" t="str">
        <f>IF(TRIM([1]raw_orders!M870)="","Unknown",PROPER(TRIM([1]raw_orders!M870)))</f>
        <v>Same Day</v>
      </c>
      <c r="N870" s="5">
        <f>[1]raw_orders!N870</f>
        <v>9</v>
      </c>
      <c r="O870" s="5">
        <f>[1]raw_orders!O870</f>
        <v>224.94</v>
      </c>
      <c r="P870" s="5">
        <f>[1]raw_orders!P870</f>
        <v>0.05</v>
      </c>
      <c r="Q870" t="str">
        <f>PROPER(TRIM([1]raw_orders!T870))</f>
        <v>Paid</v>
      </c>
      <c r="R870" t="str">
        <f>PROPER(TRIM([1]raw_orders!U870))</f>
        <v>Completed</v>
      </c>
      <c r="S870" s="5">
        <f>[1]raw_orders!S870</f>
        <v>829.58</v>
      </c>
      <c r="T870" s="5">
        <f t="shared" si="104"/>
        <v>8.2957999999999998</v>
      </c>
      <c r="U870" s="5">
        <f t="shared" si="105"/>
        <v>-14770.055268</v>
      </c>
      <c r="V870" s="5">
        <f t="shared" si="106"/>
        <v>-14770.105267999999</v>
      </c>
      <c r="W870" s="5">
        <f t="shared" si="107"/>
        <v>1.0000033852276848</v>
      </c>
      <c r="X870" s="5">
        <f t="shared" si="108"/>
        <v>4</v>
      </c>
      <c r="Y870" s="5">
        <f t="shared" si="109"/>
        <v>4</v>
      </c>
      <c r="Z870" s="5">
        <f t="shared" si="110"/>
        <v>2025</v>
      </c>
      <c r="AA870" t="str">
        <f t="shared" si="111"/>
        <v>Clean</v>
      </c>
    </row>
    <row r="871" spans="1:27" x14ac:dyDescent="0.3">
      <c r="A871" t="str">
        <f>[1]raw_orders!A871</f>
        <v>ORD-2025-10870</v>
      </c>
      <c r="B871" s="4">
        <f>IFERROR(DATEVALUE([1]raw_orders!B871), "Invalid Date")</f>
        <v>45811</v>
      </c>
      <c r="C871" s="4">
        <f>IFERROR(DATEVALUE([1]raw_orders!C871), "Invalid Date")</f>
        <v>45723</v>
      </c>
      <c r="D871" t="str">
        <f>[1]raw_orders!D871</f>
        <v>CUST-2388</v>
      </c>
      <c r="E871" t="str">
        <f>PROPER(TRIM([1]raw_orders!E871))</f>
        <v>Rohan Mehta</v>
      </c>
      <c r="F871" t="str">
        <f>PROPER(TRIM([1]raw_orders!F871))</f>
        <v>Home Office</v>
      </c>
      <c r="G871" t="str">
        <f>IF(TRIM([1]raw_orders!G871)="","Unknown",PROPER(TRIM([1]raw_orders!G871)))</f>
        <v>Unknown</v>
      </c>
      <c r="H871" t="str">
        <f>PROPER(TRIM([1]raw_orders!H871))</f>
        <v>Delhi</v>
      </c>
      <c r="I871" t="str">
        <f>PROPER(TRIM([1]raw_orders!I871))</f>
        <v>New Delhi</v>
      </c>
      <c r="J871" t="str">
        <f>PROPER(TRIM([1]raw_orders!J871))</f>
        <v>Furniture</v>
      </c>
      <c r="K871" t="str">
        <f>PROPER(TRIM([1]raw_orders!K871))</f>
        <v>Chairs</v>
      </c>
      <c r="L871" t="str">
        <f>[1]raw_orders!L871</f>
        <v>Max Chairs 487</v>
      </c>
      <c r="M871" t="str">
        <f>IF(TRIM([1]raw_orders!M871)="","Unknown",PROPER(TRIM([1]raw_orders!M871)))</f>
        <v>Same Day</v>
      </c>
      <c r="N871" s="5">
        <f>[1]raw_orders!N871</f>
        <v>6</v>
      </c>
      <c r="O871" s="5">
        <f>[1]raw_orders!O871</f>
        <v>796.65</v>
      </c>
      <c r="P871" s="5">
        <f>[1]raw_orders!P871</f>
        <v>0.1</v>
      </c>
      <c r="Q871" t="str">
        <f>PROPER(TRIM([1]raw_orders!T871))</f>
        <v>Paid</v>
      </c>
      <c r="R871" t="str">
        <f>PROPER(TRIM([1]raw_orders!U871))</f>
        <v>Completed</v>
      </c>
      <c r="S871" s="5">
        <f>[1]raw_orders!S871</f>
        <v>1927.51</v>
      </c>
      <c r="T871" s="5">
        <f t="shared" si="104"/>
        <v>19.275099999999998</v>
      </c>
      <c r="U871" s="5">
        <f t="shared" si="105"/>
        <v>-87353.150489999985</v>
      </c>
      <c r="V871" s="5">
        <f t="shared" si="106"/>
        <v>-87353.250489999991</v>
      </c>
      <c r="W871" s="5">
        <f t="shared" si="107"/>
        <v>1.0000011447784019</v>
      </c>
      <c r="X871" s="5">
        <f t="shared" si="108"/>
        <v>-88</v>
      </c>
      <c r="Y871" s="5">
        <f t="shared" si="109"/>
        <v>6</v>
      </c>
      <c r="Z871" s="5">
        <f t="shared" si="110"/>
        <v>2025</v>
      </c>
      <c r="AA871" t="str">
        <f t="shared" si="111"/>
        <v>Invalid</v>
      </c>
    </row>
    <row r="872" spans="1:27" x14ac:dyDescent="0.3">
      <c r="A872" t="str">
        <f>[1]raw_orders!A872</f>
        <v>ORD-2025-10871</v>
      </c>
      <c r="B872" s="4">
        <f>IFERROR(DATEVALUE([1]raw_orders!B872), "Invalid Date")</f>
        <v>45814</v>
      </c>
      <c r="C872" s="4">
        <f>IFERROR(DATEVALUE([1]raw_orders!C872), "Invalid Date")</f>
        <v>45815</v>
      </c>
      <c r="D872" t="str">
        <f>[1]raw_orders!D872</f>
        <v>CUST-7054</v>
      </c>
      <c r="E872" t="str">
        <f>PROPER(TRIM([1]raw_orders!E872))</f>
        <v>Vikram Iyer</v>
      </c>
      <c r="F872" t="str">
        <f>PROPER(TRIM([1]raw_orders!F872))</f>
        <v>Corporate</v>
      </c>
      <c r="G872" t="str">
        <f>IF(TRIM([1]raw_orders!G872)="","Unknown",PROPER(TRIM([1]raw_orders!G872)))</f>
        <v>West</v>
      </c>
      <c r="H872" t="str">
        <f>PROPER(TRIM([1]raw_orders!H872))</f>
        <v>Goa</v>
      </c>
      <c r="I872" t="str">
        <f>PROPER(TRIM([1]raw_orders!I872))</f>
        <v>Panaji</v>
      </c>
      <c r="J872" t="str">
        <f>PROPER(TRIM([1]raw_orders!J872))</f>
        <v>Furniture</v>
      </c>
      <c r="K872" t="str">
        <f>PROPER(TRIM([1]raw_orders!K872))</f>
        <v>Tables</v>
      </c>
      <c r="L872" t="str">
        <f>[1]raw_orders!L872</f>
        <v>Max Tables 281</v>
      </c>
      <c r="M872" t="str">
        <f>IF(TRIM([1]raw_orders!M872)="","Unknown",PROPER(TRIM([1]raw_orders!M872)))</f>
        <v>Standard Class</v>
      </c>
      <c r="N872" s="5">
        <f>[1]raw_orders!N872</f>
        <v>9</v>
      </c>
      <c r="O872" s="5">
        <f>[1]raw_orders!O872</f>
        <v>2932.92</v>
      </c>
      <c r="P872" s="5">
        <f>[1]raw_orders!P872</f>
        <v>0.15</v>
      </c>
      <c r="Q872" t="str">
        <f>PROPER(TRIM([1]raw_orders!T872))</f>
        <v>Paid</v>
      </c>
      <c r="R872" t="str">
        <f>PROPER(TRIM([1]raw_orders!U872))</f>
        <v>Cancelled</v>
      </c>
      <c r="S872" s="5">
        <f>[1]raw_orders!S872</f>
        <v>4982.17</v>
      </c>
      <c r="T872" s="5">
        <f t="shared" si="104"/>
        <v>49.8217</v>
      </c>
      <c r="U872" s="5">
        <f t="shared" si="105"/>
        <v>-1288711.263276</v>
      </c>
      <c r="V872" s="5">
        <f t="shared" si="106"/>
        <v>-1288711.4132759999</v>
      </c>
      <c r="W872" s="5">
        <f t="shared" si="107"/>
        <v>1.0000001163953511</v>
      </c>
      <c r="X872" s="5">
        <f t="shared" si="108"/>
        <v>1</v>
      </c>
      <c r="Y872" s="5">
        <f t="shared" si="109"/>
        <v>6</v>
      </c>
      <c r="Z872" s="5">
        <f t="shared" si="110"/>
        <v>2025</v>
      </c>
      <c r="AA872" t="str">
        <f t="shared" si="111"/>
        <v>Clean</v>
      </c>
    </row>
    <row r="873" spans="1:27" x14ac:dyDescent="0.3">
      <c r="A873" t="str">
        <f>[1]raw_orders!A873</f>
        <v>ORD-2024-10872</v>
      </c>
      <c r="B873" s="4" t="str">
        <f>IFERROR(DATEVALUE([1]raw_orders!B873), "Invalid Date")</f>
        <v>Invalid Date</v>
      </c>
      <c r="C873" s="4">
        <f>IFERROR(DATEVALUE([1]raw_orders!C873), "Invalid Date")</f>
        <v>45344</v>
      </c>
      <c r="D873" t="str">
        <f>[1]raw_orders!D873</f>
        <v>CUST-4375</v>
      </c>
      <c r="E873" t="str">
        <f>PROPER(TRIM([1]raw_orders!E873))</f>
        <v>Neha Gupta</v>
      </c>
      <c r="F873" t="str">
        <f>PROPER(TRIM([1]raw_orders!F873))</f>
        <v>Small Business</v>
      </c>
      <c r="G873" t="str">
        <f>IF(TRIM([1]raw_orders!G873)="","Unknown",PROPER(TRIM([1]raw_orders!G873)))</f>
        <v>South</v>
      </c>
      <c r="H873" t="str">
        <f>PROPER(TRIM([1]raw_orders!H873))</f>
        <v>Telangana</v>
      </c>
      <c r="I873" t="str">
        <f>PROPER(TRIM([1]raw_orders!I873))</f>
        <v>Hyderabad</v>
      </c>
      <c r="J873" t="str">
        <f>PROPER(TRIM([1]raw_orders!J873))</f>
        <v>Technology</v>
      </c>
      <c r="K873" t="str">
        <f>PROPER(TRIM([1]raw_orders!K873))</f>
        <v>Accessories</v>
      </c>
      <c r="L873" t="str">
        <f>[1]raw_orders!L873</f>
        <v>Pro Accessories 325</v>
      </c>
      <c r="M873" t="str">
        <f>IF(TRIM([1]raw_orders!M873)="","Unknown",PROPER(TRIM([1]raw_orders!M873)))</f>
        <v>First Class</v>
      </c>
      <c r="N873" s="5">
        <f>[1]raw_orders!N873</f>
        <v>9</v>
      </c>
      <c r="O873" s="5">
        <f>[1]raw_orders!O873</f>
        <v>2186.23</v>
      </c>
      <c r="P873" s="5">
        <f>[1]raw_orders!P873</f>
        <v>0</v>
      </c>
      <c r="Q873" t="str">
        <f>PROPER(TRIM([1]raw_orders!T873))</f>
        <v>Refunded</v>
      </c>
      <c r="R873" t="str">
        <f>PROPER(TRIM([1]raw_orders!U873))</f>
        <v>Cancelled</v>
      </c>
      <c r="S873" s="5">
        <f>[1]raw_orders!S873</f>
        <v>7217.45</v>
      </c>
      <c r="T873" s="5">
        <f t="shared" si="104"/>
        <v>72.174499999999995</v>
      </c>
      <c r="U873" s="5">
        <f t="shared" si="105"/>
        <v>-1400434.4442149999</v>
      </c>
      <c r="V873" s="5">
        <f t="shared" si="106"/>
        <v>-1400434.4442149999</v>
      </c>
      <c r="W873" s="5">
        <f t="shared" si="107"/>
        <v>1</v>
      </c>
      <c r="X873" s="5" t="str">
        <f t="shared" si="108"/>
        <v>Invalid Date</v>
      </c>
      <c r="Y873" s="5" t="e">
        <f t="shared" si="109"/>
        <v>#VALUE!</v>
      </c>
      <c r="Z873" s="5" t="e">
        <f t="shared" si="110"/>
        <v>#VALUE!</v>
      </c>
      <c r="AA873" t="str">
        <f t="shared" si="111"/>
        <v>Clean</v>
      </c>
    </row>
    <row r="874" spans="1:27" x14ac:dyDescent="0.3">
      <c r="A874" t="str">
        <f>[1]raw_orders!A874</f>
        <v>ORD-2024-10873</v>
      </c>
      <c r="B874" s="4">
        <f>IFERROR(DATEVALUE([1]raw_orders!B874), "Invalid Date")</f>
        <v>45302</v>
      </c>
      <c r="C874" s="4">
        <f>IFERROR(DATEVALUE([1]raw_orders!C874), "Invalid Date")</f>
        <v>45598</v>
      </c>
      <c r="D874" t="str">
        <f>[1]raw_orders!D874</f>
        <v>CUST-6262</v>
      </c>
      <c r="E874" t="str">
        <f>PROPER(TRIM([1]raw_orders!E874))</f>
        <v>Karan Malhotra</v>
      </c>
      <c r="F874" t="str">
        <f>PROPER(TRIM([1]raw_orders!F874))</f>
        <v>Corporate</v>
      </c>
      <c r="G874" t="str">
        <f>IF(TRIM([1]raw_orders!G874)="","Unknown",PROPER(TRIM([1]raw_orders!G874)))</f>
        <v>East</v>
      </c>
      <c r="H874" t="str">
        <f>PROPER(TRIM([1]raw_orders!H874))</f>
        <v>West Bengal</v>
      </c>
      <c r="I874" t="str">
        <f>PROPER(TRIM([1]raw_orders!I874))</f>
        <v>Kolkata</v>
      </c>
      <c r="J874" t="str">
        <f>PROPER(TRIM([1]raw_orders!J874))</f>
        <v>Furniture</v>
      </c>
      <c r="K874" t="str">
        <f>PROPER(TRIM([1]raw_orders!K874))</f>
        <v>Furnishings</v>
      </c>
      <c r="L874" t="str">
        <f>[1]raw_orders!L874</f>
        <v>Prime Furnishings 178</v>
      </c>
      <c r="M874" t="str">
        <f>IF(TRIM([1]raw_orders!M874)="","Unknown",PROPER(TRIM([1]raw_orders!M874)))</f>
        <v>Standard Class</v>
      </c>
      <c r="N874" s="5">
        <f>[1]raw_orders!N874</f>
        <v>5</v>
      </c>
      <c r="O874" s="5">
        <f>[1]raw_orders!O874</f>
        <v>2212.02</v>
      </c>
      <c r="P874" s="5">
        <f>[1]raw_orders!P874</f>
        <v>0.2</v>
      </c>
      <c r="Q874" t="str">
        <f>PROPER(TRIM([1]raw_orders!T874))</f>
        <v>Paid</v>
      </c>
      <c r="R874" t="str">
        <f>PROPER(TRIM([1]raw_orders!U874))</f>
        <v>Completed</v>
      </c>
      <c r="S874" s="5">
        <f>[1]raw_orders!S874</f>
        <v>3156.52</v>
      </c>
      <c r="T874" s="5">
        <f t="shared" si="104"/>
        <v>31.565200000000001</v>
      </c>
      <c r="U874" s="5">
        <f t="shared" si="105"/>
        <v>-338054.16852000001</v>
      </c>
      <c r="V874" s="5">
        <f t="shared" si="106"/>
        <v>-338054.36852000002</v>
      </c>
      <c r="W874" s="5">
        <f t="shared" si="107"/>
        <v>1.0000005916211621</v>
      </c>
      <c r="X874" s="5">
        <f t="shared" si="108"/>
        <v>296</v>
      </c>
      <c r="Y874" s="5">
        <f t="shared" si="109"/>
        <v>1</v>
      </c>
      <c r="Z874" s="5">
        <f t="shared" si="110"/>
        <v>2024</v>
      </c>
      <c r="AA874" t="str">
        <f t="shared" si="111"/>
        <v>Clean</v>
      </c>
    </row>
    <row r="875" spans="1:27" x14ac:dyDescent="0.3">
      <c r="A875" t="str">
        <f>[1]raw_orders!A875</f>
        <v>ORD-2025-10874</v>
      </c>
      <c r="B875" s="4">
        <f>IFERROR(DATEVALUE([1]raw_orders!B875), "Invalid Date")</f>
        <v>45689</v>
      </c>
      <c r="C875" s="4">
        <f>IFERROR(DATEVALUE([1]raw_orders!C875), "Invalid Date")</f>
        <v>45696</v>
      </c>
      <c r="D875" t="str">
        <f>[1]raw_orders!D875</f>
        <v>CUST-8160</v>
      </c>
      <c r="E875" t="str">
        <f>PROPER(TRIM([1]raw_orders!E875))</f>
        <v>Aditi Sen</v>
      </c>
      <c r="F875" t="str">
        <f>PROPER(TRIM([1]raw_orders!F875))</f>
        <v>Home Office</v>
      </c>
      <c r="G875" t="str">
        <f>IF(TRIM([1]raw_orders!G875)="","Unknown",PROPER(TRIM([1]raw_orders!G875)))</f>
        <v>West</v>
      </c>
      <c r="H875" t="str">
        <f>PROPER(TRIM([1]raw_orders!H875))</f>
        <v>Gujarat</v>
      </c>
      <c r="I875" t="str">
        <f>PROPER(TRIM([1]raw_orders!I875))</f>
        <v>Ahmedabad</v>
      </c>
      <c r="J875" t="str">
        <f>PROPER(TRIM([1]raw_orders!J875))</f>
        <v>Office Supplies</v>
      </c>
      <c r="K875" t="str">
        <f>PROPER(TRIM([1]raw_orders!K875))</f>
        <v>Storage</v>
      </c>
      <c r="L875" t="str">
        <f>[1]raw_orders!L875</f>
        <v>Elite Storage 144</v>
      </c>
      <c r="M875" t="str">
        <f>IF(TRIM([1]raw_orders!M875)="","Unknown",PROPER(TRIM([1]raw_orders!M875)))</f>
        <v>Second Class</v>
      </c>
      <c r="N875" s="5">
        <f>[1]raw_orders!N875</f>
        <v>8</v>
      </c>
      <c r="O875" s="5">
        <f>[1]raw_orders!O875</f>
        <v>623.30999999999995</v>
      </c>
      <c r="P875" s="5">
        <f>[1]raw_orders!P875</f>
        <v>0.1</v>
      </c>
      <c r="Q875" t="str">
        <f>PROPER(TRIM([1]raw_orders!T875))</f>
        <v>Paid</v>
      </c>
      <c r="R875" t="str">
        <f>PROPER(TRIM([1]raw_orders!U875))</f>
        <v>Completed</v>
      </c>
      <c r="S875" s="5">
        <f>[1]raw_orders!S875</f>
        <v>1854.05</v>
      </c>
      <c r="T875" s="5">
        <f t="shared" si="104"/>
        <v>18.540499999999998</v>
      </c>
      <c r="U875" s="5">
        <f t="shared" si="105"/>
        <v>-87465.352439999988</v>
      </c>
      <c r="V875" s="5">
        <f t="shared" si="106"/>
        <v>-87465.452439999994</v>
      </c>
      <c r="W875" s="5">
        <f t="shared" si="107"/>
        <v>1.0000011433098617</v>
      </c>
      <c r="X875" s="5">
        <f t="shared" si="108"/>
        <v>7</v>
      </c>
      <c r="Y875" s="5">
        <f t="shared" si="109"/>
        <v>2</v>
      </c>
      <c r="Z875" s="5">
        <f t="shared" si="110"/>
        <v>2025</v>
      </c>
      <c r="AA875" t="str">
        <f t="shared" si="111"/>
        <v>Clean</v>
      </c>
    </row>
    <row r="876" spans="1:27" x14ac:dyDescent="0.3">
      <c r="A876" t="str">
        <f>[1]raw_orders!A876</f>
        <v>ORD-2025-10875</v>
      </c>
      <c r="B876" s="4">
        <f>IFERROR(DATEVALUE([1]raw_orders!B876), "Invalid Date")</f>
        <v>45853</v>
      </c>
      <c r="C876" s="4">
        <f>IFERROR(DATEVALUE([1]raw_orders!C876), "Invalid Date")</f>
        <v>45854</v>
      </c>
      <c r="D876" t="str">
        <f>[1]raw_orders!D876</f>
        <v>CUST-8770</v>
      </c>
      <c r="E876" t="str">
        <f>PROPER(TRIM([1]raw_orders!E876))</f>
        <v>Vikram Iyer</v>
      </c>
      <c r="F876" t="str">
        <f>PROPER(TRIM([1]raw_orders!F876))</f>
        <v>Small Business</v>
      </c>
      <c r="G876" t="str">
        <f>IF(TRIM([1]raw_orders!G876)="","Unknown",PROPER(TRIM([1]raw_orders!G876)))</f>
        <v>West</v>
      </c>
      <c r="H876" t="str">
        <f>PROPER(TRIM([1]raw_orders!H876))</f>
        <v>Maharashtra</v>
      </c>
      <c r="I876" t="str">
        <f>PROPER(TRIM([1]raw_orders!I876))</f>
        <v>Mumbai</v>
      </c>
      <c r="J876" t="str">
        <f>PROPER(TRIM([1]raw_orders!J876))</f>
        <v>Office Supplies</v>
      </c>
      <c r="K876" t="str">
        <f>PROPER(TRIM([1]raw_orders!K876))</f>
        <v>Paper</v>
      </c>
      <c r="L876" t="str">
        <f>[1]raw_orders!L876</f>
        <v>Elite Paper 309</v>
      </c>
      <c r="M876" t="str">
        <f>IF(TRIM([1]raw_orders!M876)="","Unknown",PROPER(TRIM([1]raw_orders!M876)))</f>
        <v>Standard Class</v>
      </c>
      <c r="N876" s="5">
        <f>[1]raw_orders!N876</f>
        <v>8</v>
      </c>
      <c r="O876" s="5">
        <f>[1]raw_orders!O876</f>
        <v>3924.88</v>
      </c>
      <c r="P876" s="5">
        <f>[1]raw_orders!P876</f>
        <v>0.05</v>
      </c>
      <c r="Q876" t="str">
        <f>PROPER(TRIM([1]raw_orders!T876))</f>
        <v>Paid</v>
      </c>
      <c r="R876" t="str">
        <f>PROPER(TRIM([1]raw_orders!U876))</f>
        <v>Completed</v>
      </c>
      <c r="S876" s="5">
        <f>[1]raw_orders!S876</f>
        <v>9118.91</v>
      </c>
      <c r="T876" s="5">
        <f t="shared" si="104"/>
        <v>91.189099999999996</v>
      </c>
      <c r="U876" s="5">
        <f t="shared" si="105"/>
        <v>-2831851.1584640001</v>
      </c>
      <c r="V876" s="5">
        <f t="shared" si="106"/>
        <v>-2831851.2084639999</v>
      </c>
      <c r="W876" s="5">
        <f t="shared" si="107"/>
        <v>1.0000000176562951</v>
      </c>
      <c r="X876" s="5">
        <f t="shared" si="108"/>
        <v>1</v>
      </c>
      <c r="Y876" s="5">
        <f t="shared" si="109"/>
        <v>7</v>
      </c>
      <c r="Z876" s="5">
        <f t="shared" si="110"/>
        <v>2025</v>
      </c>
      <c r="AA876" t="str">
        <f t="shared" si="111"/>
        <v>Clean</v>
      </c>
    </row>
    <row r="877" spans="1:27" x14ac:dyDescent="0.3">
      <c r="A877" t="str">
        <f>[1]raw_orders!A877</f>
        <v>ORD-2024-10876</v>
      </c>
      <c r="B877" s="4">
        <f>IFERROR(DATEVALUE([1]raw_orders!B877), "Invalid Date")</f>
        <v>45514</v>
      </c>
      <c r="C877" s="4">
        <f>IFERROR(DATEVALUE([1]raw_orders!C877), "Invalid Date")</f>
        <v>45604</v>
      </c>
      <c r="D877" t="str">
        <f>[1]raw_orders!D877</f>
        <v>CUST-6928</v>
      </c>
      <c r="E877" t="str">
        <f>PROPER(TRIM([1]raw_orders!E877))</f>
        <v>Mira Das</v>
      </c>
      <c r="F877" t="str">
        <f>PROPER(TRIM([1]raw_orders!F877))</f>
        <v>Corporate</v>
      </c>
      <c r="G877" t="str">
        <f>IF(TRIM([1]raw_orders!G877)="","Unknown",PROPER(TRIM([1]raw_orders!G877)))</f>
        <v>West</v>
      </c>
      <c r="H877" t="str">
        <f>PROPER(TRIM([1]raw_orders!H877))</f>
        <v>Maharashtra</v>
      </c>
      <c r="I877" t="str">
        <f>PROPER(TRIM([1]raw_orders!I877))</f>
        <v>Mumbai</v>
      </c>
      <c r="J877" t="str">
        <f>PROPER(TRIM([1]raw_orders!J877))</f>
        <v>Technology</v>
      </c>
      <c r="K877" t="str">
        <f>PROPER(TRIM([1]raw_orders!K877))</f>
        <v>Copiers</v>
      </c>
      <c r="L877" t="str">
        <f>[1]raw_orders!L877</f>
        <v>Elite Copiers 752</v>
      </c>
      <c r="M877" t="str">
        <f>IF(TRIM([1]raw_orders!M877)="","Unknown",PROPER(TRIM([1]raw_orders!M877)))</f>
        <v>First Class</v>
      </c>
      <c r="N877" s="5">
        <f>[1]raw_orders!N877</f>
        <v>7</v>
      </c>
      <c r="O877" s="5">
        <f>[1]raw_orders!O877</f>
        <v>3852.62</v>
      </c>
      <c r="P877" s="5">
        <f>[1]raw_orders!P877</f>
        <v>0.2</v>
      </c>
      <c r="Q877" t="str">
        <f>PROPER(TRIM([1]raw_orders!T877))</f>
        <v>Paid</v>
      </c>
      <c r="R877" t="str">
        <f>PROPER(TRIM([1]raw_orders!U877))</f>
        <v>Completed</v>
      </c>
      <c r="S877" s="5">
        <f>[1]raw_orders!S877</f>
        <v>6901.84</v>
      </c>
      <c r="T877" s="5">
        <f t="shared" si="104"/>
        <v>69.0184</v>
      </c>
      <c r="U877" s="5">
        <f t="shared" si="105"/>
        <v>-1834343.337456</v>
      </c>
      <c r="V877" s="5">
        <f t="shared" si="106"/>
        <v>-1834343.537456</v>
      </c>
      <c r="W877" s="5">
        <f t="shared" si="107"/>
        <v>1.0000001090308428</v>
      </c>
      <c r="X877" s="5">
        <f t="shared" si="108"/>
        <v>90</v>
      </c>
      <c r="Y877" s="5">
        <f t="shared" si="109"/>
        <v>8</v>
      </c>
      <c r="Z877" s="5">
        <f t="shared" si="110"/>
        <v>2024</v>
      </c>
      <c r="AA877" t="str">
        <f t="shared" si="111"/>
        <v>Clean</v>
      </c>
    </row>
    <row r="878" spans="1:27" x14ac:dyDescent="0.3">
      <c r="A878" t="str">
        <f>[1]raw_orders!A878</f>
        <v>ORD-2024-10877</v>
      </c>
      <c r="B878" s="4" t="str">
        <f>IFERROR(DATEVALUE([1]raw_orders!B878), "Invalid Date")</f>
        <v>Invalid Date</v>
      </c>
      <c r="C878" s="4">
        <f>IFERROR(DATEVALUE([1]raw_orders!C878), "Invalid Date")</f>
        <v>45616</v>
      </c>
      <c r="D878" t="str">
        <f>[1]raw_orders!D878</f>
        <v>CUST-9044</v>
      </c>
      <c r="E878" t="str">
        <f>PROPER(TRIM([1]raw_orders!E878))</f>
        <v>Priya Menon</v>
      </c>
      <c r="F878" t="str">
        <f>PROPER(TRIM([1]raw_orders!F878))</f>
        <v>Consumer</v>
      </c>
      <c r="G878" t="str">
        <f>IF(TRIM([1]raw_orders!G878)="","Unknown",PROPER(TRIM([1]raw_orders!G878)))</f>
        <v>West</v>
      </c>
      <c r="H878" t="str">
        <f>PROPER(TRIM([1]raw_orders!H878))</f>
        <v>Rajasthan</v>
      </c>
      <c r="I878" t="str">
        <f>PROPER(TRIM([1]raw_orders!I878))</f>
        <v>Udaipur</v>
      </c>
      <c r="J878" t="str">
        <f>PROPER(TRIM([1]raw_orders!J878))</f>
        <v>Furniture</v>
      </c>
      <c r="K878" t="str">
        <f>PROPER(TRIM([1]raw_orders!K878))</f>
        <v>Chairs</v>
      </c>
      <c r="L878" t="str">
        <f>[1]raw_orders!L878</f>
        <v>Pro Chairs 316</v>
      </c>
      <c r="M878" t="str">
        <f>IF(TRIM([1]raw_orders!M878)="","Unknown",PROPER(TRIM([1]raw_orders!M878)))</f>
        <v>First Class</v>
      </c>
      <c r="N878" s="5">
        <f>[1]raw_orders!N878</f>
        <v>6</v>
      </c>
      <c r="O878" s="5">
        <f>[1]raw_orders!O878</f>
        <v>3790.22</v>
      </c>
      <c r="P878" s="5">
        <f>[1]raw_orders!P878</f>
        <v>0</v>
      </c>
      <c r="Q878" t="str">
        <f>PROPER(TRIM([1]raw_orders!T878))</f>
        <v>Paid</v>
      </c>
      <c r="R878" t="str">
        <f>PROPER(TRIM([1]raw_orders!U878))</f>
        <v>Completed</v>
      </c>
      <c r="S878" s="5">
        <f>[1]raw_orders!S878</f>
        <v>6352.75</v>
      </c>
      <c r="T878" s="5">
        <f t="shared" si="104"/>
        <v>63.527500000000003</v>
      </c>
      <c r="U878" s="5">
        <f t="shared" si="105"/>
        <v>-1421957.8863000001</v>
      </c>
      <c r="V878" s="5">
        <f t="shared" si="106"/>
        <v>-1421957.8863000001</v>
      </c>
      <c r="W878" s="5">
        <f t="shared" si="107"/>
        <v>1</v>
      </c>
      <c r="X878" s="5" t="str">
        <f t="shared" si="108"/>
        <v>Invalid Date</v>
      </c>
      <c r="Y878" s="5" t="e">
        <f t="shared" si="109"/>
        <v>#VALUE!</v>
      </c>
      <c r="Z878" s="5" t="e">
        <f t="shared" si="110"/>
        <v>#VALUE!</v>
      </c>
      <c r="AA878" t="str">
        <f t="shared" si="111"/>
        <v>Clean</v>
      </c>
    </row>
    <row r="879" spans="1:27" x14ac:dyDescent="0.3">
      <c r="A879" t="str">
        <f>[1]raw_orders!A879</f>
        <v>ORD-2025-10878</v>
      </c>
      <c r="B879" s="4">
        <f>IFERROR(DATEVALUE([1]raw_orders!B879), "Invalid Date")</f>
        <v>45895</v>
      </c>
      <c r="C879" s="4">
        <f>IFERROR(DATEVALUE([1]raw_orders!C879), "Invalid Date")</f>
        <v>45903</v>
      </c>
      <c r="D879" t="str">
        <f>[1]raw_orders!D879</f>
        <v>CUST-7146</v>
      </c>
      <c r="E879" t="str">
        <f>PROPER(TRIM([1]raw_orders!E879))</f>
        <v>Aarav Sharma</v>
      </c>
      <c r="F879" t="str">
        <f>PROPER(TRIM([1]raw_orders!F879))</f>
        <v>Consumer</v>
      </c>
      <c r="G879" t="str">
        <f>IF(TRIM([1]raw_orders!G879)="","Unknown",PROPER(TRIM([1]raw_orders!G879)))</f>
        <v>West</v>
      </c>
      <c r="H879" t="str">
        <f>PROPER(TRIM([1]raw_orders!H879))</f>
        <v>Rajasthan</v>
      </c>
      <c r="I879" t="str">
        <f>PROPER(TRIM([1]raw_orders!I879))</f>
        <v>Udaipur</v>
      </c>
      <c r="J879" t="str">
        <f>PROPER(TRIM([1]raw_orders!J879))</f>
        <v>Office Supplies</v>
      </c>
      <c r="K879" t="str">
        <f>PROPER(TRIM([1]raw_orders!K879))</f>
        <v>Storage</v>
      </c>
      <c r="L879" t="str">
        <f>[1]raw_orders!L879</f>
        <v>Max Storage 438</v>
      </c>
      <c r="M879" t="str">
        <f>IF(TRIM([1]raw_orders!M879)="","Unknown",PROPER(TRIM([1]raw_orders!M879)))</f>
        <v>Second Class</v>
      </c>
      <c r="N879" s="5">
        <f>[1]raw_orders!N879</f>
        <v>6</v>
      </c>
      <c r="O879" s="5">
        <f>[1]raw_orders!O879</f>
        <v>674.36</v>
      </c>
      <c r="P879" s="5">
        <f>[1]raw_orders!P879</f>
        <v>0.1</v>
      </c>
      <c r="Q879" t="str">
        <f>PROPER(TRIM([1]raw_orders!T879))</f>
        <v>Paid</v>
      </c>
      <c r="R879" t="str">
        <f>PROPER(TRIM([1]raw_orders!U879))</f>
        <v>Completed</v>
      </c>
      <c r="S879" s="5">
        <f>[1]raw_orders!S879</f>
        <v>951.17</v>
      </c>
      <c r="T879" s="5">
        <f t="shared" si="104"/>
        <v>9.5116999999999994</v>
      </c>
      <c r="U879" s="5">
        <f t="shared" si="105"/>
        <v>-34439.700072</v>
      </c>
      <c r="V879" s="5">
        <f t="shared" si="106"/>
        <v>-34439.800071999998</v>
      </c>
      <c r="W879" s="5">
        <f t="shared" si="107"/>
        <v>1.0000029036257514</v>
      </c>
      <c r="X879" s="5">
        <f t="shared" si="108"/>
        <v>8</v>
      </c>
      <c r="Y879" s="5">
        <f t="shared" si="109"/>
        <v>8</v>
      </c>
      <c r="Z879" s="5">
        <f t="shared" si="110"/>
        <v>2025</v>
      </c>
      <c r="AA879" t="str">
        <f t="shared" si="111"/>
        <v>Clean</v>
      </c>
    </row>
    <row r="880" spans="1:27" x14ac:dyDescent="0.3">
      <c r="A880" t="str">
        <f>[1]raw_orders!A880</f>
        <v>ORD-2024-10879</v>
      </c>
      <c r="B880" s="4">
        <f>IFERROR(DATEVALUE([1]raw_orders!B880), "Invalid Date")</f>
        <v>45313</v>
      </c>
      <c r="C880" s="4">
        <f>IFERROR(DATEVALUE([1]raw_orders!C880), "Invalid Date")</f>
        <v>45313</v>
      </c>
      <c r="D880" t="str">
        <f>[1]raw_orders!D880</f>
        <v>CUST-8534</v>
      </c>
      <c r="E880" t="str">
        <f>PROPER(TRIM([1]raw_orders!E880))</f>
        <v>Karan Malhotra</v>
      </c>
      <c r="F880" t="str">
        <f>PROPER(TRIM([1]raw_orders!F880))</f>
        <v>Corporate</v>
      </c>
      <c r="G880" t="str">
        <f>IF(TRIM([1]raw_orders!G880)="","Unknown",PROPER(TRIM([1]raw_orders!G880)))</f>
        <v>East</v>
      </c>
      <c r="H880" t="str">
        <f>PROPER(TRIM([1]raw_orders!H880))</f>
        <v>West Bengal</v>
      </c>
      <c r="I880" t="str">
        <f>PROPER(TRIM([1]raw_orders!I880))</f>
        <v>Kolkata</v>
      </c>
      <c r="J880" t="str">
        <f>PROPER(TRIM([1]raw_orders!J880))</f>
        <v>Office Supplies</v>
      </c>
      <c r="K880" t="str">
        <f>PROPER(TRIM([1]raw_orders!K880))</f>
        <v>Paper</v>
      </c>
      <c r="L880" t="str">
        <f>[1]raw_orders!L880</f>
        <v>Basic Paper 904</v>
      </c>
      <c r="M880" t="str">
        <f>IF(TRIM([1]raw_orders!M880)="","Unknown",PROPER(TRIM([1]raw_orders!M880)))</f>
        <v>First Class</v>
      </c>
      <c r="N880" s="5">
        <f>[1]raw_orders!N880</f>
        <v>8</v>
      </c>
      <c r="O880" s="5">
        <f>[1]raw_orders!O880</f>
        <v>1557.21</v>
      </c>
      <c r="P880" s="5">
        <f>[1]raw_orders!P880</f>
        <v>0.05</v>
      </c>
      <c r="Q880" t="str">
        <f>PROPER(TRIM([1]raw_orders!T880))</f>
        <v>Paid</v>
      </c>
      <c r="R880" t="str">
        <f>PROPER(TRIM([1]raw_orders!U880))</f>
        <v>Completed</v>
      </c>
      <c r="S880" s="5">
        <f>[1]raw_orders!S880</f>
        <v>2512.44</v>
      </c>
      <c r="T880" s="5">
        <f t="shared" si="104"/>
        <v>25.124400000000001</v>
      </c>
      <c r="U880" s="5">
        <f t="shared" si="105"/>
        <v>-300534.05539200001</v>
      </c>
      <c r="V880" s="5">
        <f t="shared" si="106"/>
        <v>-300534.105392</v>
      </c>
      <c r="W880" s="5">
        <f t="shared" si="107"/>
        <v>1.0000001663704965</v>
      </c>
      <c r="X880" s="5">
        <f t="shared" si="108"/>
        <v>0</v>
      </c>
      <c r="Y880" s="5">
        <f t="shared" si="109"/>
        <v>1</v>
      </c>
      <c r="Z880" s="5">
        <f t="shared" si="110"/>
        <v>2024</v>
      </c>
      <c r="AA880" t="str">
        <f t="shared" si="111"/>
        <v>Clean</v>
      </c>
    </row>
    <row r="881" spans="1:27" x14ac:dyDescent="0.3">
      <c r="A881" t="str">
        <f>[1]raw_orders!A881</f>
        <v>ORD-2025-10880</v>
      </c>
      <c r="B881" s="4">
        <f>IFERROR(DATEVALUE([1]raw_orders!B881), "Invalid Date")</f>
        <v>45896</v>
      </c>
      <c r="C881" s="4" t="str">
        <f>IFERROR(DATEVALUE([1]raw_orders!C881), "Invalid Date")</f>
        <v>Invalid Date</v>
      </c>
      <c r="D881" t="str">
        <f>[1]raw_orders!D881</f>
        <v>CUST-4486</v>
      </c>
      <c r="E881" t="str">
        <f>PROPER(TRIM([1]raw_orders!E881))</f>
        <v>Ananya Rao</v>
      </c>
      <c r="F881" t="str">
        <f>PROPER(TRIM([1]raw_orders!F881))</f>
        <v>Home Office</v>
      </c>
      <c r="G881" t="str">
        <f>IF(TRIM([1]raw_orders!G881)="","Unknown",PROPER(TRIM([1]raw_orders!G881)))</f>
        <v>North</v>
      </c>
      <c r="H881" t="str">
        <f>PROPER(TRIM([1]raw_orders!H881))</f>
        <v>Uttar Pradesh</v>
      </c>
      <c r="I881" t="str">
        <f>PROPER(TRIM([1]raw_orders!I881))</f>
        <v>Noida</v>
      </c>
      <c r="J881" t="str">
        <f>PROPER(TRIM([1]raw_orders!J881))</f>
        <v>Office Supplies</v>
      </c>
      <c r="K881" t="str">
        <f>PROPER(TRIM([1]raw_orders!K881))</f>
        <v>Art</v>
      </c>
      <c r="L881" t="str">
        <f>[1]raw_orders!L881</f>
        <v>Smart Art 990</v>
      </c>
      <c r="M881" t="str">
        <f>IF(TRIM([1]raw_orders!M881)="","Unknown",PROPER(TRIM([1]raw_orders!M881)))</f>
        <v>Standard Class</v>
      </c>
      <c r="N881" s="5">
        <f>[1]raw_orders!N881</f>
        <v>6</v>
      </c>
      <c r="O881" s="5">
        <f>[1]raw_orders!O881</f>
        <v>1182.03</v>
      </c>
      <c r="P881" s="5">
        <f>[1]raw_orders!P881</f>
        <v>0.15</v>
      </c>
      <c r="Q881" t="str">
        <f>PROPER(TRIM([1]raw_orders!T881))</f>
        <v>Paid</v>
      </c>
      <c r="R881" t="str">
        <f>PROPER(TRIM([1]raw_orders!U881))</f>
        <v>Completed</v>
      </c>
      <c r="S881" s="5">
        <f>[1]raw_orders!S881</f>
        <v>1594.72</v>
      </c>
      <c r="T881" s="5">
        <f t="shared" si="104"/>
        <v>15.9472</v>
      </c>
      <c r="U881" s="5">
        <f t="shared" si="105"/>
        <v>-106008.232896</v>
      </c>
      <c r="V881" s="5">
        <f t="shared" si="106"/>
        <v>-106008.382896</v>
      </c>
      <c r="W881" s="5">
        <f t="shared" si="107"/>
        <v>1.0000014149844394</v>
      </c>
      <c r="X881" s="5" t="str">
        <f t="shared" si="108"/>
        <v>Invalid Date</v>
      </c>
      <c r="Y881" s="5">
        <f t="shared" si="109"/>
        <v>8</v>
      </c>
      <c r="Z881" s="5">
        <f t="shared" si="110"/>
        <v>2025</v>
      </c>
      <c r="AA881" t="str">
        <f t="shared" si="111"/>
        <v>Clean</v>
      </c>
    </row>
    <row r="882" spans="1:27" x14ac:dyDescent="0.3">
      <c r="A882" t="str">
        <f>[1]raw_orders!A882</f>
        <v>ORD-2024-10881</v>
      </c>
      <c r="B882" s="4">
        <f>IFERROR(DATEVALUE([1]raw_orders!B882), "Invalid Date")</f>
        <v>45359</v>
      </c>
      <c r="C882" s="4" t="str">
        <f>IFERROR(DATEVALUE([1]raw_orders!C882), "Invalid Date")</f>
        <v>Invalid Date</v>
      </c>
      <c r="D882" t="str">
        <f>[1]raw_orders!D882</f>
        <v>CUST-5287</v>
      </c>
      <c r="E882" t="str">
        <f>PROPER(TRIM([1]raw_orders!E882))</f>
        <v>Aarav Sharma</v>
      </c>
      <c r="F882" t="str">
        <f>PROPER(TRIM([1]raw_orders!F882))</f>
        <v>Small Business</v>
      </c>
      <c r="G882" t="str">
        <f>IF(TRIM([1]raw_orders!G882)="","Unknown",PROPER(TRIM([1]raw_orders!G882)))</f>
        <v>Unknown</v>
      </c>
      <c r="H882" t="str">
        <f>PROPER(TRIM([1]raw_orders!H882))</f>
        <v>Punjab</v>
      </c>
      <c r="I882" t="str">
        <f>PROPER(TRIM([1]raw_orders!I882))</f>
        <v>Ludhiana</v>
      </c>
      <c r="J882" t="str">
        <f>PROPER(TRIM([1]raw_orders!J882))</f>
        <v>Furniture</v>
      </c>
      <c r="K882" t="str">
        <f>PROPER(TRIM([1]raw_orders!K882))</f>
        <v>Chairs</v>
      </c>
      <c r="L882" t="str">
        <f>[1]raw_orders!L882</f>
        <v>Basic Chairs 327</v>
      </c>
      <c r="M882" t="str">
        <f>IF(TRIM([1]raw_orders!M882)="","Unknown",PROPER(TRIM([1]raw_orders!M882)))</f>
        <v>First Class</v>
      </c>
      <c r="N882" s="5">
        <f>[1]raw_orders!N882</f>
        <v>5</v>
      </c>
      <c r="O882" s="5">
        <f>[1]raw_orders!O882</f>
        <v>3234.77</v>
      </c>
      <c r="P882" s="5">
        <f>[1]raw_orders!P882</f>
        <v>0</v>
      </c>
      <c r="Q882" t="str">
        <f>PROPER(TRIM([1]raw_orders!T882))</f>
        <v>Paid</v>
      </c>
      <c r="R882" t="str">
        <f>PROPER(TRIM([1]raw_orders!U882))</f>
        <v>Completed</v>
      </c>
      <c r="S882" s="5">
        <f>[1]raw_orders!S882</f>
        <v>2537.5100000000002</v>
      </c>
      <c r="T882" s="5">
        <f t="shared" si="104"/>
        <v>25.375100000000003</v>
      </c>
      <c r="U882" s="5">
        <f t="shared" si="105"/>
        <v>-394239.21113500005</v>
      </c>
      <c r="V882" s="5">
        <f t="shared" si="106"/>
        <v>-394239.21113500005</v>
      </c>
      <c r="W882" s="5">
        <f t="shared" si="107"/>
        <v>1</v>
      </c>
      <c r="X882" s="5" t="str">
        <f t="shared" si="108"/>
        <v>Invalid Date</v>
      </c>
      <c r="Y882" s="5">
        <f t="shared" si="109"/>
        <v>3</v>
      </c>
      <c r="Z882" s="5">
        <f t="shared" si="110"/>
        <v>2024</v>
      </c>
      <c r="AA882" t="str">
        <f t="shared" si="111"/>
        <v>Warning</v>
      </c>
    </row>
    <row r="883" spans="1:27" x14ac:dyDescent="0.3">
      <c r="A883" t="str">
        <f>[1]raw_orders!A883</f>
        <v>ORD-2024-10882</v>
      </c>
      <c r="B883" s="4">
        <f>IFERROR(DATEVALUE([1]raw_orders!B883), "Invalid Date")</f>
        <v>45627</v>
      </c>
      <c r="C883" s="4">
        <f>IFERROR(DATEVALUE([1]raw_orders!C883), "Invalid Date")</f>
        <v>45631</v>
      </c>
      <c r="D883" t="str">
        <f>[1]raw_orders!D883</f>
        <v>CUST-3445</v>
      </c>
      <c r="E883" t="str">
        <f>PROPER(TRIM([1]raw_orders!E883))</f>
        <v>Ananya Rao</v>
      </c>
      <c r="F883" t="str">
        <f>PROPER(TRIM([1]raw_orders!F883))</f>
        <v>Small Business</v>
      </c>
      <c r="G883" t="str">
        <f>IF(TRIM([1]raw_orders!G883)="","Unknown",PROPER(TRIM([1]raw_orders!G883)))</f>
        <v>South</v>
      </c>
      <c r="H883" t="str">
        <f>PROPER(TRIM([1]raw_orders!H883))</f>
        <v>Andhra Pradesh</v>
      </c>
      <c r="I883" t="str">
        <f>PROPER(TRIM([1]raw_orders!I883))</f>
        <v>Vijayawada</v>
      </c>
      <c r="J883" t="str">
        <f>PROPER(TRIM([1]raw_orders!J883))</f>
        <v>Technology</v>
      </c>
      <c r="K883" t="str">
        <f>PROPER(TRIM([1]raw_orders!K883))</f>
        <v>Copiers</v>
      </c>
      <c r="L883" t="str">
        <f>[1]raw_orders!L883</f>
        <v>Eco Copiers 987</v>
      </c>
      <c r="M883" t="str">
        <f>IF(TRIM([1]raw_orders!M883)="","Unknown",PROPER(TRIM([1]raw_orders!M883)))</f>
        <v>Second Class</v>
      </c>
      <c r="N883" s="5">
        <f>[1]raw_orders!N883</f>
        <v>9</v>
      </c>
      <c r="O883" s="5">
        <f>[1]raw_orders!O883</f>
        <v>3726.75</v>
      </c>
      <c r="P883" s="5">
        <f>[1]raw_orders!P883</f>
        <v>0.25</v>
      </c>
      <c r="Q883" t="str">
        <f>PROPER(TRIM([1]raw_orders!T883))</f>
        <v>Paid</v>
      </c>
      <c r="R883" t="str">
        <f>PROPER(TRIM([1]raw_orders!U883))</f>
        <v>Completed</v>
      </c>
      <c r="S883" s="5">
        <f>[1]raw_orders!S883</f>
        <v>7562.87</v>
      </c>
      <c r="T883" s="5">
        <f t="shared" si="104"/>
        <v>75.628699999999995</v>
      </c>
      <c r="U883" s="5">
        <f t="shared" si="105"/>
        <v>-2503102.5695249997</v>
      </c>
      <c r="V883" s="5">
        <f t="shared" si="106"/>
        <v>-2503102.8195249997</v>
      </c>
      <c r="W883" s="5">
        <f t="shared" si="107"/>
        <v>1.000000099876051</v>
      </c>
      <c r="X883" s="5">
        <f t="shared" si="108"/>
        <v>4</v>
      </c>
      <c r="Y883" s="5">
        <f t="shared" si="109"/>
        <v>12</v>
      </c>
      <c r="Z883" s="5">
        <f t="shared" si="110"/>
        <v>2024</v>
      </c>
      <c r="AA883" t="str">
        <f t="shared" si="111"/>
        <v>Clean</v>
      </c>
    </row>
    <row r="884" spans="1:27" x14ac:dyDescent="0.3">
      <c r="A884" t="str">
        <f>[1]raw_orders!A884</f>
        <v>ORD-2025-10883</v>
      </c>
      <c r="B884" s="4">
        <f>IFERROR(DATEVALUE([1]raw_orders!B884), "Invalid Date")</f>
        <v>45690</v>
      </c>
      <c r="C884" s="4">
        <f>IFERROR(DATEVALUE([1]raw_orders!C884), "Invalid Date")</f>
        <v>45932</v>
      </c>
      <c r="D884" t="str">
        <f>[1]raw_orders!D884</f>
        <v>CUST-4983</v>
      </c>
      <c r="E884" t="str">
        <f>PROPER(TRIM([1]raw_orders!E884))</f>
        <v>Sneha Kapoor</v>
      </c>
      <c r="F884" t="str">
        <f>PROPER(TRIM([1]raw_orders!F884))</f>
        <v>Corporate</v>
      </c>
      <c r="G884" t="str">
        <f>IF(TRIM([1]raw_orders!G884)="","Unknown",PROPER(TRIM([1]raw_orders!G884)))</f>
        <v>East</v>
      </c>
      <c r="H884" t="str">
        <f>PROPER(TRIM([1]raw_orders!H884))</f>
        <v>Bihar</v>
      </c>
      <c r="I884" t="str">
        <f>PROPER(TRIM([1]raw_orders!I884))</f>
        <v>Patna</v>
      </c>
      <c r="J884" t="str">
        <f>PROPER(TRIM([1]raw_orders!J884))</f>
        <v>Technology</v>
      </c>
      <c r="K884" t="str">
        <f>PROPER(TRIM([1]raw_orders!K884))</f>
        <v>Accessories</v>
      </c>
      <c r="L884" t="str">
        <f>[1]raw_orders!L884</f>
        <v>Basic Accessories 607</v>
      </c>
      <c r="M884" t="str">
        <f>IF(TRIM([1]raw_orders!M884)="","Unknown",PROPER(TRIM([1]raw_orders!M884)))</f>
        <v>Standard Class</v>
      </c>
      <c r="N884" s="5">
        <f>[1]raw_orders!N884</f>
        <v>4</v>
      </c>
      <c r="O884" s="5">
        <f>[1]raw_orders!O884</f>
        <v>1912.45</v>
      </c>
      <c r="P884" s="5">
        <f>[1]raw_orders!P884</f>
        <v>0</v>
      </c>
      <c r="Q884" t="str">
        <f>PROPER(TRIM([1]raw_orders!T884))</f>
        <v>Pending</v>
      </c>
      <c r="R884" t="str">
        <f>PROPER(TRIM([1]raw_orders!U884))</f>
        <v>Returned</v>
      </c>
      <c r="S884" s="5">
        <f>[1]raw_orders!S884</f>
        <v>2755.27</v>
      </c>
      <c r="T884" s="5">
        <f t="shared" si="104"/>
        <v>27.552700000000002</v>
      </c>
      <c r="U884" s="5">
        <f t="shared" si="105"/>
        <v>-203122.84446000002</v>
      </c>
      <c r="V884" s="5">
        <f t="shared" si="106"/>
        <v>-203122.84446000002</v>
      </c>
      <c r="W884" s="5">
        <f t="shared" si="107"/>
        <v>1</v>
      </c>
      <c r="X884" s="5">
        <f t="shared" si="108"/>
        <v>242</v>
      </c>
      <c r="Y884" s="5">
        <f t="shared" si="109"/>
        <v>2</v>
      </c>
      <c r="Z884" s="5">
        <f t="shared" si="110"/>
        <v>2025</v>
      </c>
      <c r="AA884" t="str">
        <f t="shared" si="111"/>
        <v>Clean</v>
      </c>
    </row>
    <row r="885" spans="1:27" x14ac:dyDescent="0.3">
      <c r="A885" t="str">
        <f>[1]raw_orders!A885</f>
        <v>ORD-2025-10884</v>
      </c>
      <c r="B885" s="4">
        <f>IFERROR(DATEVALUE([1]raw_orders!B885), "Invalid Date")</f>
        <v>45775</v>
      </c>
      <c r="C885" s="4">
        <f>IFERROR(DATEVALUE([1]raw_orders!C885), "Invalid Date")</f>
        <v>45662</v>
      </c>
      <c r="D885" t="str">
        <f>[1]raw_orders!D885</f>
        <v>CUST-2597</v>
      </c>
      <c r="E885" t="str">
        <f>PROPER(TRIM([1]raw_orders!E885))</f>
        <v>Aarav Sharma</v>
      </c>
      <c r="F885" t="str">
        <f>PROPER(TRIM([1]raw_orders!F885))</f>
        <v>Small Business</v>
      </c>
      <c r="G885" t="str">
        <f>IF(TRIM([1]raw_orders!G885)="","Unknown",PROPER(TRIM([1]raw_orders!G885)))</f>
        <v>West</v>
      </c>
      <c r="H885" t="str">
        <f>PROPER(TRIM([1]raw_orders!H885))</f>
        <v>Goa</v>
      </c>
      <c r="I885" t="str">
        <f>PROPER(TRIM([1]raw_orders!I885))</f>
        <v>Panaji</v>
      </c>
      <c r="J885" t="str">
        <f>PROPER(TRIM([1]raw_orders!J885))</f>
        <v>Office Supplies</v>
      </c>
      <c r="K885" t="str">
        <f>PROPER(TRIM([1]raw_orders!K885))</f>
        <v>Storage</v>
      </c>
      <c r="L885" t="str">
        <f>[1]raw_orders!L885</f>
        <v>Classic Storage 211</v>
      </c>
      <c r="M885" t="str">
        <f>IF(TRIM([1]raw_orders!M885)="","Unknown",PROPER(TRIM([1]raw_orders!M885)))</f>
        <v>Same Day</v>
      </c>
      <c r="N885" s="5">
        <f>[1]raw_orders!N885</f>
        <v>1</v>
      </c>
      <c r="O885" s="5">
        <f>[1]raw_orders!O885</f>
        <v>1620.87</v>
      </c>
      <c r="P885" s="5">
        <f>[1]raw_orders!P885</f>
        <v>0</v>
      </c>
      <c r="Q885" t="str">
        <f>PROPER(TRIM([1]raw_orders!T885))</f>
        <v>Paid</v>
      </c>
      <c r="R885" t="str">
        <f>PROPER(TRIM([1]raw_orders!U885))</f>
        <v>Completed</v>
      </c>
      <c r="S885" s="5">
        <f>[1]raw_orders!S885</f>
        <v>517.26</v>
      </c>
      <c r="T885" s="5">
        <f t="shared" si="104"/>
        <v>5.1726000000000001</v>
      </c>
      <c r="U885" s="5">
        <f t="shared" si="105"/>
        <v>-6763.2421619999996</v>
      </c>
      <c r="V885" s="5">
        <f t="shared" si="106"/>
        <v>-6763.2421619999996</v>
      </c>
      <c r="W885" s="5">
        <f t="shared" si="107"/>
        <v>1</v>
      </c>
      <c r="X885" s="5">
        <f t="shared" si="108"/>
        <v>-113</v>
      </c>
      <c r="Y885" s="5">
        <f t="shared" si="109"/>
        <v>4</v>
      </c>
      <c r="Z885" s="5">
        <f t="shared" si="110"/>
        <v>2025</v>
      </c>
      <c r="AA885" t="str">
        <f t="shared" si="111"/>
        <v>Invalid</v>
      </c>
    </row>
    <row r="886" spans="1:27" x14ac:dyDescent="0.3">
      <c r="A886" t="str">
        <f>[1]raw_orders!A886</f>
        <v>ORD-2025-10885</v>
      </c>
      <c r="B886" s="4">
        <f>IFERROR(DATEVALUE([1]raw_orders!B886), "Invalid Date")</f>
        <v>45675</v>
      </c>
      <c r="C886" s="4">
        <f>IFERROR(DATEVALUE([1]raw_orders!C886), "Invalid Date")</f>
        <v>45682</v>
      </c>
      <c r="D886" t="str">
        <f>[1]raw_orders!D886</f>
        <v>CUST-7505</v>
      </c>
      <c r="E886" t="str">
        <f>PROPER(TRIM([1]raw_orders!E886))</f>
        <v>Neha Gupta</v>
      </c>
      <c r="F886" t="str">
        <f>PROPER(TRIM([1]raw_orders!F886))</f>
        <v>Home Office</v>
      </c>
      <c r="G886" t="str">
        <f>IF(TRIM([1]raw_orders!G886)="","Unknown",PROPER(TRIM([1]raw_orders!G886)))</f>
        <v>South</v>
      </c>
      <c r="H886" t="str">
        <f>PROPER(TRIM([1]raw_orders!H886))</f>
        <v>Karnataka</v>
      </c>
      <c r="I886" t="str">
        <f>PROPER(TRIM([1]raw_orders!I886))</f>
        <v>Bengaluru</v>
      </c>
      <c r="J886" t="str">
        <f>PROPER(TRIM([1]raw_orders!J886))</f>
        <v>Office Supplies</v>
      </c>
      <c r="K886" t="str">
        <f>PROPER(TRIM([1]raw_orders!K886))</f>
        <v>Storage</v>
      </c>
      <c r="L886" t="str">
        <f>[1]raw_orders!L886</f>
        <v>Eco Storage 783</v>
      </c>
      <c r="M886" t="str">
        <f>IF(TRIM([1]raw_orders!M886)="","Unknown",PROPER(TRIM([1]raw_orders!M886)))</f>
        <v>Same Day</v>
      </c>
      <c r="N886" s="5">
        <f>[1]raw_orders!N886</f>
        <v>2</v>
      </c>
      <c r="O886" s="5">
        <f>[1]raw_orders!O886</f>
        <v>2098.54</v>
      </c>
      <c r="P886" s="5">
        <f>[1]raw_orders!P886</f>
        <v>0.15</v>
      </c>
      <c r="Q886" t="str">
        <f>PROPER(TRIM([1]raw_orders!T886))</f>
        <v>Paid</v>
      </c>
      <c r="R886" t="str">
        <f>PROPER(TRIM([1]raw_orders!U886))</f>
        <v>Completed</v>
      </c>
      <c r="S886" s="5">
        <f>[1]raw_orders!S886</f>
        <v>1155.72</v>
      </c>
      <c r="T886" s="5">
        <f t="shared" si="104"/>
        <v>11.5572</v>
      </c>
      <c r="U886" s="5">
        <f t="shared" si="105"/>
        <v>-44309.412976</v>
      </c>
      <c r="V886" s="5">
        <f t="shared" si="106"/>
        <v>-44309.562976000001</v>
      </c>
      <c r="W886" s="5">
        <f t="shared" si="107"/>
        <v>1.0000033852852008</v>
      </c>
      <c r="X886" s="5">
        <f t="shared" si="108"/>
        <v>7</v>
      </c>
      <c r="Y886" s="5">
        <f t="shared" si="109"/>
        <v>1</v>
      </c>
      <c r="Z886" s="5">
        <f t="shared" si="110"/>
        <v>2025</v>
      </c>
      <c r="AA886" t="str">
        <f t="shared" si="111"/>
        <v>Clean</v>
      </c>
    </row>
    <row r="887" spans="1:27" x14ac:dyDescent="0.3">
      <c r="A887" t="str">
        <f>[1]raw_orders!A887</f>
        <v>ORD-2024-10886</v>
      </c>
      <c r="B887" s="4">
        <f>IFERROR(DATEVALUE([1]raw_orders!B887), "Invalid Date")</f>
        <v>45296</v>
      </c>
      <c r="C887" s="4">
        <f>IFERROR(DATEVALUE([1]raw_orders!C887), "Invalid Date")</f>
        <v>45296</v>
      </c>
      <c r="D887" t="str">
        <f>[1]raw_orders!D887</f>
        <v>CUST-3446</v>
      </c>
      <c r="E887" t="str">
        <f>PROPER(TRIM([1]raw_orders!E887))</f>
        <v>Diya Patel</v>
      </c>
      <c r="F887" t="str">
        <f>PROPER(TRIM([1]raw_orders!F887))</f>
        <v>Consumer</v>
      </c>
      <c r="G887" t="str">
        <f>IF(TRIM([1]raw_orders!G887)="","Unknown",PROPER(TRIM([1]raw_orders!G887)))</f>
        <v>North</v>
      </c>
      <c r="H887" t="str">
        <f>PROPER(TRIM([1]raw_orders!H887))</f>
        <v>Rajasthan</v>
      </c>
      <c r="I887" t="str">
        <f>PROPER(TRIM([1]raw_orders!I887))</f>
        <v>Jaipur</v>
      </c>
      <c r="J887" t="str">
        <f>PROPER(TRIM([1]raw_orders!J887))</f>
        <v>Furniture</v>
      </c>
      <c r="K887" t="str">
        <f>PROPER(TRIM([1]raw_orders!K887))</f>
        <v>Tables</v>
      </c>
      <c r="L887" t="str">
        <f>[1]raw_orders!L887</f>
        <v>Pro Tables 866</v>
      </c>
      <c r="M887" t="str">
        <f>IF(TRIM([1]raw_orders!M887)="","Unknown",PROPER(TRIM([1]raw_orders!M887)))</f>
        <v>Standard Class</v>
      </c>
      <c r="N887" s="5">
        <f>[1]raw_orders!N887</f>
        <v>1</v>
      </c>
      <c r="O887" s="5">
        <f>[1]raw_orders!O887</f>
        <v>2167.08</v>
      </c>
      <c r="P887" s="5">
        <f>[1]raw_orders!P887</f>
        <v>0.25</v>
      </c>
      <c r="Q887" t="str">
        <f>PROPER(TRIM([1]raw_orders!T887))</f>
        <v>Paid</v>
      </c>
      <c r="R887" t="str">
        <f>PROPER(TRIM([1]raw_orders!U887))</f>
        <v>Completed</v>
      </c>
      <c r="S887" s="5">
        <f>[1]raw_orders!S887</f>
        <v>467.42</v>
      </c>
      <c r="T887" s="5">
        <f t="shared" si="104"/>
        <v>4.6741999999999999</v>
      </c>
      <c r="U887" s="5">
        <f t="shared" si="105"/>
        <v>-7962.2853359999999</v>
      </c>
      <c r="V887" s="5">
        <f t="shared" si="106"/>
        <v>-7962.5353359999999</v>
      </c>
      <c r="W887" s="5">
        <f t="shared" si="107"/>
        <v>1.0000313980207252</v>
      </c>
      <c r="X887" s="5">
        <f t="shared" si="108"/>
        <v>0</v>
      </c>
      <c r="Y887" s="5">
        <f t="shared" si="109"/>
        <v>1</v>
      </c>
      <c r="Z887" s="5">
        <f t="shared" si="110"/>
        <v>2024</v>
      </c>
      <c r="AA887" t="str">
        <f t="shared" si="111"/>
        <v>Clean</v>
      </c>
    </row>
    <row r="888" spans="1:27" x14ac:dyDescent="0.3">
      <c r="A888" t="str">
        <f>[1]raw_orders!A888</f>
        <v>ORD-2025-10887</v>
      </c>
      <c r="B888" s="4">
        <f>IFERROR(DATEVALUE([1]raw_orders!B888), "Invalid Date")</f>
        <v>45773</v>
      </c>
      <c r="C888" s="4">
        <f>IFERROR(DATEVALUE([1]raw_orders!C888), "Invalid Date")</f>
        <v>45780</v>
      </c>
      <c r="D888" t="str">
        <f>[1]raw_orders!D888</f>
        <v>CUST-3549</v>
      </c>
      <c r="E888" t="str">
        <f>PROPER(TRIM([1]raw_orders!E888))</f>
        <v>Arjun Bose</v>
      </c>
      <c r="F888" t="str">
        <f>PROPER(TRIM([1]raw_orders!F888))</f>
        <v>Home Office</v>
      </c>
      <c r="G888" t="str">
        <f>IF(TRIM([1]raw_orders!G888)="","Unknown",PROPER(TRIM([1]raw_orders!G888)))</f>
        <v>South</v>
      </c>
      <c r="H888" t="str">
        <f>PROPER(TRIM([1]raw_orders!H888))</f>
        <v>Tamil Nadu</v>
      </c>
      <c r="I888" t="str">
        <f>PROPER(TRIM([1]raw_orders!I888))</f>
        <v>Chennai</v>
      </c>
      <c r="J888" t="str">
        <f>PROPER(TRIM([1]raw_orders!J888))</f>
        <v>Technology</v>
      </c>
      <c r="K888" t="str">
        <f>PROPER(TRIM([1]raw_orders!K888))</f>
        <v>Accessories</v>
      </c>
      <c r="L888" t="str">
        <f>[1]raw_orders!L888</f>
        <v>Max Accessories 541</v>
      </c>
      <c r="M888" t="str">
        <f>IF(TRIM([1]raw_orders!M888)="","Unknown",PROPER(TRIM([1]raw_orders!M888)))</f>
        <v>First Class</v>
      </c>
      <c r="N888" s="5">
        <f>[1]raw_orders!N888</f>
        <v>7</v>
      </c>
      <c r="O888" s="5">
        <f>[1]raw_orders!O888</f>
        <v>3989.9</v>
      </c>
      <c r="P888" s="5">
        <f>[1]raw_orders!P888</f>
        <v>0.15</v>
      </c>
      <c r="Q888" t="str">
        <f>PROPER(TRIM([1]raw_orders!T888))</f>
        <v>Paid</v>
      </c>
      <c r="R888" t="str">
        <f>PROPER(TRIM([1]raw_orders!U888))</f>
        <v>Cancelled</v>
      </c>
      <c r="S888" s="5">
        <f>[1]raw_orders!S888</f>
        <v>6023.38</v>
      </c>
      <c r="T888" s="5">
        <f t="shared" si="104"/>
        <v>60.233800000000002</v>
      </c>
      <c r="U888" s="5">
        <f t="shared" si="105"/>
        <v>-1654358.5703400001</v>
      </c>
      <c r="V888" s="5">
        <f t="shared" si="106"/>
        <v>-1654358.72034</v>
      </c>
      <c r="W888" s="5">
        <f t="shared" si="107"/>
        <v>1.0000000906695818</v>
      </c>
      <c r="X888" s="5">
        <f t="shared" si="108"/>
        <v>7</v>
      </c>
      <c r="Y888" s="5">
        <f t="shared" si="109"/>
        <v>4</v>
      </c>
      <c r="Z888" s="5">
        <f t="shared" si="110"/>
        <v>2025</v>
      </c>
      <c r="AA888" t="str">
        <f t="shared" si="111"/>
        <v>Clean</v>
      </c>
    </row>
    <row r="889" spans="1:27" x14ac:dyDescent="0.3">
      <c r="A889" t="str">
        <f>[1]raw_orders!A889</f>
        <v>ORD-2024-10888</v>
      </c>
      <c r="B889" s="4">
        <f>IFERROR(DATEVALUE([1]raw_orders!B889), "Invalid Date")</f>
        <v>45455</v>
      </c>
      <c r="C889" s="4">
        <f>IFERROR(DATEVALUE([1]raw_orders!C889), "Invalid Date")</f>
        <v>45461</v>
      </c>
      <c r="D889" t="str">
        <f>[1]raw_orders!D889</f>
        <v>CUST-2795</v>
      </c>
      <c r="E889" t="str">
        <f>PROPER(TRIM([1]raw_orders!E889))</f>
        <v>Aarav Sharma</v>
      </c>
      <c r="F889" t="str">
        <f>PROPER(TRIM([1]raw_orders!F889))</f>
        <v>Small Business</v>
      </c>
      <c r="G889" t="str">
        <f>IF(TRIM([1]raw_orders!G889)="","Unknown",PROPER(TRIM([1]raw_orders!G889)))</f>
        <v>South</v>
      </c>
      <c r="H889" t="str">
        <f>PROPER(TRIM([1]raw_orders!H889))</f>
        <v>Andhra Pradesh</v>
      </c>
      <c r="I889" t="str">
        <f>PROPER(TRIM([1]raw_orders!I889))</f>
        <v>Vijayawada</v>
      </c>
      <c r="J889" t="str">
        <f>PROPER(TRIM([1]raw_orders!J889))</f>
        <v>Office Supplies</v>
      </c>
      <c r="K889" t="str">
        <f>PROPER(TRIM([1]raw_orders!K889))</f>
        <v>Art</v>
      </c>
      <c r="L889" t="str">
        <f>[1]raw_orders!L889</f>
        <v>Prime Art 596</v>
      </c>
      <c r="M889" t="str">
        <f>IF(TRIM([1]raw_orders!M889)="","Unknown",PROPER(TRIM([1]raw_orders!M889)))</f>
        <v>Standard Class</v>
      </c>
      <c r="N889" s="5">
        <f>[1]raw_orders!N889</f>
        <v>4</v>
      </c>
      <c r="O889" s="5">
        <f>[1]raw_orders!O889</f>
        <v>4176.13</v>
      </c>
      <c r="P889" s="5">
        <f>[1]raw_orders!P889</f>
        <v>0</v>
      </c>
      <c r="Q889" t="str">
        <f>PROPER(TRIM([1]raw_orders!T889))</f>
        <v>Paid</v>
      </c>
      <c r="R889" t="str">
        <f>PROPER(TRIM([1]raw_orders!U889))</f>
        <v>Completed</v>
      </c>
      <c r="S889" s="5">
        <f>[1]raw_orders!S889</f>
        <v>6546.24</v>
      </c>
      <c r="T889" s="5">
        <f t="shared" si="104"/>
        <v>65.462400000000002</v>
      </c>
      <c r="U889" s="5">
        <f t="shared" si="105"/>
        <v>-1076813.4500480001</v>
      </c>
      <c r="V889" s="5">
        <f t="shared" si="106"/>
        <v>-1076813.4500480001</v>
      </c>
      <c r="W889" s="5">
        <f t="shared" si="107"/>
        <v>1</v>
      </c>
      <c r="X889" s="5">
        <f t="shared" si="108"/>
        <v>6</v>
      </c>
      <c r="Y889" s="5">
        <f t="shared" si="109"/>
        <v>6</v>
      </c>
      <c r="Z889" s="5">
        <f t="shared" si="110"/>
        <v>2024</v>
      </c>
      <c r="AA889" t="str">
        <f t="shared" si="111"/>
        <v>Clean</v>
      </c>
    </row>
    <row r="890" spans="1:27" x14ac:dyDescent="0.3">
      <c r="A890" t="str">
        <f>[1]raw_orders!A890</f>
        <v>ORD-2025-10889</v>
      </c>
      <c r="B890" s="4">
        <f>IFERROR(DATEVALUE([1]raw_orders!B890), "Invalid Date")</f>
        <v>45875</v>
      </c>
      <c r="C890" s="4">
        <f>IFERROR(DATEVALUE([1]raw_orders!C890), "Invalid Date")</f>
        <v>45876</v>
      </c>
      <c r="D890" t="str">
        <f>[1]raw_orders!D890</f>
        <v>CUST-1081</v>
      </c>
      <c r="E890" t="str">
        <f>PROPER(TRIM([1]raw_orders!E890))</f>
        <v>Rahul Verma</v>
      </c>
      <c r="F890" t="str">
        <f>PROPER(TRIM([1]raw_orders!F890))</f>
        <v>Small Business</v>
      </c>
      <c r="G890" t="str">
        <f>IF(TRIM([1]raw_orders!G890)="","Unknown",PROPER(TRIM([1]raw_orders!G890)))</f>
        <v>West</v>
      </c>
      <c r="H890" t="str">
        <f>PROPER(TRIM([1]raw_orders!H890))</f>
        <v>Maharashtra</v>
      </c>
      <c r="I890" t="str">
        <f>PROPER(TRIM([1]raw_orders!I890))</f>
        <v>Mumbai</v>
      </c>
      <c r="J890" t="str">
        <f>PROPER(TRIM([1]raw_orders!J890))</f>
        <v>Office Supplies</v>
      </c>
      <c r="K890" t="str">
        <f>PROPER(TRIM([1]raw_orders!K890))</f>
        <v>Art</v>
      </c>
      <c r="L890" t="str">
        <f>[1]raw_orders!L890</f>
        <v>Pro Art 620</v>
      </c>
      <c r="M890" t="str">
        <f>IF(TRIM([1]raw_orders!M890)="","Unknown",PROPER(TRIM([1]raw_orders!M890)))</f>
        <v>Standard Class</v>
      </c>
      <c r="N890" s="5">
        <f>[1]raw_orders!N890</f>
        <v>4</v>
      </c>
      <c r="O890" s="5">
        <f>[1]raw_orders!O890</f>
        <v>3523.64</v>
      </c>
      <c r="P890" s="5">
        <f>[1]raw_orders!P890</f>
        <v>0.1</v>
      </c>
      <c r="Q890" t="str">
        <f>PROPER(TRIM([1]raw_orders!T890))</f>
        <v>Refunded</v>
      </c>
      <c r="R890" t="str">
        <f>PROPER(TRIM([1]raw_orders!U890))</f>
        <v>Cancelled</v>
      </c>
      <c r="S890" s="5">
        <f>[1]raw_orders!S890</f>
        <v>1905.54</v>
      </c>
      <c r="T890" s="5">
        <f t="shared" si="104"/>
        <v>19.055399999999999</v>
      </c>
      <c r="U890" s="5">
        <f t="shared" si="105"/>
        <v>-254482.91862399998</v>
      </c>
      <c r="V890" s="5">
        <f t="shared" si="106"/>
        <v>-254483.01862399999</v>
      </c>
      <c r="W890" s="5">
        <f t="shared" si="107"/>
        <v>1.0000003929536825</v>
      </c>
      <c r="X890" s="5">
        <f t="shared" si="108"/>
        <v>1</v>
      </c>
      <c r="Y890" s="5">
        <f t="shared" si="109"/>
        <v>8</v>
      </c>
      <c r="Z890" s="5">
        <f t="shared" si="110"/>
        <v>2025</v>
      </c>
      <c r="AA890" t="str">
        <f t="shared" si="111"/>
        <v>Clean</v>
      </c>
    </row>
    <row r="891" spans="1:27" x14ac:dyDescent="0.3">
      <c r="A891" t="str">
        <f>[1]raw_orders!A891</f>
        <v>ORD-2025-10890</v>
      </c>
      <c r="B891" s="4">
        <f>IFERROR(DATEVALUE([1]raw_orders!B891), "Invalid Date")</f>
        <v>45726</v>
      </c>
      <c r="C891" s="4">
        <f>IFERROR(DATEVALUE([1]raw_orders!C891), "Invalid Date")</f>
        <v>45964</v>
      </c>
      <c r="D891" t="str">
        <f>[1]raw_orders!D891</f>
        <v>CUST-8467</v>
      </c>
      <c r="E891" t="str">
        <f>PROPER(TRIM([1]raw_orders!E891))</f>
        <v>Aditi Sen</v>
      </c>
      <c r="F891" t="str">
        <f>PROPER(TRIM([1]raw_orders!F891))</f>
        <v>Home Office</v>
      </c>
      <c r="G891" t="str">
        <f>IF(TRIM([1]raw_orders!G891)="","Unknown",PROPER(TRIM([1]raw_orders!G891)))</f>
        <v>West</v>
      </c>
      <c r="H891" t="str">
        <f>PROPER(TRIM([1]raw_orders!H891))</f>
        <v>Madhya Pradesh</v>
      </c>
      <c r="I891" t="str">
        <f>PROPER(TRIM([1]raw_orders!I891))</f>
        <v>Indore</v>
      </c>
      <c r="J891" t="str">
        <f>PROPER(TRIM([1]raw_orders!J891))</f>
        <v>Office Supplies</v>
      </c>
      <c r="K891" t="str">
        <f>PROPER(TRIM([1]raw_orders!K891))</f>
        <v>Storage</v>
      </c>
      <c r="L891" t="str">
        <f>[1]raw_orders!L891</f>
        <v>Prime Storage 806</v>
      </c>
      <c r="M891" t="str">
        <f>IF(TRIM([1]raw_orders!M891)="","Unknown",PROPER(TRIM([1]raw_orders!M891)))</f>
        <v>First Class</v>
      </c>
      <c r="N891" s="5">
        <f>[1]raw_orders!N891</f>
        <v>2</v>
      </c>
      <c r="O891" s="5">
        <f>[1]raw_orders!O891</f>
        <v>3922.08</v>
      </c>
      <c r="P891" s="5">
        <f>[1]raw_orders!P891</f>
        <v>0.25</v>
      </c>
      <c r="Q891" t="str">
        <f>PROPER(TRIM([1]raw_orders!T891))</f>
        <v>Paid</v>
      </c>
      <c r="R891" t="str">
        <f>PROPER(TRIM([1]raw_orders!U891))</f>
        <v>Returned</v>
      </c>
      <c r="S891" s="5">
        <f>[1]raw_orders!S891</f>
        <v>1235.21</v>
      </c>
      <c r="T891" s="5">
        <f t="shared" si="104"/>
        <v>12.3521</v>
      </c>
      <c r="U891" s="5">
        <f t="shared" si="105"/>
        <v>-89047.688735999996</v>
      </c>
      <c r="V891" s="5">
        <f t="shared" si="106"/>
        <v>-89047.938735999996</v>
      </c>
      <c r="W891" s="5">
        <f t="shared" si="107"/>
        <v>1.0000028074844338</v>
      </c>
      <c r="X891" s="5">
        <f t="shared" si="108"/>
        <v>238</v>
      </c>
      <c r="Y891" s="5">
        <f t="shared" si="109"/>
        <v>3</v>
      </c>
      <c r="Z891" s="5">
        <f t="shared" si="110"/>
        <v>2025</v>
      </c>
      <c r="AA891" t="str">
        <f t="shared" si="111"/>
        <v>Clean</v>
      </c>
    </row>
    <row r="892" spans="1:27" x14ac:dyDescent="0.3">
      <c r="A892" t="str">
        <f>[1]raw_orders!A892</f>
        <v>ORD-2024-10891</v>
      </c>
      <c r="B892" s="4">
        <f>IFERROR(DATEVALUE([1]raw_orders!B892), "Invalid Date")</f>
        <v>45427</v>
      </c>
      <c r="C892" s="4">
        <f>IFERROR(DATEVALUE([1]raw_orders!C892), "Invalid Date")</f>
        <v>45433</v>
      </c>
      <c r="D892" t="str">
        <f>[1]raw_orders!D892</f>
        <v>CUST-3992</v>
      </c>
      <c r="E892" t="str">
        <f>PROPER(TRIM([1]raw_orders!E892))</f>
        <v>Karan Malhotra</v>
      </c>
      <c r="F892" t="str">
        <f>PROPER(TRIM([1]raw_orders!F892))</f>
        <v>Consumer</v>
      </c>
      <c r="G892" t="str">
        <f>IF(TRIM([1]raw_orders!G892)="","Unknown",PROPER(TRIM([1]raw_orders!G892)))</f>
        <v>West</v>
      </c>
      <c r="H892" t="str">
        <f>PROPER(TRIM([1]raw_orders!H892))</f>
        <v>Goa</v>
      </c>
      <c r="I892" t="str">
        <f>PROPER(TRIM([1]raw_orders!I892))</f>
        <v>Panaji</v>
      </c>
      <c r="J892" t="str">
        <f>PROPER(TRIM([1]raw_orders!J892))</f>
        <v>Office Supplies</v>
      </c>
      <c r="K892" t="str">
        <f>PROPER(TRIM([1]raw_orders!K892))</f>
        <v>Storage</v>
      </c>
      <c r="L892" t="str">
        <f>[1]raw_orders!L892</f>
        <v>Smart Storage 288</v>
      </c>
      <c r="M892" t="str">
        <f>IF(TRIM([1]raw_orders!M892)="","Unknown",PROPER(TRIM([1]raw_orders!M892)))</f>
        <v>Standard Class</v>
      </c>
      <c r="N892" s="5">
        <f>[1]raw_orders!N892</f>
        <v>6</v>
      </c>
      <c r="O892" s="5">
        <f>[1]raw_orders!O892</f>
        <v>2909.56</v>
      </c>
      <c r="P892" s="5">
        <f>[1]raw_orders!P892</f>
        <v>0.2</v>
      </c>
      <c r="Q892" t="str">
        <f>PROPER(TRIM([1]raw_orders!T892))</f>
        <v>Paid</v>
      </c>
      <c r="R892" t="str">
        <f>PROPER(TRIM([1]raw_orders!U892))</f>
        <v>Completed</v>
      </c>
      <c r="S892" s="5">
        <f>[1]raw_orders!S892</f>
        <v>2319.77</v>
      </c>
      <c r="T892" s="5">
        <f t="shared" si="104"/>
        <v>23.197700000000001</v>
      </c>
      <c r="U892" s="5">
        <f t="shared" si="105"/>
        <v>-387513.24007200002</v>
      </c>
      <c r="V892" s="5">
        <f t="shared" si="106"/>
        <v>-387513.44007200003</v>
      </c>
      <c r="W892" s="5">
        <f t="shared" si="107"/>
        <v>1.0000005161113978</v>
      </c>
      <c r="X892" s="5">
        <f t="shared" si="108"/>
        <v>6</v>
      </c>
      <c r="Y892" s="5">
        <f t="shared" si="109"/>
        <v>5</v>
      </c>
      <c r="Z892" s="5">
        <f t="shared" si="110"/>
        <v>2024</v>
      </c>
      <c r="AA892" t="str">
        <f t="shared" si="111"/>
        <v>Clean</v>
      </c>
    </row>
    <row r="893" spans="1:27" x14ac:dyDescent="0.3">
      <c r="A893" t="str">
        <f>[1]raw_orders!A893</f>
        <v>ORD-2024-10892</v>
      </c>
      <c r="B893" s="4">
        <f>IFERROR(DATEVALUE([1]raw_orders!B893), "Invalid Date")</f>
        <v>45573</v>
      </c>
      <c r="C893" s="4">
        <f>IFERROR(DATEVALUE([1]raw_orders!C893), "Invalid Date")</f>
        <v>45574</v>
      </c>
      <c r="D893" t="str">
        <f>[1]raw_orders!D893</f>
        <v>CUST-6647</v>
      </c>
      <c r="E893" t="str">
        <f>PROPER(TRIM([1]raw_orders!E893))</f>
        <v>Kabir Singh</v>
      </c>
      <c r="F893" t="str">
        <f>PROPER(TRIM([1]raw_orders!F893))</f>
        <v>Corporate</v>
      </c>
      <c r="G893" t="str">
        <f>IF(TRIM([1]raw_orders!G893)="","Unknown",PROPER(TRIM([1]raw_orders!G893)))</f>
        <v>South</v>
      </c>
      <c r="H893" t="str">
        <f>PROPER(TRIM([1]raw_orders!H893))</f>
        <v>Tamil Nadu</v>
      </c>
      <c r="I893" t="str">
        <f>PROPER(TRIM([1]raw_orders!I893))</f>
        <v>Chennai</v>
      </c>
      <c r="J893" t="str">
        <f>PROPER(TRIM([1]raw_orders!J893))</f>
        <v>Technology</v>
      </c>
      <c r="K893" t="str">
        <f>PROPER(TRIM([1]raw_orders!K893))</f>
        <v>Machines</v>
      </c>
      <c r="L893" t="str">
        <f>[1]raw_orders!L893</f>
        <v>Elite Machines 281</v>
      </c>
      <c r="M893" t="str">
        <f>IF(TRIM([1]raw_orders!M893)="","Unknown",PROPER(TRIM([1]raw_orders!M893)))</f>
        <v>Same Day</v>
      </c>
      <c r="N893" s="5">
        <f>[1]raw_orders!N893</f>
        <v>5</v>
      </c>
      <c r="O893" s="5">
        <f>[1]raw_orders!O893</f>
        <v>2407.9699999999998</v>
      </c>
      <c r="P893" s="5">
        <f>[1]raw_orders!P893</f>
        <v>0.1</v>
      </c>
      <c r="Q893" t="str">
        <f>PROPER(TRIM([1]raw_orders!T893))</f>
        <v>Failed</v>
      </c>
      <c r="R893" t="str">
        <f>PROPER(TRIM([1]raw_orders!U893))</f>
        <v>Cancelled</v>
      </c>
      <c r="S893" s="5">
        <f>[1]raw_orders!S893</f>
        <v>4415.9399999999996</v>
      </c>
      <c r="T893" s="5">
        <f t="shared" si="104"/>
        <v>44.159399999999998</v>
      </c>
      <c r="U893" s="5">
        <f t="shared" si="105"/>
        <v>-519632.70208999992</v>
      </c>
      <c r="V893" s="5">
        <f t="shared" si="106"/>
        <v>-519632.8020899999</v>
      </c>
      <c r="W893" s="5">
        <f t="shared" si="107"/>
        <v>1.0000001924436233</v>
      </c>
      <c r="X893" s="5">
        <f t="shared" si="108"/>
        <v>1</v>
      </c>
      <c r="Y893" s="5">
        <f t="shared" si="109"/>
        <v>10</v>
      </c>
      <c r="Z893" s="5">
        <f t="shared" si="110"/>
        <v>2024</v>
      </c>
      <c r="AA893" t="str">
        <f t="shared" si="111"/>
        <v>Clean</v>
      </c>
    </row>
    <row r="894" spans="1:27" x14ac:dyDescent="0.3">
      <c r="A894" t="str">
        <f>[1]raw_orders!A894</f>
        <v>ORD-2025-10893</v>
      </c>
      <c r="B894" s="4">
        <f>IFERROR(DATEVALUE([1]raw_orders!B894), "Invalid Date")</f>
        <v>45995</v>
      </c>
      <c r="C894" s="4" t="str">
        <f>IFERROR(DATEVALUE([1]raw_orders!C894), "Invalid Date")</f>
        <v>Invalid Date</v>
      </c>
      <c r="D894" t="str">
        <f>[1]raw_orders!D894</f>
        <v>CUST-5087</v>
      </c>
      <c r="E894" t="str">
        <f>PROPER(TRIM([1]raw_orders!E894))</f>
        <v>Isha Nair</v>
      </c>
      <c r="F894" t="str">
        <f>PROPER(TRIM([1]raw_orders!F894))</f>
        <v>Small Business</v>
      </c>
      <c r="G894" t="str">
        <f>IF(TRIM([1]raw_orders!G894)="","Unknown",PROPER(TRIM([1]raw_orders!G894)))</f>
        <v>East</v>
      </c>
      <c r="H894" t="str">
        <f>PROPER(TRIM([1]raw_orders!H894))</f>
        <v>Jharkhand</v>
      </c>
      <c r="I894" t="str">
        <f>PROPER(TRIM([1]raw_orders!I894))</f>
        <v>Ranchi</v>
      </c>
      <c r="J894" t="str">
        <f>PROPER(TRIM([1]raw_orders!J894))</f>
        <v>Technology</v>
      </c>
      <c r="K894" t="str">
        <f>PROPER(TRIM([1]raw_orders!K894))</f>
        <v>Copiers</v>
      </c>
      <c r="L894" t="str">
        <f>[1]raw_orders!L894</f>
        <v>Elite Copiers 221</v>
      </c>
      <c r="M894" t="str">
        <f>IF(TRIM([1]raw_orders!M894)="","Unknown",PROPER(TRIM([1]raw_orders!M894)))</f>
        <v>Same Day</v>
      </c>
      <c r="N894" s="5">
        <f>[1]raw_orders!N894</f>
        <v>1</v>
      </c>
      <c r="O894" s="5">
        <f>[1]raw_orders!O894</f>
        <v>726.89</v>
      </c>
      <c r="P894" s="5">
        <f>[1]raw_orders!P894</f>
        <v>0.2</v>
      </c>
      <c r="Q894" t="str">
        <f>PROPER(TRIM([1]raw_orders!T894))</f>
        <v>Paid</v>
      </c>
      <c r="R894" t="str">
        <f>PROPER(TRIM([1]raw_orders!U894))</f>
        <v>Completed</v>
      </c>
      <c r="S894" s="5">
        <f>[1]raw_orders!S894</f>
        <v>157.65</v>
      </c>
      <c r="T894" s="5">
        <f t="shared" si="104"/>
        <v>1.5765</v>
      </c>
      <c r="U894" s="5">
        <f t="shared" si="105"/>
        <v>-419.05208499999998</v>
      </c>
      <c r="V894" s="5">
        <f t="shared" si="106"/>
        <v>-419.25208499999997</v>
      </c>
      <c r="W894" s="5">
        <f t="shared" si="107"/>
        <v>1.0004772676408471</v>
      </c>
      <c r="X894" s="5" t="str">
        <f t="shared" si="108"/>
        <v>Invalid Date</v>
      </c>
      <c r="Y894" s="5">
        <f t="shared" si="109"/>
        <v>12</v>
      </c>
      <c r="Z894" s="5">
        <f t="shared" si="110"/>
        <v>2025</v>
      </c>
      <c r="AA894" t="str">
        <f t="shared" si="111"/>
        <v>Clean</v>
      </c>
    </row>
    <row r="895" spans="1:27" x14ac:dyDescent="0.3">
      <c r="A895" t="str">
        <f>[1]raw_orders!A895</f>
        <v>ORD-2024-10894</v>
      </c>
      <c r="B895" s="4">
        <f>IFERROR(DATEVALUE([1]raw_orders!B895), "Invalid Date")</f>
        <v>45449</v>
      </c>
      <c r="C895" s="4">
        <f>IFERROR(DATEVALUE([1]raw_orders!C895), "Invalid Date")</f>
        <v>45451</v>
      </c>
      <c r="D895" t="str">
        <f>[1]raw_orders!D895</f>
        <v>CUST-9297</v>
      </c>
      <c r="E895" t="str">
        <f>PROPER(TRIM([1]raw_orders!E895))</f>
        <v>Aarav Sharma</v>
      </c>
      <c r="F895" t="str">
        <f>PROPER(TRIM([1]raw_orders!F895))</f>
        <v>Corporate</v>
      </c>
      <c r="G895" t="str">
        <f>IF(TRIM([1]raw_orders!G895)="","Unknown",PROPER(TRIM([1]raw_orders!G895)))</f>
        <v>South</v>
      </c>
      <c r="H895" t="str">
        <f>PROPER(TRIM([1]raw_orders!H895))</f>
        <v>Karnataka</v>
      </c>
      <c r="I895" t="str">
        <f>PROPER(TRIM([1]raw_orders!I895))</f>
        <v>Bengaluru</v>
      </c>
      <c r="J895" t="str">
        <f>PROPER(TRIM([1]raw_orders!J895))</f>
        <v>Furniture</v>
      </c>
      <c r="K895" t="str">
        <f>PROPER(TRIM([1]raw_orders!K895))</f>
        <v>Tables</v>
      </c>
      <c r="L895" t="str">
        <f>[1]raw_orders!L895</f>
        <v>Max Tables 291</v>
      </c>
      <c r="M895" t="str">
        <f>IF(TRIM([1]raw_orders!M895)="","Unknown",PROPER(TRIM([1]raw_orders!M895)))</f>
        <v>Second Class</v>
      </c>
      <c r="N895" s="5">
        <f>[1]raw_orders!N895</f>
        <v>3</v>
      </c>
      <c r="O895" s="5">
        <f>[1]raw_orders!O895</f>
        <v>395.49</v>
      </c>
      <c r="P895" s="5">
        <f>[1]raw_orders!P895</f>
        <v>0.05</v>
      </c>
      <c r="Q895" t="str">
        <f>PROPER(TRIM([1]raw_orders!T895))</f>
        <v>Paid</v>
      </c>
      <c r="R895" t="str">
        <f>PROPER(TRIM([1]raw_orders!U895))</f>
        <v>Returned</v>
      </c>
      <c r="S895" s="5">
        <f>[1]raw_orders!S895</f>
        <v>281.52999999999997</v>
      </c>
      <c r="T895" s="5">
        <f t="shared" si="104"/>
        <v>2.8152999999999997</v>
      </c>
      <c r="U895" s="5">
        <f t="shared" si="105"/>
        <v>-2153.7989909999997</v>
      </c>
      <c r="V895" s="5">
        <f t="shared" si="106"/>
        <v>-2153.8489909999998</v>
      </c>
      <c r="W895" s="5">
        <f t="shared" si="107"/>
        <v>1.0000232147940495</v>
      </c>
      <c r="X895" s="5">
        <f t="shared" si="108"/>
        <v>2</v>
      </c>
      <c r="Y895" s="5">
        <f t="shared" si="109"/>
        <v>6</v>
      </c>
      <c r="Z895" s="5">
        <f t="shared" si="110"/>
        <v>2024</v>
      </c>
      <c r="AA895" t="str">
        <f t="shared" si="111"/>
        <v>Clean</v>
      </c>
    </row>
    <row r="896" spans="1:27" x14ac:dyDescent="0.3">
      <c r="A896" t="str">
        <f>[1]raw_orders!A896</f>
        <v>ORD-2024-10895</v>
      </c>
      <c r="B896" s="4">
        <f>IFERROR(DATEVALUE([1]raw_orders!B896), "Invalid Date")</f>
        <v>45344</v>
      </c>
      <c r="C896" s="4" t="str">
        <f>IFERROR(DATEVALUE([1]raw_orders!C896), "Invalid Date")</f>
        <v>Invalid Date</v>
      </c>
      <c r="D896" t="str">
        <f>[1]raw_orders!D896</f>
        <v>CUST-7996</v>
      </c>
      <c r="E896" t="str">
        <f>PROPER(TRIM([1]raw_orders!E896))</f>
        <v>Isha Nair</v>
      </c>
      <c r="F896" t="str">
        <f>PROPER(TRIM([1]raw_orders!F896))</f>
        <v>Home Office</v>
      </c>
      <c r="G896" t="str">
        <f>IF(TRIM([1]raw_orders!G896)="","Unknown",PROPER(TRIM([1]raw_orders!G896)))</f>
        <v>South</v>
      </c>
      <c r="H896" t="str">
        <f>PROPER(TRIM([1]raw_orders!H896))</f>
        <v>Telangana</v>
      </c>
      <c r="I896" t="str">
        <f>PROPER(TRIM([1]raw_orders!I896))</f>
        <v>Hyderabad</v>
      </c>
      <c r="J896" t="str">
        <f>PROPER(TRIM([1]raw_orders!J896))</f>
        <v>Furniture</v>
      </c>
      <c r="K896" t="str">
        <f>PROPER(TRIM([1]raw_orders!K896))</f>
        <v>Tables</v>
      </c>
      <c r="L896" t="str">
        <f>[1]raw_orders!L896</f>
        <v>Classic Tables 638</v>
      </c>
      <c r="M896" t="str">
        <f>IF(TRIM([1]raw_orders!M896)="","Unknown",PROPER(TRIM([1]raw_orders!M896)))</f>
        <v>First Class</v>
      </c>
      <c r="N896" s="5">
        <f>[1]raw_orders!N896</f>
        <v>6</v>
      </c>
      <c r="O896" s="5">
        <f>[1]raw_orders!O896</f>
        <v>4254.05</v>
      </c>
      <c r="P896" s="5">
        <f>[1]raw_orders!P896</f>
        <v>0</v>
      </c>
      <c r="Q896" t="str">
        <f>PROPER(TRIM([1]raw_orders!T896))</f>
        <v>Paid</v>
      </c>
      <c r="R896" t="str">
        <f>PROPER(TRIM([1]raw_orders!U896))</f>
        <v>Completed</v>
      </c>
      <c r="S896" s="5">
        <f>[1]raw_orders!S896</f>
        <v>8812.3700000000008</v>
      </c>
      <c r="T896" s="5">
        <f t="shared" si="104"/>
        <v>88.123700000000014</v>
      </c>
      <c r="U896" s="5">
        <f t="shared" si="105"/>
        <v>-2223771.4559100005</v>
      </c>
      <c r="V896" s="5">
        <f t="shared" si="106"/>
        <v>-2223771.4559100005</v>
      </c>
      <c r="W896" s="5">
        <f t="shared" si="107"/>
        <v>1</v>
      </c>
      <c r="X896" s="5" t="str">
        <f t="shared" si="108"/>
        <v>Invalid Date</v>
      </c>
      <c r="Y896" s="5">
        <f t="shared" si="109"/>
        <v>2</v>
      </c>
      <c r="Z896" s="5">
        <f t="shared" si="110"/>
        <v>2024</v>
      </c>
      <c r="AA896" t="str">
        <f t="shared" si="111"/>
        <v>Clean</v>
      </c>
    </row>
    <row r="897" spans="1:27" x14ac:dyDescent="0.3">
      <c r="A897" t="str">
        <f>[1]raw_orders!A897</f>
        <v>ORD-2024-10896</v>
      </c>
      <c r="B897" s="4">
        <f>IFERROR(DATEVALUE([1]raw_orders!B897), "Invalid Date")</f>
        <v>45601</v>
      </c>
      <c r="C897" s="4">
        <f>IFERROR(DATEVALUE([1]raw_orders!C897), "Invalid Date")</f>
        <v>45576</v>
      </c>
      <c r="D897" t="str">
        <f>[1]raw_orders!D897</f>
        <v>CUST-4117</v>
      </c>
      <c r="E897" t="str">
        <f>PROPER(TRIM([1]raw_orders!E897))</f>
        <v>Arjun Bose</v>
      </c>
      <c r="F897" t="str">
        <f>PROPER(TRIM([1]raw_orders!F897))</f>
        <v>Consumer</v>
      </c>
      <c r="G897" t="str">
        <f>IF(TRIM([1]raw_orders!G897)="","Unknown",PROPER(TRIM([1]raw_orders!G897)))</f>
        <v>South</v>
      </c>
      <c r="H897" t="str">
        <f>PROPER(TRIM([1]raw_orders!H897))</f>
        <v>Kerala</v>
      </c>
      <c r="I897" t="str">
        <f>PROPER(TRIM([1]raw_orders!I897))</f>
        <v>Kochi</v>
      </c>
      <c r="J897" t="str">
        <f>PROPER(TRIM([1]raw_orders!J897))</f>
        <v>Furniture</v>
      </c>
      <c r="K897" t="str">
        <f>PROPER(TRIM([1]raw_orders!K897))</f>
        <v>Chairs</v>
      </c>
      <c r="L897" t="str">
        <f>[1]raw_orders!L897</f>
        <v>Basic Chairs 212</v>
      </c>
      <c r="M897" t="str">
        <f>IF(TRIM([1]raw_orders!M897)="","Unknown",PROPER(TRIM([1]raw_orders!M897)))</f>
        <v>Same Day</v>
      </c>
      <c r="N897" s="5">
        <f>[1]raw_orders!N897</f>
        <v>4</v>
      </c>
      <c r="O897" s="5">
        <f>[1]raw_orders!O897</f>
        <v>711.18</v>
      </c>
      <c r="P897" s="5">
        <f>[1]raw_orders!P897</f>
        <v>0.15</v>
      </c>
      <c r="Q897" t="str">
        <f>PROPER(TRIM([1]raw_orders!T897))</f>
        <v>Pending</v>
      </c>
      <c r="R897" t="str">
        <f>PROPER(TRIM([1]raw_orders!U897))</f>
        <v>Returned</v>
      </c>
      <c r="S897" s="5">
        <f>[1]raw_orders!S897</f>
        <v>976.12</v>
      </c>
      <c r="T897" s="5">
        <f t="shared" si="104"/>
        <v>9.7612000000000005</v>
      </c>
      <c r="U897" s="5">
        <f t="shared" si="105"/>
        <v>-24923.160864000001</v>
      </c>
      <c r="V897" s="5">
        <f t="shared" si="106"/>
        <v>-24923.310864000003</v>
      </c>
      <c r="W897" s="5">
        <f t="shared" si="107"/>
        <v>1.0000060184982482</v>
      </c>
      <c r="X897" s="5">
        <f t="shared" si="108"/>
        <v>-25</v>
      </c>
      <c r="Y897" s="5">
        <f t="shared" si="109"/>
        <v>11</v>
      </c>
      <c r="Z897" s="5">
        <f t="shared" si="110"/>
        <v>2024</v>
      </c>
      <c r="AA897" t="str">
        <f t="shared" si="111"/>
        <v>Invalid</v>
      </c>
    </row>
    <row r="898" spans="1:27" x14ac:dyDescent="0.3">
      <c r="A898" t="str">
        <f>[1]raw_orders!A898</f>
        <v>ORD-2024-10897</v>
      </c>
      <c r="B898" s="4" t="str">
        <f>IFERROR(DATEVALUE([1]raw_orders!B898), "Invalid Date")</f>
        <v>Invalid Date</v>
      </c>
      <c r="C898" s="4">
        <f>IFERROR(DATEVALUE([1]raw_orders!C898), "Invalid Date")</f>
        <v>45651</v>
      </c>
      <c r="D898" t="str">
        <f>[1]raw_orders!D898</f>
        <v>CUST-4848</v>
      </c>
      <c r="E898" t="str">
        <f>PROPER(TRIM([1]raw_orders!E898))</f>
        <v>Ananya Rao</v>
      </c>
      <c r="F898" t="str">
        <f>PROPER(TRIM([1]raw_orders!F898))</f>
        <v>Small Business</v>
      </c>
      <c r="G898" t="str">
        <f>IF(TRIM([1]raw_orders!G898)="","Unknown",PROPER(TRIM([1]raw_orders!G898)))</f>
        <v>South</v>
      </c>
      <c r="H898" t="str">
        <f>PROPER(TRIM([1]raw_orders!H898))</f>
        <v>Tamil Nadu</v>
      </c>
      <c r="I898" t="str">
        <f>PROPER(TRIM([1]raw_orders!I898))</f>
        <v>Chennai</v>
      </c>
      <c r="J898" t="str">
        <f>PROPER(TRIM([1]raw_orders!J898))</f>
        <v>Technology</v>
      </c>
      <c r="K898" t="str">
        <f>PROPER(TRIM([1]raw_orders!K898))</f>
        <v>Copiers</v>
      </c>
      <c r="L898" t="str">
        <f>[1]raw_orders!L898</f>
        <v>Max Copiers 121</v>
      </c>
      <c r="M898" t="str">
        <f>IF(TRIM([1]raw_orders!M898)="","Unknown",PROPER(TRIM([1]raw_orders!M898)))</f>
        <v>Second Class</v>
      </c>
      <c r="N898" s="5">
        <f>[1]raw_orders!N898</f>
        <v>1</v>
      </c>
      <c r="O898" s="5">
        <f>[1]raw_orders!O898</f>
        <v>3693.03</v>
      </c>
      <c r="P898" s="5">
        <f>[1]raw_orders!P898</f>
        <v>0.05</v>
      </c>
      <c r="Q898" t="str">
        <f>PROPER(TRIM([1]raw_orders!T898))</f>
        <v>Failed</v>
      </c>
      <c r="R898" t="str">
        <f>PROPER(TRIM([1]raw_orders!U898))</f>
        <v>Returned</v>
      </c>
      <c r="S898" s="5">
        <f>[1]raw_orders!S898</f>
        <v>680.32</v>
      </c>
      <c r="T898" s="5">
        <f t="shared" si="104"/>
        <v>6.8032000000000004</v>
      </c>
      <c r="U898" s="5">
        <f t="shared" si="105"/>
        <v>-21431.391696000002</v>
      </c>
      <c r="V898" s="5">
        <f t="shared" si="106"/>
        <v>-21431.441696000002</v>
      </c>
      <c r="W898" s="5">
        <f t="shared" si="107"/>
        <v>1.0000023330262779</v>
      </c>
      <c r="X898" s="5" t="str">
        <f t="shared" si="108"/>
        <v>Invalid Date</v>
      </c>
      <c r="Y898" s="5" t="e">
        <f t="shared" si="109"/>
        <v>#VALUE!</v>
      </c>
      <c r="Z898" s="5" t="e">
        <f t="shared" si="110"/>
        <v>#VALUE!</v>
      </c>
      <c r="AA898" t="str">
        <f t="shared" si="111"/>
        <v>Clean</v>
      </c>
    </row>
    <row r="899" spans="1:27" x14ac:dyDescent="0.3">
      <c r="A899" t="str">
        <f>[1]raw_orders!A899</f>
        <v>ORD-2025-10898</v>
      </c>
      <c r="B899" s="4" t="str">
        <f>IFERROR(DATEVALUE([1]raw_orders!B899), "Invalid Date")</f>
        <v>Invalid Date</v>
      </c>
      <c r="C899" s="4">
        <f>IFERROR(DATEVALUE([1]raw_orders!C899), "Invalid Date")</f>
        <v>45780</v>
      </c>
      <c r="D899" t="str">
        <f>[1]raw_orders!D899</f>
        <v>CUST-2897</v>
      </c>
      <c r="E899" t="str">
        <f>PROPER(TRIM([1]raw_orders!E899))</f>
        <v>Rohan Mehta</v>
      </c>
      <c r="F899" t="str">
        <f>PROPER(TRIM([1]raw_orders!F899))</f>
        <v>Corporate</v>
      </c>
      <c r="G899" t="str">
        <f>IF(TRIM([1]raw_orders!G899)="","Unknown",PROPER(TRIM([1]raw_orders!G899)))</f>
        <v>North</v>
      </c>
      <c r="H899" t="str">
        <f>PROPER(TRIM([1]raw_orders!H899))</f>
        <v>Haryana</v>
      </c>
      <c r="I899" t="str">
        <f>PROPER(TRIM([1]raw_orders!I899))</f>
        <v>Gurugram</v>
      </c>
      <c r="J899" t="str">
        <f>PROPER(TRIM([1]raw_orders!J899))</f>
        <v>Office Supplies</v>
      </c>
      <c r="K899" t="str">
        <f>PROPER(TRIM([1]raw_orders!K899))</f>
        <v>Paper</v>
      </c>
      <c r="L899" t="str">
        <f>[1]raw_orders!L899</f>
        <v>Eco Paper 747</v>
      </c>
      <c r="M899" t="str">
        <f>IF(TRIM([1]raw_orders!M899)="","Unknown",PROPER(TRIM([1]raw_orders!M899)))</f>
        <v>First Class</v>
      </c>
      <c r="N899" s="5">
        <f>[1]raw_orders!N899</f>
        <v>4</v>
      </c>
      <c r="O899" s="5">
        <f>[1]raw_orders!O899</f>
        <v>1786.65</v>
      </c>
      <c r="P899" s="5">
        <f>[1]raw_orders!P899</f>
        <v>0.05</v>
      </c>
      <c r="Q899" t="str">
        <f>PROPER(TRIM([1]raw_orders!T899))</f>
        <v>Paid</v>
      </c>
      <c r="R899" t="str">
        <f>PROPER(TRIM([1]raw_orders!U899))</f>
        <v>Completed</v>
      </c>
      <c r="S899" s="5">
        <f>[1]raw_orders!S899</f>
        <v>1162.8399999999999</v>
      </c>
      <c r="T899" s="5">
        <f t="shared" ref="T899:T933" si="112">IF(AND(ISNUMBER(S899),S899&gt;=0,S899&lt;=1),S899,IF(S899="",0,IF(S899&lt;0,"INVALID - Negative",IF(S899&gt;1,S899/100,"INVALID"))))</f>
        <v>11.628399999999999</v>
      </c>
      <c r="U899" s="5">
        <f t="shared" ref="U899:U933" si="113">IF(AND(ISNUMBER(N899),ISNUMBER(O899),OR(ISNUMBER(T899),T899=0)),N899*O899*(1-IF(ISNUMBER(T899),T899,0)),"Calculation Error")</f>
        <v>-75956.923439999999</v>
      </c>
      <c r="V899" s="5">
        <f t="shared" ref="V899:V933" si="114">IF(AND(ISNUMBER(U899),ISNUMBER(P899)),U899-P899,"Calculation Error")</f>
        <v>-75956.973440000002</v>
      </c>
      <c r="W899" s="5">
        <f t="shared" ref="W899:W933" si="115">IF(AND(ISNUMBER(V899),ISNUMBER(U899),U899&lt;&gt;0),V899/U899,IF(U899=0,"N/A","Calculation Error"))</f>
        <v>1.0000006582678411</v>
      </c>
      <c r="X899" s="5" t="str">
        <f t="shared" ref="X899:X933" si="116">IF(AND(ISNUMBER(B899),ISNUMBER(C899)),C899-B899,"Invalid Date")</f>
        <v>Invalid Date</v>
      </c>
      <c r="Y899" s="5" t="e">
        <f t="shared" ref="Y899:Y933" si="117">MONTH(B899)</f>
        <v>#VALUE!</v>
      </c>
      <c r="Z899" s="5" t="e">
        <f t="shared" ref="Z899:Z933" si="118">YEAR(B899)</f>
        <v>#VALUE!</v>
      </c>
      <c r="AA899" t="str">
        <f t="shared" ref="AA899:AA933" si="119">IF(OR(G899="Unknown",M899="Unknown",T899="INVALID - Negative",T899="INVALID",X899&lt;0,R899="Duplicate ID - Review Required"),IF(OR(T899="INVALID - Negative",T899="INVALID",X899&lt;0,R899="Duplicate ID - Review Required"),"Invalid","Warning"),"Clean")</f>
        <v>Clean</v>
      </c>
    </row>
    <row r="900" spans="1:27" x14ac:dyDescent="0.3">
      <c r="A900" t="str">
        <f>[1]raw_orders!A900</f>
        <v>ORD-2024-10899</v>
      </c>
      <c r="B900" s="4">
        <f>IFERROR(DATEVALUE([1]raw_orders!B900), "Invalid Date")</f>
        <v>45445</v>
      </c>
      <c r="C900" s="4">
        <f>IFERROR(DATEVALUE([1]raw_orders!C900), "Invalid Date")</f>
        <v>45510</v>
      </c>
      <c r="D900" t="str">
        <f>[1]raw_orders!D900</f>
        <v>CUST-6046</v>
      </c>
      <c r="E900" t="str">
        <f>PROPER(TRIM([1]raw_orders!E900))</f>
        <v>Vikram Iyer</v>
      </c>
      <c r="F900" t="str">
        <f>PROPER(TRIM([1]raw_orders!F900))</f>
        <v>Consumer</v>
      </c>
      <c r="G900" t="str">
        <f>IF(TRIM([1]raw_orders!G900)="","Unknown",PROPER(TRIM([1]raw_orders!G900)))</f>
        <v>North</v>
      </c>
      <c r="H900" t="str">
        <f>PROPER(TRIM([1]raw_orders!H900))</f>
        <v>Delhi</v>
      </c>
      <c r="I900" t="str">
        <f>PROPER(TRIM([1]raw_orders!I900))</f>
        <v>New Delhi</v>
      </c>
      <c r="J900" t="str">
        <f>PROPER(TRIM([1]raw_orders!J900))</f>
        <v>Furniture</v>
      </c>
      <c r="K900" t="str">
        <f>PROPER(TRIM([1]raw_orders!K900))</f>
        <v>Tables</v>
      </c>
      <c r="L900" t="str">
        <f>[1]raw_orders!L900</f>
        <v>Classic Tables 535</v>
      </c>
      <c r="M900" t="str">
        <f>IF(TRIM([1]raw_orders!M900)="","Unknown",PROPER(TRIM([1]raw_orders!M900)))</f>
        <v>First Class</v>
      </c>
      <c r="N900" s="5">
        <f>[1]raw_orders!N900</f>
        <v>4</v>
      </c>
      <c r="O900" s="5">
        <f>[1]raw_orders!O900</f>
        <v>1536.7</v>
      </c>
      <c r="P900" s="5">
        <f>[1]raw_orders!P900</f>
        <v>0.2</v>
      </c>
      <c r="Q900" t="str">
        <f>PROPER(TRIM([1]raw_orders!T900))</f>
        <v>Paid</v>
      </c>
      <c r="R900" t="str">
        <f>PROPER(TRIM([1]raw_orders!U900))</f>
        <v>Completed</v>
      </c>
      <c r="S900" s="5">
        <f>[1]raw_orders!S900</f>
        <v>1070.67</v>
      </c>
      <c r="T900" s="5">
        <f t="shared" si="112"/>
        <v>10.706700000000001</v>
      </c>
      <c r="U900" s="5">
        <f t="shared" si="113"/>
        <v>-59665.143560000011</v>
      </c>
      <c r="V900" s="5">
        <f t="shared" si="114"/>
        <v>-59665.343560000008</v>
      </c>
      <c r="W900" s="5">
        <f t="shared" si="115"/>
        <v>1.0000033520408744</v>
      </c>
      <c r="X900" s="5">
        <f t="shared" si="116"/>
        <v>65</v>
      </c>
      <c r="Y900" s="5">
        <f t="shared" si="117"/>
        <v>6</v>
      </c>
      <c r="Z900" s="5">
        <f t="shared" si="118"/>
        <v>2024</v>
      </c>
      <c r="AA900" t="str">
        <f t="shared" si="119"/>
        <v>Clean</v>
      </c>
    </row>
    <row r="901" spans="1:27" x14ac:dyDescent="0.3">
      <c r="A901" t="str">
        <f>[1]raw_orders!A901</f>
        <v>ORD-2025-10900</v>
      </c>
      <c r="B901" s="4">
        <f>IFERROR(DATEVALUE([1]raw_orders!B901), "Invalid Date")</f>
        <v>45804</v>
      </c>
      <c r="C901" s="4">
        <f>IFERROR(DATEVALUE([1]raw_orders!C901), "Invalid Date")</f>
        <v>45722</v>
      </c>
      <c r="D901" t="str">
        <f>[1]raw_orders!D901</f>
        <v>CUST-3789</v>
      </c>
      <c r="E901" t="str">
        <f>PROPER(TRIM([1]raw_orders!E901))</f>
        <v>Karan Malhotra</v>
      </c>
      <c r="F901" t="str">
        <f>PROPER(TRIM([1]raw_orders!F901))</f>
        <v>Consumer</v>
      </c>
      <c r="G901" t="str">
        <f>IF(TRIM([1]raw_orders!G901)="","Unknown",PROPER(TRIM([1]raw_orders!G901)))</f>
        <v>North</v>
      </c>
      <c r="H901" t="str">
        <f>PROPER(TRIM([1]raw_orders!H901))</f>
        <v>Punjab</v>
      </c>
      <c r="I901" t="str">
        <f>PROPER(TRIM([1]raw_orders!I901))</f>
        <v>Ludhiana</v>
      </c>
      <c r="J901" t="str">
        <f>PROPER(TRIM([1]raw_orders!J901))</f>
        <v>Furniture</v>
      </c>
      <c r="K901" t="str">
        <f>PROPER(TRIM([1]raw_orders!K901))</f>
        <v>Chairs</v>
      </c>
      <c r="L901" t="str">
        <f>[1]raw_orders!L901</f>
        <v>Elite Chairs 971</v>
      </c>
      <c r="M901" t="str">
        <f>IF(TRIM([1]raw_orders!M901)="","Unknown",PROPER(TRIM([1]raw_orders!M901)))</f>
        <v>First Class</v>
      </c>
      <c r="N901" s="5">
        <f>[1]raw_orders!N901</f>
        <v>5</v>
      </c>
      <c r="O901" s="5">
        <f>[1]raw_orders!O901</f>
        <v>881.08</v>
      </c>
      <c r="P901" s="5">
        <f>[1]raw_orders!P901</f>
        <v>0.25</v>
      </c>
      <c r="Q901" t="str">
        <f>PROPER(TRIM([1]raw_orders!T901))</f>
        <v>Failed</v>
      </c>
      <c r="R901" t="str">
        <f>PROPER(TRIM([1]raw_orders!U901))</f>
        <v>Cancelled</v>
      </c>
      <c r="S901" s="5">
        <f>[1]raw_orders!S901</f>
        <v>1024.6400000000001</v>
      </c>
      <c r="T901" s="5">
        <f t="shared" si="112"/>
        <v>10.246400000000001</v>
      </c>
      <c r="U901" s="5">
        <f t="shared" si="113"/>
        <v>-40734.090560000011</v>
      </c>
      <c r="V901" s="5">
        <f t="shared" si="114"/>
        <v>-40734.340560000011</v>
      </c>
      <c r="W901" s="5">
        <f t="shared" si="115"/>
        <v>1.000006137365449</v>
      </c>
      <c r="X901" s="5">
        <f t="shared" si="116"/>
        <v>-82</v>
      </c>
      <c r="Y901" s="5">
        <f t="shared" si="117"/>
        <v>5</v>
      </c>
      <c r="Z901" s="5">
        <f t="shared" si="118"/>
        <v>2025</v>
      </c>
      <c r="AA901" t="str">
        <f t="shared" si="119"/>
        <v>Invalid</v>
      </c>
    </row>
    <row r="902" spans="1:27" x14ac:dyDescent="0.3">
      <c r="A902" t="str">
        <f>[1]raw_orders!A902</f>
        <v>ORD-2024-10503</v>
      </c>
      <c r="B902" s="4">
        <f>IFERROR(DATEVALUE([1]raw_orders!B902), "Invalid Date")</f>
        <v>45295</v>
      </c>
      <c r="C902" s="4">
        <f>IFERROR(DATEVALUE([1]raw_orders!C902), "Invalid Date")</f>
        <v>45391</v>
      </c>
      <c r="D902" t="str">
        <f>[1]raw_orders!D902</f>
        <v>CUST-1534</v>
      </c>
      <c r="E902" t="str">
        <f>PROPER(TRIM([1]raw_orders!E902))</f>
        <v>Priya Menon</v>
      </c>
      <c r="F902" t="str">
        <f>PROPER(TRIM([1]raw_orders!F902))</f>
        <v>Small Business</v>
      </c>
      <c r="G902" t="str">
        <f>IF(TRIM([1]raw_orders!G902)="","Unknown",PROPER(TRIM([1]raw_orders!G902)))</f>
        <v>East</v>
      </c>
      <c r="H902" t="str">
        <f>PROPER(TRIM([1]raw_orders!H902))</f>
        <v>Odisha</v>
      </c>
      <c r="I902" t="str">
        <f>PROPER(TRIM([1]raw_orders!I902))</f>
        <v>Bhubaneswar</v>
      </c>
      <c r="J902" t="str">
        <f>PROPER(TRIM([1]raw_orders!J902))</f>
        <v>Technology</v>
      </c>
      <c r="K902" t="str">
        <f>PROPER(TRIM([1]raw_orders!K902))</f>
        <v>Copiers</v>
      </c>
      <c r="L902" t="str">
        <f>[1]raw_orders!L902</f>
        <v>Prime Copiers 557</v>
      </c>
      <c r="M902" t="str">
        <f>IF(TRIM([1]raw_orders!M902)="","Unknown",PROPER(TRIM([1]raw_orders!M902)))</f>
        <v>Second Class</v>
      </c>
      <c r="N902" s="5">
        <f>[1]raw_orders!N902</f>
        <v>6</v>
      </c>
      <c r="O902" s="5">
        <f>[1]raw_orders!O902</f>
        <v>826.93</v>
      </c>
      <c r="P902" s="5">
        <f>[1]raw_orders!P902</f>
        <v>0.1</v>
      </c>
      <c r="Q902" t="str">
        <f>PROPER(TRIM([1]raw_orders!T902))</f>
        <v>Paid</v>
      </c>
      <c r="R902" t="str">
        <f>PROPER(TRIM([1]raw_orders!U902))</f>
        <v>Completed</v>
      </c>
      <c r="S902" s="5">
        <f>[1]raw_orders!S902</f>
        <v>1088.32</v>
      </c>
      <c r="T902" s="5">
        <f t="shared" si="112"/>
        <v>10.883199999999999</v>
      </c>
      <c r="U902" s="5">
        <f t="shared" si="113"/>
        <v>-49036.287455999991</v>
      </c>
      <c r="V902" s="5">
        <f t="shared" si="114"/>
        <v>-49036.387455999989</v>
      </c>
      <c r="W902" s="5">
        <f t="shared" si="115"/>
        <v>1.0000020393060973</v>
      </c>
      <c r="X902" s="5">
        <f t="shared" si="116"/>
        <v>96</v>
      </c>
      <c r="Y902" s="5">
        <f t="shared" si="117"/>
        <v>1</v>
      </c>
      <c r="Z902" s="5">
        <f t="shared" si="118"/>
        <v>2024</v>
      </c>
      <c r="AA902" t="str">
        <f t="shared" si="119"/>
        <v>Clean</v>
      </c>
    </row>
    <row r="903" spans="1:27" x14ac:dyDescent="0.3">
      <c r="A903" t="str">
        <f>[1]raw_orders!A903</f>
        <v>ORD-2024-10599</v>
      </c>
      <c r="B903" s="4" t="str">
        <f>IFERROR(DATEVALUE([1]raw_orders!B903), "Invalid Date")</f>
        <v>Invalid Date</v>
      </c>
      <c r="C903" s="4" t="str">
        <f>IFERROR(DATEVALUE([1]raw_orders!C903), "Invalid Date")</f>
        <v>Invalid Date</v>
      </c>
      <c r="D903" t="str">
        <f>[1]raw_orders!D903</f>
        <v>CUST-8498</v>
      </c>
      <c r="E903" t="str">
        <f>PROPER(TRIM([1]raw_orders!E903))</f>
        <v>Ananya Rao</v>
      </c>
      <c r="F903" t="str">
        <f>PROPER(TRIM([1]raw_orders!F903))</f>
        <v>Corporate</v>
      </c>
      <c r="G903" t="str">
        <f>IF(TRIM([1]raw_orders!G903)="","Unknown",PROPER(TRIM([1]raw_orders!G903)))</f>
        <v>East</v>
      </c>
      <c r="H903" t="str">
        <f>PROPER(TRIM([1]raw_orders!H903))</f>
        <v>West Bengal</v>
      </c>
      <c r="I903" t="str">
        <f>PROPER(TRIM([1]raw_orders!I903))</f>
        <v>Kolkata</v>
      </c>
      <c r="J903" t="str">
        <f>PROPER(TRIM([1]raw_orders!J903))</f>
        <v>Technology</v>
      </c>
      <c r="K903" t="str">
        <f>PROPER(TRIM([1]raw_orders!K903))</f>
        <v>Copiers</v>
      </c>
      <c r="L903" t="str">
        <f>[1]raw_orders!L903</f>
        <v>Eco Copiers 268</v>
      </c>
      <c r="M903" t="str">
        <f>IF(TRIM([1]raw_orders!M903)="","Unknown",PROPER(TRIM([1]raw_orders!M903)))</f>
        <v>Same Day</v>
      </c>
      <c r="N903" s="5">
        <f>[1]raw_orders!N903</f>
        <v>3</v>
      </c>
      <c r="O903" s="5">
        <f>[1]raw_orders!O903</f>
        <v>1490.69</v>
      </c>
      <c r="P903" s="5">
        <f>[1]raw_orders!P903</f>
        <v>0.25</v>
      </c>
      <c r="Q903" t="str">
        <f>PROPER(TRIM([1]raw_orders!T903))</f>
        <v>Paid</v>
      </c>
      <c r="R903" t="str">
        <f>PROPER(TRIM([1]raw_orders!U903))</f>
        <v>Completed</v>
      </c>
      <c r="S903" s="5">
        <f>[1]raw_orders!S903</f>
        <v>681.38</v>
      </c>
      <c r="T903" s="5">
        <f t="shared" si="112"/>
        <v>6.8137999999999996</v>
      </c>
      <c r="U903" s="5">
        <f t="shared" si="113"/>
        <v>-25999.720565999996</v>
      </c>
      <c r="V903" s="5">
        <f t="shared" si="114"/>
        <v>-25999.970565999996</v>
      </c>
      <c r="W903" s="5">
        <f t="shared" si="115"/>
        <v>1.0000096154879574</v>
      </c>
      <c r="X903" s="5" t="str">
        <f t="shared" si="116"/>
        <v>Invalid Date</v>
      </c>
      <c r="Y903" s="5" t="e">
        <f t="shared" si="117"/>
        <v>#VALUE!</v>
      </c>
      <c r="Z903" s="5" t="e">
        <f t="shared" si="118"/>
        <v>#VALUE!</v>
      </c>
      <c r="AA903" t="str">
        <f t="shared" si="119"/>
        <v>Clean</v>
      </c>
    </row>
    <row r="904" spans="1:27" x14ac:dyDescent="0.3">
      <c r="A904" t="str">
        <f>[1]raw_orders!A904</f>
        <v>ORD-2025-10695</v>
      </c>
      <c r="B904" s="4">
        <f>IFERROR(DATEVALUE([1]raw_orders!B904), "Invalid Date")</f>
        <v>45870</v>
      </c>
      <c r="C904" s="4">
        <f>IFERROR(DATEVALUE([1]raw_orders!C904), "Invalid Date")</f>
        <v>45878</v>
      </c>
      <c r="D904" t="str">
        <f>[1]raw_orders!D904</f>
        <v>CUST-8025</v>
      </c>
      <c r="E904" t="str">
        <f>PROPER(TRIM([1]raw_orders!E904))</f>
        <v>Isha Nair</v>
      </c>
      <c r="F904" t="str">
        <f>PROPER(TRIM([1]raw_orders!F904))</f>
        <v>Consumer</v>
      </c>
      <c r="G904" t="str">
        <f>IF(TRIM([1]raw_orders!G904)="","Unknown",PROPER(TRIM([1]raw_orders!G904)))</f>
        <v>South</v>
      </c>
      <c r="H904" t="str">
        <f>PROPER(TRIM([1]raw_orders!H904))</f>
        <v>Andhra Pradesh</v>
      </c>
      <c r="I904" t="str">
        <f>PROPER(TRIM([1]raw_orders!I904))</f>
        <v>Vijayawada</v>
      </c>
      <c r="J904" t="str">
        <f>PROPER(TRIM([1]raw_orders!J904))</f>
        <v>Office Supplies</v>
      </c>
      <c r="K904" t="str">
        <f>PROPER(TRIM([1]raw_orders!K904))</f>
        <v>Storage</v>
      </c>
      <c r="L904" t="str">
        <f>[1]raw_orders!L904</f>
        <v>Classic Storage 291</v>
      </c>
      <c r="M904" t="str">
        <f>IF(TRIM([1]raw_orders!M904)="","Unknown",PROPER(TRIM([1]raw_orders!M904)))</f>
        <v>First Class</v>
      </c>
      <c r="N904" s="5">
        <f>[1]raw_orders!N904</f>
        <v>5</v>
      </c>
      <c r="O904" s="5">
        <f>[1]raw_orders!O904</f>
        <v>2736.24</v>
      </c>
      <c r="P904" s="5">
        <f>[1]raw_orders!P904</f>
        <v>0.15</v>
      </c>
      <c r="Q904" t="str">
        <f>PROPER(TRIM([1]raw_orders!T904))</f>
        <v>Paid</v>
      </c>
      <c r="R904" t="str">
        <f>PROPER(TRIM([1]raw_orders!U904))</f>
        <v>Completed</v>
      </c>
      <c r="S904" s="5">
        <f>[1]raw_orders!S904</f>
        <v>2001.81</v>
      </c>
      <c r="T904" s="5">
        <f t="shared" si="112"/>
        <v>20.0181</v>
      </c>
      <c r="U904" s="5">
        <f t="shared" si="113"/>
        <v>-260190.42971999999</v>
      </c>
      <c r="V904" s="5">
        <f t="shared" si="114"/>
        <v>-260190.57971999998</v>
      </c>
      <c r="W904" s="5">
        <f t="shared" si="115"/>
        <v>1.0000005765008351</v>
      </c>
      <c r="X904" s="5">
        <f t="shared" si="116"/>
        <v>8</v>
      </c>
      <c r="Y904" s="5">
        <f t="shared" si="117"/>
        <v>8</v>
      </c>
      <c r="Z904" s="5">
        <f t="shared" si="118"/>
        <v>2025</v>
      </c>
      <c r="AA904" t="str">
        <f t="shared" si="119"/>
        <v>Clean</v>
      </c>
    </row>
    <row r="905" spans="1:27" x14ac:dyDescent="0.3">
      <c r="A905" t="str">
        <f>[1]raw_orders!A905</f>
        <v>ORD-2024-10705</v>
      </c>
      <c r="B905" s="4">
        <f>IFERROR(DATEVALUE([1]raw_orders!B905), "Invalid Date")</f>
        <v>45364</v>
      </c>
      <c r="C905" s="4" t="str">
        <f>IFERROR(DATEVALUE([1]raw_orders!C905), "Invalid Date")</f>
        <v>Invalid Date</v>
      </c>
      <c r="D905" t="str">
        <f>[1]raw_orders!D905</f>
        <v>CUST-4916</v>
      </c>
      <c r="E905" t="str">
        <f>PROPER(TRIM([1]raw_orders!E905))</f>
        <v>Priya Menon</v>
      </c>
      <c r="F905" t="str">
        <f>PROPER(TRIM([1]raw_orders!F905))</f>
        <v>Home Office</v>
      </c>
      <c r="G905" t="str">
        <f>IF(TRIM([1]raw_orders!G905)="","Unknown",PROPER(TRIM([1]raw_orders!G905)))</f>
        <v>South</v>
      </c>
      <c r="H905" t="str">
        <f>PROPER(TRIM([1]raw_orders!H905))</f>
        <v>Tamil Nadu</v>
      </c>
      <c r="I905" t="str">
        <f>PROPER(TRIM([1]raw_orders!I905))</f>
        <v>Chennai</v>
      </c>
      <c r="J905" t="str">
        <f>PROPER(TRIM([1]raw_orders!J905))</f>
        <v>Furniture</v>
      </c>
      <c r="K905" t="str">
        <f>PROPER(TRIM([1]raw_orders!K905))</f>
        <v>Bookcases</v>
      </c>
      <c r="L905" t="str">
        <f>[1]raw_orders!L905</f>
        <v>Max Bookcases 738</v>
      </c>
      <c r="M905" t="str">
        <f>IF(TRIM([1]raw_orders!M905)="","Unknown",PROPER(TRIM([1]raw_orders!M905)))</f>
        <v>Unknown</v>
      </c>
      <c r="N905" s="5">
        <f>[1]raw_orders!N905</f>
        <v>1</v>
      </c>
      <c r="O905" s="5">
        <f>[1]raw_orders!O905</f>
        <v>2825.63</v>
      </c>
      <c r="P905" s="5">
        <f>[1]raw_orders!P905</f>
        <v>0.15</v>
      </c>
      <c r="Q905" t="str">
        <f>PROPER(TRIM([1]raw_orders!T905))</f>
        <v>Paid</v>
      </c>
      <c r="R905" t="str">
        <f>PROPER(TRIM([1]raw_orders!U905))</f>
        <v>Completed</v>
      </c>
      <c r="S905" s="5">
        <f>[1]raw_orders!S905</f>
        <v>581.45000000000005</v>
      </c>
      <c r="T905" s="5">
        <f t="shared" si="112"/>
        <v>5.8145000000000007</v>
      </c>
      <c r="U905" s="5">
        <f t="shared" si="113"/>
        <v>-13603.995635000003</v>
      </c>
      <c r="V905" s="5">
        <f t="shared" si="114"/>
        <v>-13604.145635000003</v>
      </c>
      <c r="W905" s="5">
        <f t="shared" si="115"/>
        <v>1.0000110261723116</v>
      </c>
      <c r="X905" s="5" t="str">
        <f t="shared" si="116"/>
        <v>Invalid Date</v>
      </c>
      <c r="Y905" s="5">
        <f t="shared" si="117"/>
        <v>3</v>
      </c>
      <c r="Z905" s="5">
        <f t="shared" si="118"/>
        <v>2024</v>
      </c>
      <c r="AA905" t="str">
        <f t="shared" si="119"/>
        <v>Warning</v>
      </c>
    </row>
    <row r="906" spans="1:27" x14ac:dyDescent="0.3">
      <c r="A906" t="str">
        <f>[1]raw_orders!A906</f>
        <v>ORD-2024-10277</v>
      </c>
      <c r="B906" s="4">
        <f>IFERROR(DATEVALUE([1]raw_orders!B906), "Invalid Date")</f>
        <v>45313</v>
      </c>
      <c r="C906" s="4">
        <f>IFERROR(DATEVALUE([1]raw_orders!C906), "Invalid Date")</f>
        <v>45314</v>
      </c>
      <c r="D906" t="str">
        <f>[1]raw_orders!D906</f>
        <v>CUST-7039</v>
      </c>
      <c r="E906" t="str">
        <f>PROPER(TRIM([1]raw_orders!E906))</f>
        <v>Aarav Sharma</v>
      </c>
      <c r="F906" t="str">
        <f>PROPER(TRIM([1]raw_orders!F906))</f>
        <v>Small Business</v>
      </c>
      <c r="G906" t="str">
        <f>IF(TRIM([1]raw_orders!G906)="","Unknown",PROPER(TRIM([1]raw_orders!G906)))</f>
        <v>Unknown</v>
      </c>
      <c r="H906" t="str">
        <f>PROPER(TRIM([1]raw_orders!H906))</f>
        <v>Assam</v>
      </c>
      <c r="I906" t="str">
        <f>PROPER(TRIM([1]raw_orders!I906))</f>
        <v>Guwahati</v>
      </c>
      <c r="J906" t="str">
        <f>PROPER(TRIM([1]raw_orders!J906))</f>
        <v>Furniture</v>
      </c>
      <c r="K906" t="str">
        <f>PROPER(TRIM([1]raw_orders!K906))</f>
        <v>Chairs</v>
      </c>
      <c r="L906" t="str">
        <f>[1]raw_orders!L906</f>
        <v>Basic Chairs 141</v>
      </c>
      <c r="M906" t="str">
        <f>IF(TRIM([1]raw_orders!M906)="","Unknown",PROPER(TRIM([1]raw_orders!M906)))</f>
        <v>Second Class</v>
      </c>
      <c r="N906" s="5">
        <f>[1]raw_orders!N906</f>
        <v>6</v>
      </c>
      <c r="O906" s="5">
        <f>[1]raw_orders!O906</f>
        <v>3391.53</v>
      </c>
      <c r="P906" s="5">
        <f>[1]raw_orders!P906</f>
        <v>-0.14000000000000001</v>
      </c>
      <c r="Q906" t="str">
        <f>PROPER(TRIM([1]raw_orders!T906))</f>
        <v>Paid</v>
      </c>
      <c r="R906" t="str">
        <f>PROPER(TRIM([1]raw_orders!U906))</f>
        <v>Completed</v>
      </c>
      <c r="S906" s="5">
        <f>[1]raw_orders!S906</f>
        <v>6848.36</v>
      </c>
      <c r="T906" s="5">
        <f t="shared" si="112"/>
        <v>68.483599999999996</v>
      </c>
      <c r="U906" s="5">
        <f t="shared" si="113"/>
        <v>-1373235.9234479999</v>
      </c>
      <c r="V906" s="5">
        <f t="shared" si="114"/>
        <v>-1373235.783448</v>
      </c>
      <c r="W906" s="5">
        <f t="shared" si="115"/>
        <v>0.9999998980510213</v>
      </c>
      <c r="X906" s="5">
        <f t="shared" si="116"/>
        <v>1</v>
      </c>
      <c r="Y906" s="5">
        <f t="shared" si="117"/>
        <v>1</v>
      </c>
      <c r="Z906" s="5">
        <f t="shared" si="118"/>
        <v>2024</v>
      </c>
      <c r="AA906" t="str">
        <f t="shared" si="119"/>
        <v>Warning</v>
      </c>
    </row>
    <row r="907" spans="1:27" x14ac:dyDescent="0.3">
      <c r="A907" t="str">
        <f>[1]raw_orders!A907</f>
        <v>ORD-2025-10633</v>
      </c>
      <c r="B907" s="4">
        <f>IFERROR(DATEVALUE([1]raw_orders!B907), "Invalid Date")</f>
        <v>45762</v>
      </c>
      <c r="C907" s="4">
        <f>IFERROR(DATEVALUE([1]raw_orders!C907), "Invalid Date")</f>
        <v>45763</v>
      </c>
      <c r="D907" t="str">
        <f>[1]raw_orders!D907</f>
        <v>CUST-4593</v>
      </c>
      <c r="E907" t="str">
        <f>PROPER(TRIM([1]raw_orders!E907))</f>
        <v>Sneha Kapoor</v>
      </c>
      <c r="F907" t="str">
        <f>PROPER(TRIM([1]raw_orders!F907))</f>
        <v>Small Business</v>
      </c>
      <c r="G907" t="str">
        <f>IF(TRIM([1]raw_orders!G907)="","Unknown",PROPER(TRIM([1]raw_orders!G907)))</f>
        <v>South</v>
      </c>
      <c r="H907" t="str">
        <f>PROPER(TRIM([1]raw_orders!H907))</f>
        <v>Karnataka</v>
      </c>
      <c r="I907" t="str">
        <f>PROPER(TRIM([1]raw_orders!I907))</f>
        <v>Bengaluru</v>
      </c>
      <c r="J907" t="str">
        <f>PROPER(TRIM([1]raw_orders!J907))</f>
        <v>Furniture</v>
      </c>
      <c r="K907" t="str">
        <f>PROPER(TRIM([1]raw_orders!K907))</f>
        <v>Furnishings</v>
      </c>
      <c r="L907" t="str">
        <f>[1]raw_orders!L907</f>
        <v>Smart Furnishings 721</v>
      </c>
      <c r="M907" t="str">
        <f>IF(TRIM([1]raw_orders!M907)="","Unknown",PROPER(TRIM([1]raw_orders!M907)))</f>
        <v>First Class</v>
      </c>
      <c r="N907" s="5">
        <f>[1]raw_orders!N907</f>
        <v>5</v>
      </c>
      <c r="O907" s="5">
        <f>[1]raw_orders!O907</f>
        <v>2850.53</v>
      </c>
      <c r="P907" s="5">
        <f>[1]raw_orders!P907</f>
        <v>0</v>
      </c>
      <c r="Q907" t="str">
        <f>PROPER(TRIM([1]raw_orders!T907))</f>
        <v>Paid</v>
      </c>
      <c r="R907" t="str">
        <f>PROPER(TRIM([1]raw_orders!U907))</f>
        <v>Completed</v>
      </c>
      <c r="S907" s="5">
        <f>[1]raw_orders!S907</f>
        <v>2694.34</v>
      </c>
      <c r="T907" s="5">
        <f t="shared" si="112"/>
        <v>26.9434</v>
      </c>
      <c r="U907" s="5">
        <f t="shared" si="113"/>
        <v>-369762.20001000003</v>
      </c>
      <c r="V907" s="5">
        <f t="shared" si="114"/>
        <v>-369762.20001000003</v>
      </c>
      <c r="W907" s="5">
        <f t="shared" si="115"/>
        <v>1</v>
      </c>
      <c r="X907" s="5">
        <f t="shared" si="116"/>
        <v>1</v>
      </c>
      <c r="Y907" s="5">
        <f t="shared" si="117"/>
        <v>4</v>
      </c>
      <c r="Z907" s="5">
        <f t="shared" si="118"/>
        <v>2025</v>
      </c>
      <c r="AA907" t="str">
        <f t="shared" si="119"/>
        <v>Clean</v>
      </c>
    </row>
    <row r="908" spans="1:27" x14ac:dyDescent="0.3">
      <c r="A908" t="str">
        <f>[1]raw_orders!A908</f>
        <v>ORD-2025-10730</v>
      </c>
      <c r="B908" s="4">
        <f>IFERROR(DATEVALUE([1]raw_orders!B908), "Invalid Date")</f>
        <v>45794</v>
      </c>
      <c r="C908" s="4">
        <f>IFERROR(DATEVALUE([1]raw_orders!C908), "Invalid Date")</f>
        <v>45802</v>
      </c>
      <c r="D908" t="str">
        <f>[1]raw_orders!D908</f>
        <v>CUST-8713</v>
      </c>
      <c r="E908" t="str">
        <f>PROPER(TRIM([1]raw_orders!E908))</f>
        <v>Ananya Rao</v>
      </c>
      <c r="F908" t="str">
        <f>PROPER(TRIM([1]raw_orders!F908))</f>
        <v>Corporate</v>
      </c>
      <c r="G908" t="str">
        <f>IF(TRIM([1]raw_orders!G908)="","Unknown",PROPER(TRIM([1]raw_orders!G908)))</f>
        <v>South</v>
      </c>
      <c r="H908" t="str">
        <f>PROPER(TRIM([1]raw_orders!H908))</f>
        <v>Tamil Nadu</v>
      </c>
      <c r="I908" t="str">
        <f>PROPER(TRIM([1]raw_orders!I908))</f>
        <v>Chennai</v>
      </c>
      <c r="J908" t="str">
        <f>PROPER(TRIM([1]raw_orders!J908))</f>
        <v>Technology</v>
      </c>
      <c r="K908" t="str">
        <f>PROPER(TRIM([1]raw_orders!K908))</f>
        <v>Machines</v>
      </c>
      <c r="L908" t="str">
        <f>[1]raw_orders!L908</f>
        <v>Pro Machines 563</v>
      </c>
      <c r="M908" t="str">
        <f>IF(TRIM([1]raw_orders!M908)="","Unknown",PROPER(TRIM([1]raw_orders!M908)))</f>
        <v>Same Day</v>
      </c>
      <c r="N908" s="5">
        <f>[1]raw_orders!N908</f>
        <v>6</v>
      </c>
      <c r="O908" s="5">
        <f>[1]raw_orders!O908</f>
        <v>1810.63</v>
      </c>
      <c r="P908" s="5">
        <f>[1]raw_orders!P908</f>
        <v>0.15</v>
      </c>
      <c r="Q908" t="str">
        <f>PROPER(TRIM([1]raw_orders!T908))</f>
        <v>Paid</v>
      </c>
      <c r="R908" t="str">
        <f>PROPER(TRIM([1]raw_orders!U908))</f>
        <v>Completed</v>
      </c>
      <c r="S908" s="5">
        <f>[1]raw_orders!S908</f>
        <v>3717.69</v>
      </c>
      <c r="T908" s="5">
        <f t="shared" si="112"/>
        <v>37.176900000000003</v>
      </c>
      <c r="U908" s="5">
        <f t="shared" si="113"/>
        <v>-393017.88268200005</v>
      </c>
      <c r="V908" s="5">
        <f t="shared" si="114"/>
        <v>-393018.03268200008</v>
      </c>
      <c r="W908" s="5">
        <f t="shared" si="115"/>
        <v>1.0000003816620227</v>
      </c>
      <c r="X908" s="5">
        <f t="shared" si="116"/>
        <v>8</v>
      </c>
      <c r="Y908" s="5">
        <f t="shared" si="117"/>
        <v>5</v>
      </c>
      <c r="Z908" s="5">
        <f t="shared" si="118"/>
        <v>2025</v>
      </c>
      <c r="AA908" t="str">
        <f t="shared" si="119"/>
        <v>Clean</v>
      </c>
    </row>
    <row r="909" spans="1:27" x14ac:dyDescent="0.3">
      <c r="A909" t="str">
        <f>[1]raw_orders!A909</f>
        <v>ORD-2024-10134</v>
      </c>
      <c r="B909" s="4">
        <f>IFERROR(DATEVALUE([1]raw_orders!B909), "Invalid Date")</f>
        <v>45639</v>
      </c>
      <c r="C909" s="4" t="str">
        <f>IFERROR(DATEVALUE([1]raw_orders!C909), "Invalid Date")</f>
        <v>Invalid Date</v>
      </c>
      <c r="D909" t="str">
        <f>[1]raw_orders!D909</f>
        <v>CUST-9441</v>
      </c>
      <c r="E909" t="str">
        <f>PROPER(TRIM([1]raw_orders!E909))</f>
        <v>Karan Malhotra</v>
      </c>
      <c r="F909" t="str">
        <f>PROPER(TRIM([1]raw_orders!F909))</f>
        <v>Consumer</v>
      </c>
      <c r="G909" t="str">
        <f>IF(TRIM([1]raw_orders!G909)="","Unknown",PROPER(TRIM([1]raw_orders!G909)))</f>
        <v>West</v>
      </c>
      <c r="H909" t="str">
        <f>PROPER(TRIM([1]raw_orders!H909))</f>
        <v>Goa</v>
      </c>
      <c r="I909" t="str">
        <f>PROPER(TRIM([1]raw_orders!I909))</f>
        <v>Panaji</v>
      </c>
      <c r="J909" t="str">
        <f>PROPER(TRIM([1]raw_orders!J909))</f>
        <v>Technology</v>
      </c>
      <c r="K909" t="str">
        <f>PROPER(TRIM([1]raw_orders!K909))</f>
        <v>Phones</v>
      </c>
      <c r="L909" t="str">
        <f>[1]raw_orders!L909</f>
        <v>Prime Phones 419</v>
      </c>
      <c r="M909" t="str">
        <f>IF(TRIM([1]raw_orders!M909)="","Unknown",PROPER(TRIM([1]raw_orders!M909)))</f>
        <v>Second Class</v>
      </c>
      <c r="N909" s="5">
        <f>[1]raw_orders!N909</f>
        <v>8</v>
      </c>
      <c r="O909" s="5">
        <f>[1]raw_orders!O909</f>
        <v>3372.15</v>
      </c>
      <c r="P909" s="5">
        <f>[1]raw_orders!P909</f>
        <v>0.15</v>
      </c>
      <c r="Q909" t="str">
        <f>PROPER(TRIM([1]raw_orders!T909))</f>
        <v>Paid</v>
      </c>
      <c r="R909" t="str">
        <f>PROPER(TRIM([1]raw_orders!U909))</f>
        <v>Completed</v>
      </c>
      <c r="S909" s="5">
        <f>[1]raw_orders!S909</f>
        <v>6055.07</v>
      </c>
      <c r="T909" s="5">
        <f t="shared" si="112"/>
        <v>60.550699999999999</v>
      </c>
      <c r="U909" s="5">
        <f t="shared" si="113"/>
        <v>-1606511.1440399999</v>
      </c>
      <c r="V909" s="5">
        <f t="shared" si="114"/>
        <v>-1606511.2940399998</v>
      </c>
      <c r="W909" s="5">
        <f t="shared" si="115"/>
        <v>1.0000000933700339</v>
      </c>
      <c r="X909" s="5" t="str">
        <f t="shared" si="116"/>
        <v>Invalid Date</v>
      </c>
      <c r="Y909" s="5">
        <f t="shared" si="117"/>
        <v>12</v>
      </c>
      <c r="Z909" s="5">
        <f t="shared" si="118"/>
        <v>2024</v>
      </c>
      <c r="AA909" t="str">
        <f t="shared" si="119"/>
        <v>Clean</v>
      </c>
    </row>
    <row r="910" spans="1:27" x14ac:dyDescent="0.3">
      <c r="A910" t="str">
        <f>[1]raw_orders!A910</f>
        <v>ORD-2025-10720</v>
      </c>
      <c r="B910" s="4">
        <f>IFERROR(DATEVALUE([1]raw_orders!B910), "Invalid Date")</f>
        <v>45908</v>
      </c>
      <c r="C910" s="4">
        <f>IFERROR(DATEVALUE([1]raw_orders!C910), "Invalid Date")</f>
        <v>45909</v>
      </c>
      <c r="D910" t="str">
        <f>[1]raw_orders!D910</f>
        <v>CUST-3190</v>
      </c>
      <c r="E910" t="str">
        <f>PROPER(TRIM([1]raw_orders!E910))</f>
        <v>Kabir Singh</v>
      </c>
      <c r="F910" t="str">
        <f>PROPER(TRIM([1]raw_orders!F910))</f>
        <v>Corporate</v>
      </c>
      <c r="G910" t="str">
        <f>IF(TRIM([1]raw_orders!G910)="","Unknown",PROPER(TRIM([1]raw_orders!G910)))</f>
        <v>West</v>
      </c>
      <c r="H910" t="str">
        <f>PROPER(TRIM([1]raw_orders!H910))</f>
        <v>Gujarat</v>
      </c>
      <c r="I910" t="str">
        <f>PROPER(TRIM([1]raw_orders!I910))</f>
        <v>Ahmedabad</v>
      </c>
      <c r="J910" t="str">
        <f>PROPER(TRIM([1]raw_orders!J910))</f>
        <v>Office Supplies</v>
      </c>
      <c r="K910" t="str">
        <f>PROPER(TRIM([1]raw_orders!K910))</f>
        <v>Art</v>
      </c>
      <c r="L910" t="str">
        <f>[1]raw_orders!L910</f>
        <v>Pro Art 447</v>
      </c>
      <c r="M910" t="str">
        <f>IF(TRIM([1]raw_orders!M910)="","Unknown",PROPER(TRIM([1]raw_orders!M910)))</f>
        <v>Same Day</v>
      </c>
      <c r="N910" s="5">
        <f>[1]raw_orders!N910</f>
        <v>2</v>
      </c>
      <c r="O910" s="5">
        <f>[1]raw_orders!O910</f>
        <v>2372.41</v>
      </c>
      <c r="P910" s="5">
        <f>[1]raw_orders!P910</f>
        <v>0.2</v>
      </c>
      <c r="Q910" t="str">
        <f>PROPER(TRIM([1]raw_orders!T910))</f>
        <v>Paid</v>
      </c>
      <c r="R910" t="str">
        <f>PROPER(TRIM([1]raw_orders!U910))</f>
        <v>Completed</v>
      </c>
      <c r="S910" s="5">
        <f>[1]raw_orders!S910</f>
        <v>1530.94</v>
      </c>
      <c r="T910" s="5">
        <f t="shared" si="112"/>
        <v>15.3094</v>
      </c>
      <c r="U910" s="5">
        <f t="shared" si="113"/>
        <v>-67895.52730799999</v>
      </c>
      <c r="V910" s="5">
        <f t="shared" si="114"/>
        <v>-67895.727307999987</v>
      </c>
      <c r="W910" s="5">
        <f t="shared" si="115"/>
        <v>1.0000029457021387</v>
      </c>
      <c r="X910" s="5">
        <f t="shared" si="116"/>
        <v>1</v>
      </c>
      <c r="Y910" s="5">
        <f t="shared" si="117"/>
        <v>9</v>
      </c>
      <c r="Z910" s="5">
        <f t="shared" si="118"/>
        <v>2025</v>
      </c>
      <c r="AA910" t="str">
        <f t="shared" si="119"/>
        <v>Clean</v>
      </c>
    </row>
    <row r="911" spans="1:27" x14ac:dyDescent="0.3">
      <c r="A911" t="str">
        <f>[1]raw_orders!A911</f>
        <v>ORD-2025-10400</v>
      </c>
      <c r="B911" s="4" t="str">
        <f>IFERROR(DATEVALUE([1]raw_orders!B911), "Invalid Date")</f>
        <v>Invalid Date</v>
      </c>
      <c r="C911" s="4">
        <f>IFERROR(DATEVALUE([1]raw_orders!C911), "Invalid Date")</f>
        <v>45776</v>
      </c>
      <c r="D911" t="str">
        <f>[1]raw_orders!D911</f>
        <v>CUST-5647</v>
      </c>
      <c r="E911" t="str">
        <f>PROPER(TRIM([1]raw_orders!E911))</f>
        <v>Diya Patel</v>
      </c>
      <c r="F911" t="str">
        <f>PROPER(TRIM([1]raw_orders!F911))</f>
        <v>Small Business</v>
      </c>
      <c r="G911" t="str">
        <f>IF(TRIM([1]raw_orders!G911)="","Unknown",PROPER(TRIM([1]raw_orders!G911)))</f>
        <v>South</v>
      </c>
      <c r="H911" t="str">
        <f>PROPER(TRIM([1]raw_orders!H911))</f>
        <v>Andhra Pradesh</v>
      </c>
      <c r="I911" t="str">
        <f>PROPER(TRIM([1]raw_orders!I911))</f>
        <v>Vijayawada</v>
      </c>
      <c r="J911" t="str">
        <f>PROPER(TRIM([1]raw_orders!J911))</f>
        <v>Office Supplies</v>
      </c>
      <c r="K911" t="str">
        <f>PROPER(TRIM([1]raw_orders!K911))</f>
        <v>Paper</v>
      </c>
      <c r="L911" t="str">
        <f>[1]raw_orders!L911</f>
        <v>Elite Paper 308</v>
      </c>
      <c r="M911" t="str">
        <f>IF(TRIM([1]raw_orders!M911)="","Unknown",PROPER(TRIM([1]raw_orders!M911)))</f>
        <v>Same Day</v>
      </c>
      <c r="N911" s="5">
        <f>[1]raw_orders!N911</f>
        <v>1</v>
      </c>
      <c r="O911" s="5">
        <f>[1]raw_orders!O911</f>
        <v>4358.5</v>
      </c>
      <c r="P911" s="5">
        <f>[1]raw_orders!P911</f>
        <v>0.25</v>
      </c>
      <c r="Q911" t="str">
        <f>PROPER(TRIM([1]raw_orders!T911))</f>
        <v>Paid</v>
      </c>
      <c r="R911" t="str">
        <f>PROPER(TRIM([1]raw_orders!U911))</f>
        <v>Completed</v>
      </c>
      <c r="S911" s="5">
        <f>[1]raw_orders!S911</f>
        <v>1275.1400000000001</v>
      </c>
      <c r="T911" s="5">
        <f t="shared" si="112"/>
        <v>12.7514</v>
      </c>
      <c r="U911" s="5">
        <f t="shared" si="113"/>
        <v>-51218.476900000001</v>
      </c>
      <c r="V911" s="5">
        <f t="shared" si="114"/>
        <v>-51218.726900000001</v>
      </c>
      <c r="W911" s="5">
        <f t="shared" si="115"/>
        <v>1.0000048810510411</v>
      </c>
      <c r="X911" s="5" t="str">
        <f t="shared" si="116"/>
        <v>Invalid Date</v>
      </c>
      <c r="Y911" s="5" t="e">
        <f t="shared" si="117"/>
        <v>#VALUE!</v>
      </c>
      <c r="Z911" s="5" t="e">
        <f t="shared" si="118"/>
        <v>#VALUE!</v>
      </c>
      <c r="AA911" t="str">
        <f t="shared" si="119"/>
        <v>Clean</v>
      </c>
    </row>
    <row r="912" spans="1:27" x14ac:dyDescent="0.3">
      <c r="A912" t="str">
        <f>[1]raw_orders!A912</f>
        <v>ORD-2024-10124</v>
      </c>
      <c r="B912" s="4" t="str">
        <f>IFERROR(DATEVALUE([1]raw_orders!B912), "Invalid Date")</f>
        <v>Invalid Date</v>
      </c>
      <c r="C912" s="4">
        <f>IFERROR(DATEVALUE([1]raw_orders!C912), "Invalid Date")</f>
        <v>45437</v>
      </c>
      <c r="D912" t="str">
        <f>[1]raw_orders!D912</f>
        <v>CUST-1007</v>
      </c>
      <c r="E912" t="str">
        <f>PROPER(TRIM([1]raw_orders!E912))</f>
        <v>Sneha Kapoor</v>
      </c>
      <c r="F912" t="str">
        <f>PROPER(TRIM([1]raw_orders!F912))</f>
        <v>Small Business</v>
      </c>
      <c r="G912" t="str">
        <f>IF(TRIM([1]raw_orders!G912)="","Unknown",PROPER(TRIM([1]raw_orders!G912)))</f>
        <v>North</v>
      </c>
      <c r="H912" t="str">
        <f>PROPER(TRIM([1]raw_orders!H912))</f>
        <v>Punjab</v>
      </c>
      <c r="I912" t="str">
        <f>PROPER(TRIM([1]raw_orders!I912))</f>
        <v>Ludhiana</v>
      </c>
      <c r="J912" t="str">
        <f>PROPER(TRIM([1]raw_orders!J912))</f>
        <v>Technology</v>
      </c>
      <c r="K912" t="str">
        <f>PROPER(TRIM([1]raw_orders!K912))</f>
        <v>Copiers</v>
      </c>
      <c r="L912" t="str">
        <f>[1]raw_orders!L912</f>
        <v>Max Copiers 970</v>
      </c>
      <c r="M912" t="str">
        <f>IF(TRIM([1]raw_orders!M912)="","Unknown",PROPER(TRIM([1]raw_orders!M912)))</f>
        <v>Same Day</v>
      </c>
      <c r="N912" s="5">
        <f>[1]raw_orders!N912</f>
        <v>1</v>
      </c>
      <c r="O912" s="5">
        <f>[1]raw_orders!O912</f>
        <v>634.13</v>
      </c>
      <c r="P912" s="5">
        <f>[1]raw_orders!P912</f>
        <v>0</v>
      </c>
      <c r="Q912" t="str">
        <f>PROPER(TRIM([1]raw_orders!T912))</f>
        <v>Refunded</v>
      </c>
      <c r="R912" t="str">
        <f>PROPER(TRIM([1]raw_orders!U912))</f>
        <v>Cancelled</v>
      </c>
      <c r="S912" s="5">
        <f>[1]raw_orders!S912</f>
        <v>180.78</v>
      </c>
      <c r="T912" s="5">
        <f t="shared" si="112"/>
        <v>1.8078000000000001</v>
      </c>
      <c r="U912" s="5">
        <f t="shared" si="113"/>
        <v>-512.25021400000003</v>
      </c>
      <c r="V912" s="5">
        <f t="shared" si="114"/>
        <v>-512.25021400000003</v>
      </c>
      <c r="W912" s="5">
        <f t="shared" si="115"/>
        <v>1</v>
      </c>
      <c r="X912" s="5" t="str">
        <f t="shared" si="116"/>
        <v>Invalid Date</v>
      </c>
      <c r="Y912" s="5" t="e">
        <f t="shared" si="117"/>
        <v>#VALUE!</v>
      </c>
      <c r="Z912" s="5" t="e">
        <f t="shared" si="118"/>
        <v>#VALUE!</v>
      </c>
      <c r="AA912" t="str">
        <f t="shared" si="119"/>
        <v>Clean</v>
      </c>
    </row>
    <row r="913" spans="1:27" x14ac:dyDescent="0.3">
      <c r="A913" t="str">
        <f>[1]raw_orders!A913</f>
        <v>ORD-2024-10251</v>
      </c>
      <c r="B913" s="4" t="str">
        <f>IFERROR(DATEVALUE([1]raw_orders!B913), "Invalid Date")</f>
        <v>Invalid Date</v>
      </c>
      <c r="C913" s="4" t="str">
        <f>IFERROR(DATEVALUE([1]raw_orders!C913), "Invalid Date")</f>
        <v>Invalid Date</v>
      </c>
      <c r="D913" t="str">
        <f>[1]raw_orders!D913</f>
        <v>CUST-5351</v>
      </c>
      <c r="E913" t="str">
        <f>PROPER(TRIM([1]raw_orders!E913))</f>
        <v>Arjun Bose</v>
      </c>
      <c r="F913" t="str">
        <f>PROPER(TRIM([1]raw_orders!F913))</f>
        <v>Small Business</v>
      </c>
      <c r="G913" t="str">
        <f>IF(TRIM([1]raw_orders!G913)="","Unknown",PROPER(TRIM([1]raw_orders!G913)))</f>
        <v>East</v>
      </c>
      <c r="H913" t="str">
        <f>PROPER(TRIM([1]raw_orders!H913))</f>
        <v>West Bengal</v>
      </c>
      <c r="I913" t="str">
        <f>PROPER(TRIM([1]raw_orders!I913))</f>
        <v>Kolkata</v>
      </c>
      <c r="J913" t="str">
        <f>PROPER(TRIM([1]raw_orders!J913))</f>
        <v>Furniture</v>
      </c>
      <c r="K913" t="str">
        <f>PROPER(TRIM([1]raw_orders!K913))</f>
        <v>Furnishings</v>
      </c>
      <c r="L913" t="str">
        <f>[1]raw_orders!L913</f>
        <v>Prime Furnishings 781</v>
      </c>
      <c r="M913" t="str">
        <f>IF(TRIM([1]raw_orders!M913)="","Unknown",PROPER(TRIM([1]raw_orders!M913)))</f>
        <v>Standard Class</v>
      </c>
      <c r="N913" s="5">
        <f>[1]raw_orders!N913</f>
        <v>5</v>
      </c>
      <c r="O913" s="5">
        <f>[1]raw_orders!O913</f>
        <v>3373.86</v>
      </c>
      <c r="P913" s="5">
        <f>[1]raw_orders!P913</f>
        <v>0.15</v>
      </c>
      <c r="Q913" t="str">
        <f>PROPER(TRIM([1]raw_orders!T913))</f>
        <v>Pending</v>
      </c>
      <c r="R913" t="str">
        <f>PROPER(TRIM([1]raw_orders!U913))</f>
        <v>Returned</v>
      </c>
      <c r="S913" s="5">
        <f>[1]raw_orders!S913</f>
        <v>2441.25</v>
      </c>
      <c r="T913" s="5">
        <f t="shared" si="112"/>
        <v>24.412500000000001</v>
      </c>
      <c r="U913" s="5">
        <f t="shared" si="113"/>
        <v>-394952.48625000002</v>
      </c>
      <c r="V913" s="5">
        <f t="shared" si="114"/>
        <v>-394952.63625000004</v>
      </c>
      <c r="W913" s="5">
        <f t="shared" si="115"/>
        <v>1.0000003797925199</v>
      </c>
      <c r="X913" s="5" t="str">
        <f t="shared" si="116"/>
        <v>Invalid Date</v>
      </c>
      <c r="Y913" s="5" t="e">
        <f t="shared" si="117"/>
        <v>#VALUE!</v>
      </c>
      <c r="Z913" s="5" t="e">
        <f t="shared" si="118"/>
        <v>#VALUE!</v>
      </c>
      <c r="AA913" t="str">
        <f t="shared" si="119"/>
        <v>Clean</v>
      </c>
    </row>
    <row r="914" spans="1:27" x14ac:dyDescent="0.3">
      <c r="A914" t="str">
        <f>[1]raw_orders!A914</f>
        <v>ORD-2025-10378</v>
      </c>
      <c r="B914" s="4">
        <f>IFERROR(DATEVALUE([1]raw_orders!B914), "Invalid Date")</f>
        <v>45801</v>
      </c>
      <c r="C914" s="4">
        <f>IFERROR(DATEVALUE([1]raw_orders!C914), "Invalid Date")</f>
        <v>45807</v>
      </c>
      <c r="D914" t="str">
        <f>[1]raw_orders!D914</f>
        <v>CUST-4875</v>
      </c>
      <c r="E914" t="str">
        <f>PROPER(TRIM([1]raw_orders!E914))</f>
        <v>Kabir Singh</v>
      </c>
      <c r="F914" t="str">
        <f>PROPER(TRIM([1]raw_orders!F914))</f>
        <v>Small Business</v>
      </c>
      <c r="G914" t="str">
        <f>IF(TRIM([1]raw_orders!G914)="","Unknown",PROPER(TRIM([1]raw_orders!G914)))</f>
        <v>East</v>
      </c>
      <c r="H914" t="str">
        <f>PROPER(TRIM([1]raw_orders!H914))</f>
        <v>Odisha</v>
      </c>
      <c r="I914" t="str">
        <f>PROPER(TRIM([1]raw_orders!I914))</f>
        <v>Bhubaneswar</v>
      </c>
      <c r="J914" t="str">
        <f>PROPER(TRIM([1]raw_orders!J914))</f>
        <v>Office Supplies</v>
      </c>
      <c r="K914" t="str">
        <f>PROPER(TRIM([1]raw_orders!K914))</f>
        <v>Storage</v>
      </c>
      <c r="L914" t="str">
        <f>[1]raw_orders!L914</f>
        <v>Basic Storage 360</v>
      </c>
      <c r="M914" t="str">
        <f>IF(TRIM([1]raw_orders!M914)="","Unknown",PROPER(TRIM([1]raw_orders!M914)))</f>
        <v>Same Day</v>
      </c>
      <c r="N914" s="5">
        <f>[1]raw_orders!N914</f>
        <v>1</v>
      </c>
      <c r="O914" s="5">
        <f>[1]raw_orders!O914</f>
        <v>2564.7399999999998</v>
      </c>
      <c r="P914" s="5">
        <f>[1]raw_orders!P914</f>
        <v>0</v>
      </c>
      <c r="Q914" t="str">
        <f>PROPER(TRIM([1]raw_orders!T914))</f>
        <v>Paid</v>
      </c>
      <c r="R914" t="str">
        <f>PROPER(TRIM([1]raw_orders!U914))</f>
        <v>Completed</v>
      </c>
      <c r="S914" s="5">
        <f>[1]raw_orders!S914</f>
        <v>810.16</v>
      </c>
      <c r="T914" s="5">
        <f t="shared" si="112"/>
        <v>8.1015999999999995</v>
      </c>
      <c r="U914" s="5">
        <f t="shared" si="113"/>
        <v>-18213.757583999995</v>
      </c>
      <c r="V914" s="5">
        <f t="shared" si="114"/>
        <v>-18213.757583999995</v>
      </c>
      <c r="W914" s="5">
        <f t="shared" si="115"/>
        <v>1</v>
      </c>
      <c r="X914" s="5">
        <f t="shared" si="116"/>
        <v>6</v>
      </c>
      <c r="Y914" s="5">
        <f t="shared" si="117"/>
        <v>5</v>
      </c>
      <c r="Z914" s="5">
        <f t="shared" si="118"/>
        <v>2025</v>
      </c>
      <c r="AA914" t="str">
        <f t="shared" si="119"/>
        <v>Clean</v>
      </c>
    </row>
    <row r="915" spans="1:27" x14ac:dyDescent="0.3">
      <c r="A915" t="str">
        <f>[1]raw_orders!A915</f>
        <v>ORD-2024-10281</v>
      </c>
      <c r="B915" s="4" t="str">
        <f>IFERROR(DATEVALUE([1]raw_orders!B915), "Invalid Date")</f>
        <v>Invalid Date</v>
      </c>
      <c r="C915" s="4">
        <f>IFERROR(DATEVALUE([1]raw_orders!C915), "Invalid Date")</f>
        <v>45652</v>
      </c>
      <c r="D915" t="str">
        <f>[1]raw_orders!D915</f>
        <v>CUST-4098</v>
      </c>
      <c r="E915" t="str">
        <f>PROPER(TRIM([1]raw_orders!E915))</f>
        <v>Aditi Sen</v>
      </c>
      <c r="F915" t="str">
        <f>PROPER(TRIM([1]raw_orders!F915))</f>
        <v>Consumer</v>
      </c>
      <c r="G915" t="str">
        <f>IF(TRIM([1]raw_orders!G915)="","Unknown",PROPER(TRIM([1]raw_orders!G915)))</f>
        <v>South</v>
      </c>
      <c r="H915" t="str">
        <f>PROPER(TRIM([1]raw_orders!H915))</f>
        <v>Karnataka</v>
      </c>
      <c r="I915" t="str">
        <f>PROPER(TRIM([1]raw_orders!I915))</f>
        <v>Bengaluru</v>
      </c>
      <c r="J915" t="str">
        <f>PROPER(TRIM([1]raw_orders!J915))</f>
        <v>Technology</v>
      </c>
      <c r="K915" t="str">
        <f>PROPER(TRIM([1]raw_orders!K915))</f>
        <v>Copiers</v>
      </c>
      <c r="L915" t="str">
        <f>[1]raw_orders!L915</f>
        <v>Prime Copiers 961</v>
      </c>
      <c r="M915" t="str">
        <f>IF(TRIM([1]raw_orders!M915)="","Unknown",PROPER(TRIM([1]raw_orders!M915)))</f>
        <v>Standard Class</v>
      </c>
      <c r="N915" s="5">
        <f>[1]raw_orders!N915</f>
        <v>9</v>
      </c>
      <c r="O915" s="5">
        <f>[1]raw_orders!O915</f>
        <v>993.67</v>
      </c>
      <c r="P915" s="5">
        <f>[1]raw_orders!P915</f>
        <v>0</v>
      </c>
      <c r="Q915" t="str">
        <f>PROPER(TRIM([1]raw_orders!T915))</f>
        <v>Paid</v>
      </c>
      <c r="R915" t="str">
        <f>PROPER(TRIM([1]raw_orders!U915))</f>
        <v>Completed</v>
      </c>
      <c r="S915" s="5">
        <f>[1]raw_orders!S915</f>
        <v>3777.65</v>
      </c>
      <c r="T915" s="5">
        <f t="shared" si="112"/>
        <v>37.776499999999999</v>
      </c>
      <c r="U915" s="5">
        <f t="shared" si="113"/>
        <v>-328893.34279499995</v>
      </c>
      <c r="V915" s="5">
        <f t="shared" si="114"/>
        <v>-328893.34279499995</v>
      </c>
      <c r="W915" s="5">
        <f t="shared" si="115"/>
        <v>1</v>
      </c>
      <c r="X915" s="5" t="str">
        <f t="shared" si="116"/>
        <v>Invalid Date</v>
      </c>
      <c r="Y915" s="5" t="e">
        <f t="shared" si="117"/>
        <v>#VALUE!</v>
      </c>
      <c r="Z915" s="5" t="e">
        <f t="shared" si="118"/>
        <v>#VALUE!</v>
      </c>
      <c r="AA915" t="str">
        <f t="shared" si="119"/>
        <v>Clean</v>
      </c>
    </row>
    <row r="916" spans="1:27" x14ac:dyDescent="0.3">
      <c r="A916" t="str">
        <f>[1]raw_orders!A916</f>
        <v>ORD-2024-10713</v>
      </c>
      <c r="B916" s="4">
        <f>IFERROR(DATEVALUE([1]raw_orders!B916), "Invalid Date")</f>
        <v>45332</v>
      </c>
      <c r="C916" s="4">
        <f>IFERROR(DATEVALUE([1]raw_orders!C916), "Invalid Date")</f>
        <v>45340</v>
      </c>
      <c r="D916" t="str">
        <f>[1]raw_orders!D916</f>
        <v>CUST-5127</v>
      </c>
      <c r="E916" t="str">
        <f>PROPER(TRIM([1]raw_orders!E916))</f>
        <v>Isha Nair</v>
      </c>
      <c r="F916" t="str">
        <f>PROPER(TRIM([1]raw_orders!F916))</f>
        <v>Home Office</v>
      </c>
      <c r="G916" t="str">
        <f>IF(TRIM([1]raw_orders!G916)="","Unknown",PROPER(TRIM([1]raw_orders!G916)))</f>
        <v>West</v>
      </c>
      <c r="H916" t="str">
        <f>PROPER(TRIM([1]raw_orders!H916))</f>
        <v>Madhya Pradesh</v>
      </c>
      <c r="I916" t="str">
        <f>PROPER(TRIM([1]raw_orders!I916))</f>
        <v>Indore</v>
      </c>
      <c r="J916" t="str">
        <f>PROPER(TRIM([1]raw_orders!J916))</f>
        <v>Furniture</v>
      </c>
      <c r="K916" t="str">
        <f>PROPER(TRIM([1]raw_orders!K916))</f>
        <v>Chairs</v>
      </c>
      <c r="L916" t="str">
        <f>[1]raw_orders!L916</f>
        <v>Smart Chairs 259</v>
      </c>
      <c r="M916" t="str">
        <f>IF(TRIM([1]raw_orders!M916)="","Unknown",PROPER(TRIM([1]raw_orders!M916)))</f>
        <v>First Class</v>
      </c>
      <c r="N916" s="5">
        <f>[1]raw_orders!N916</f>
        <v>7</v>
      </c>
      <c r="O916" s="5">
        <f>[1]raw_orders!O916</f>
        <v>1382.86</v>
      </c>
      <c r="P916" s="5">
        <f>[1]raw_orders!P916</f>
        <v>0</v>
      </c>
      <c r="Q916" t="str">
        <f>PROPER(TRIM([1]raw_orders!T916))</f>
        <v>Paid</v>
      </c>
      <c r="R916" t="str">
        <f>PROPER(TRIM([1]raw_orders!U916))</f>
        <v>Completed</v>
      </c>
      <c r="S916" s="5">
        <f>[1]raw_orders!S916</f>
        <v>2803.36</v>
      </c>
      <c r="T916" s="5">
        <f t="shared" si="112"/>
        <v>28.0336</v>
      </c>
      <c r="U916" s="5">
        <f t="shared" si="113"/>
        <v>-261685.78867199997</v>
      </c>
      <c r="V916" s="5">
        <f t="shared" si="114"/>
        <v>-261685.78867199997</v>
      </c>
      <c r="W916" s="5">
        <f t="shared" si="115"/>
        <v>1</v>
      </c>
      <c r="X916" s="5">
        <f t="shared" si="116"/>
        <v>8</v>
      </c>
      <c r="Y916" s="5">
        <f t="shared" si="117"/>
        <v>2</v>
      </c>
      <c r="Z916" s="5">
        <f t="shared" si="118"/>
        <v>2024</v>
      </c>
      <c r="AA916" t="str">
        <f t="shared" si="119"/>
        <v>Clean</v>
      </c>
    </row>
    <row r="917" spans="1:27" x14ac:dyDescent="0.3">
      <c r="A917" t="str">
        <f>[1]raw_orders!A917</f>
        <v>ORD-2025-10550</v>
      </c>
      <c r="B917" s="4">
        <f>IFERROR(DATEVALUE([1]raw_orders!B917), "Invalid Date")</f>
        <v>45971</v>
      </c>
      <c r="C917" s="4">
        <f>IFERROR(DATEVALUE([1]raw_orders!C917), "Invalid Date")</f>
        <v>45943</v>
      </c>
      <c r="D917" t="str">
        <f>[1]raw_orders!D917</f>
        <v>CUST-6028</v>
      </c>
      <c r="E917" t="str">
        <f>PROPER(TRIM([1]raw_orders!E917))</f>
        <v>Mira Das</v>
      </c>
      <c r="F917" t="str">
        <f>PROPER(TRIM([1]raw_orders!F917))</f>
        <v>Corporate</v>
      </c>
      <c r="G917" t="str">
        <f>IF(TRIM([1]raw_orders!G917)="","Unknown",PROPER(TRIM([1]raw_orders!G917)))</f>
        <v>South</v>
      </c>
      <c r="H917" t="str">
        <f>PROPER(TRIM([1]raw_orders!H917))</f>
        <v>Telangana</v>
      </c>
      <c r="I917" t="str">
        <f>PROPER(TRIM([1]raw_orders!I917))</f>
        <v>Hyderabad</v>
      </c>
      <c r="J917" t="str">
        <f>PROPER(TRIM([1]raw_orders!J917))</f>
        <v>Office Supplies</v>
      </c>
      <c r="K917" t="str">
        <f>PROPER(TRIM([1]raw_orders!K917))</f>
        <v>Art</v>
      </c>
      <c r="L917" t="str">
        <f>[1]raw_orders!L917</f>
        <v>Pro Art 287</v>
      </c>
      <c r="M917" t="str">
        <f>IF(TRIM([1]raw_orders!M917)="","Unknown",PROPER(TRIM([1]raw_orders!M917)))</f>
        <v>Second Class</v>
      </c>
      <c r="N917" s="5">
        <f>[1]raw_orders!N917</f>
        <v>3</v>
      </c>
      <c r="O917" s="5">
        <f>[1]raw_orders!O917</f>
        <v>3804.27</v>
      </c>
      <c r="P917" s="5">
        <f>[1]raw_orders!P917</f>
        <v>0.1</v>
      </c>
      <c r="Q917" t="str">
        <f>PROPER(TRIM([1]raw_orders!T917))</f>
        <v>Paid</v>
      </c>
      <c r="R917" t="str">
        <f>PROPER(TRIM([1]raw_orders!U917))</f>
        <v>Completed</v>
      </c>
      <c r="S917" s="5">
        <f>[1]raw_orders!S917</f>
        <v>1999.29</v>
      </c>
      <c r="T917" s="5">
        <f t="shared" si="112"/>
        <v>19.992899999999999</v>
      </c>
      <c r="U917" s="5">
        <f t="shared" si="113"/>
        <v>-216762.35904899996</v>
      </c>
      <c r="V917" s="5">
        <f t="shared" si="114"/>
        <v>-216762.45904899997</v>
      </c>
      <c r="W917" s="5">
        <f t="shared" si="115"/>
        <v>1.0000004613347098</v>
      </c>
      <c r="X917" s="5">
        <f t="shared" si="116"/>
        <v>-28</v>
      </c>
      <c r="Y917" s="5">
        <f t="shared" si="117"/>
        <v>11</v>
      </c>
      <c r="Z917" s="5">
        <f t="shared" si="118"/>
        <v>2025</v>
      </c>
      <c r="AA917" t="str">
        <f t="shared" si="119"/>
        <v>Invalid</v>
      </c>
    </row>
    <row r="918" spans="1:27" x14ac:dyDescent="0.3">
      <c r="A918" t="str">
        <f>[1]raw_orders!A918</f>
        <v>ORD-2024-10850</v>
      </c>
      <c r="B918" s="4">
        <f>IFERROR(DATEVALUE([1]raw_orders!B918), "Invalid Date")</f>
        <v>45357</v>
      </c>
      <c r="C918" s="4">
        <f>IFERROR(DATEVALUE([1]raw_orders!C918), "Invalid Date")</f>
        <v>45363</v>
      </c>
      <c r="D918" t="str">
        <f>[1]raw_orders!D918</f>
        <v>CUST-3360</v>
      </c>
      <c r="E918" t="str">
        <f>PROPER(TRIM([1]raw_orders!E918))</f>
        <v>Isha Nair</v>
      </c>
      <c r="F918" t="str">
        <f>PROPER(TRIM([1]raw_orders!F918))</f>
        <v>Home Office</v>
      </c>
      <c r="G918" t="str">
        <f>IF(TRIM([1]raw_orders!G918)="","Unknown",PROPER(TRIM([1]raw_orders!G918)))</f>
        <v>West</v>
      </c>
      <c r="H918" t="str">
        <f>PROPER(TRIM([1]raw_orders!H918))</f>
        <v>Gujarat</v>
      </c>
      <c r="I918" t="str">
        <f>PROPER(TRIM([1]raw_orders!I918))</f>
        <v>Ahmedabad</v>
      </c>
      <c r="J918" t="str">
        <f>PROPER(TRIM([1]raw_orders!J918))</f>
        <v>Furniture</v>
      </c>
      <c r="K918" t="str">
        <f>PROPER(TRIM([1]raw_orders!K918))</f>
        <v>Bookcases</v>
      </c>
      <c r="L918" t="str">
        <f>[1]raw_orders!L918</f>
        <v>Prime Bookcases 755</v>
      </c>
      <c r="M918" t="str">
        <f>IF(TRIM([1]raw_orders!M918)="","Unknown",PROPER(TRIM([1]raw_orders!M918)))</f>
        <v>Standard Class</v>
      </c>
      <c r="N918" s="5">
        <f>[1]raw_orders!N918</f>
        <v>3</v>
      </c>
      <c r="O918" s="5">
        <f>[1]raw_orders!O918</f>
        <v>679.63</v>
      </c>
      <c r="P918" s="5">
        <f>[1]raw_orders!P918</f>
        <v>0.2</v>
      </c>
      <c r="Q918" t="str">
        <f>PROPER(TRIM([1]raw_orders!T918))</f>
        <v>Paid</v>
      </c>
      <c r="R918" t="str">
        <f>PROPER(TRIM([1]raw_orders!U918))</f>
        <v>Completed</v>
      </c>
      <c r="S918" s="5">
        <f>[1]raw_orders!S918</f>
        <v>396.58</v>
      </c>
      <c r="T918" s="5">
        <f t="shared" si="112"/>
        <v>3.9657999999999998</v>
      </c>
      <c r="U918" s="5">
        <f t="shared" si="113"/>
        <v>-6046.9399619999995</v>
      </c>
      <c r="V918" s="5">
        <f t="shared" si="114"/>
        <v>-6047.1399619999993</v>
      </c>
      <c r="W918" s="5">
        <f t="shared" si="115"/>
        <v>1.0000330745800781</v>
      </c>
      <c r="X918" s="5">
        <f t="shared" si="116"/>
        <v>6</v>
      </c>
      <c r="Y918" s="5">
        <f t="shared" si="117"/>
        <v>3</v>
      </c>
      <c r="Z918" s="5">
        <f t="shared" si="118"/>
        <v>2024</v>
      </c>
      <c r="AA918" t="str">
        <f t="shared" si="119"/>
        <v>Clean</v>
      </c>
    </row>
    <row r="919" spans="1:27" x14ac:dyDescent="0.3">
      <c r="A919" t="str">
        <f>[1]raw_orders!A919</f>
        <v>ORD-2025-10128</v>
      </c>
      <c r="B919" s="4" t="str">
        <f>IFERROR(DATEVALUE([1]raw_orders!B919), "Invalid Date")</f>
        <v>Invalid Date</v>
      </c>
      <c r="C919" s="4">
        <f>IFERROR(DATEVALUE([1]raw_orders!C919), "Invalid Date")</f>
        <v>45683</v>
      </c>
      <c r="D919" t="str">
        <f>[1]raw_orders!D919</f>
        <v>CUST-6802</v>
      </c>
      <c r="E919" t="str">
        <f>PROPER(TRIM([1]raw_orders!E919))</f>
        <v>Priya Menon</v>
      </c>
      <c r="F919" t="str">
        <f>PROPER(TRIM([1]raw_orders!F919))</f>
        <v>Corporate</v>
      </c>
      <c r="G919" t="str">
        <f>IF(TRIM([1]raw_orders!G919)="","Unknown",PROPER(TRIM([1]raw_orders!G919)))</f>
        <v>West</v>
      </c>
      <c r="H919" t="str">
        <f>PROPER(TRIM([1]raw_orders!H919))</f>
        <v>Madhya Pradesh</v>
      </c>
      <c r="I919" t="str">
        <f>PROPER(TRIM([1]raw_orders!I919))</f>
        <v>Indore</v>
      </c>
      <c r="J919" t="str">
        <f>PROPER(TRIM([1]raw_orders!J919))</f>
        <v>Office Supplies</v>
      </c>
      <c r="K919" t="str">
        <f>PROPER(TRIM([1]raw_orders!K919))</f>
        <v>Storage</v>
      </c>
      <c r="L919" t="str">
        <f>[1]raw_orders!L919</f>
        <v>Basic Storage 321</v>
      </c>
      <c r="M919" t="str">
        <f>IF(TRIM([1]raw_orders!M919)="","Unknown",PROPER(TRIM([1]raw_orders!M919)))</f>
        <v>Second Class</v>
      </c>
      <c r="N919" s="5">
        <f>[1]raw_orders!N919</f>
        <v>2</v>
      </c>
      <c r="O919" s="5">
        <f>[1]raw_orders!O919</f>
        <v>3039.3</v>
      </c>
      <c r="P919" s="5">
        <f>[1]raw_orders!P919</f>
        <v>0.05</v>
      </c>
      <c r="Q919" t="str">
        <f>PROPER(TRIM([1]raw_orders!T919))</f>
        <v>Paid</v>
      </c>
      <c r="R919" t="str">
        <f>PROPER(TRIM([1]raw_orders!U919))</f>
        <v>Completed</v>
      </c>
      <c r="S919" s="5">
        <f>[1]raw_orders!S919</f>
        <v>2256.31</v>
      </c>
      <c r="T919" s="5">
        <f t="shared" si="112"/>
        <v>22.563099999999999</v>
      </c>
      <c r="U919" s="5">
        <f t="shared" si="113"/>
        <v>-131073.45965999999</v>
      </c>
      <c r="V919" s="5">
        <f t="shared" si="114"/>
        <v>-131073.50965999998</v>
      </c>
      <c r="W919" s="5">
        <f t="shared" si="115"/>
        <v>1.0000003814654783</v>
      </c>
      <c r="X919" s="5" t="str">
        <f t="shared" si="116"/>
        <v>Invalid Date</v>
      </c>
      <c r="Y919" s="5" t="e">
        <f t="shared" si="117"/>
        <v>#VALUE!</v>
      </c>
      <c r="Z919" s="5" t="e">
        <f t="shared" si="118"/>
        <v>#VALUE!</v>
      </c>
      <c r="AA919" t="str">
        <f t="shared" si="119"/>
        <v>Clean</v>
      </c>
    </row>
    <row r="920" spans="1:27" x14ac:dyDescent="0.3">
      <c r="A920" t="str">
        <f>[1]raw_orders!A920</f>
        <v>ORD-2025-10677</v>
      </c>
      <c r="B920" s="4">
        <f>IFERROR(DATEVALUE([1]raw_orders!B920), "Invalid Date")</f>
        <v>45970</v>
      </c>
      <c r="C920" s="4" t="str">
        <f>IFERROR(DATEVALUE([1]raw_orders!C920), "Invalid Date")</f>
        <v>Invalid Date</v>
      </c>
      <c r="D920" t="str">
        <f>[1]raw_orders!D920</f>
        <v>CUST-9212</v>
      </c>
      <c r="E920" t="str">
        <f>PROPER(TRIM([1]raw_orders!E920))</f>
        <v>Rahul Verma</v>
      </c>
      <c r="F920" t="str">
        <f>PROPER(TRIM([1]raw_orders!F920))</f>
        <v>Small Business</v>
      </c>
      <c r="G920" t="str">
        <f>IF(TRIM([1]raw_orders!G920)="","Unknown",PROPER(TRIM([1]raw_orders!G920)))</f>
        <v>North</v>
      </c>
      <c r="H920" t="str">
        <f>PROPER(TRIM([1]raw_orders!H920))</f>
        <v>Delhi</v>
      </c>
      <c r="I920" t="str">
        <f>PROPER(TRIM([1]raw_orders!I920))</f>
        <v>New Delhi</v>
      </c>
      <c r="J920" t="str">
        <f>PROPER(TRIM([1]raw_orders!J920))</f>
        <v>Technology</v>
      </c>
      <c r="K920" t="str">
        <f>PROPER(TRIM([1]raw_orders!K920))</f>
        <v>Phones</v>
      </c>
      <c r="L920" t="str">
        <f>[1]raw_orders!L920</f>
        <v>Smart Phones 967</v>
      </c>
      <c r="M920" t="str">
        <f>IF(TRIM([1]raw_orders!M920)="","Unknown",PROPER(TRIM([1]raw_orders!M920)))</f>
        <v>Same Day</v>
      </c>
      <c r="N920" s="5">
        <f>[1]raw_orders!N920</f>
        <v>7</v>
      </c>
      <c r="O920" s="5">
        <f>[1]raw_orders!O920</f>
        <v>3411.21</v>
      </c>
      <c r="P920" s="5">
        <f>[1]raw_orders!P920</f>
        <v>0.15</v>
      </c>
      <c r="Q920" t="str">
        <f>PROPER(TRIM([1]raw_orders!T920))</f>
        <v>Paid</v>
      </c>
      <c r="R920" t="str">
        <f>PROPER(TRIM([1]raw_orders!U920))</f>
        <v>Completed</v>
      </c>
      <c r="S920" s="5">
        <f>[1]raw_orders!S920</f>
        <v>5375.83</v>
      </c>
      <c r="T920" s="5">
        <f t="shared" si="112"/>
        <v>53.758299999999998</v>
      </c>
      <c r="U920" s="5">
        <f t="shared" si="113"/>
        <v>-1259787.4838010001</v>
      </c>
      <c r="V920" s="5">
        <f t="shared" si="114"/>
        <v>-1259787.633801</v>
      </c>
      <c r="W920" s="5">
        <f t="shared" si="115"/>
        <v>1.0000001190677015</v>
      </c>
      <c r="X920" s="5" t="str">
        <f t="shared" si="116"/>
        <v>Invalid Date</v>
      </c>
      <c r="Y920" s="5">
        <f t="shared" si="117"/>
        <v>11</v>
      </c>
      <c r="Z920" s="5">
        <f t="shared" si="118"/>
        <v>2025</v>
      </c>
      <c r="AA920" t="str">
        <f t="shared" si="119"/>
        <v>Clean</v>
      </c>
    </row>
    <row r="921" spans="1:27" x14ac:dyDescent="0.3">
      <c r="A921" t="str">
        <f>[1]raw_orders!A921</f>
        <v>ORD-2025-10007</v>
      </c>
      <c r="B921" s="4">
        <f>IFERROR(DATEVALUE([1]raw_orders!B921), "Invalid Date")</f>
        <v>45934</v>
      </c>
      <c r="C921" s="4" t="str">
        <f>IFERROR(DATEVALUE([1]raw_orders!C921), "Invalid Date")</f>
        <v>Invalid Date</v>
      </c>
      <c r="D921" t="str">
        <f>[1]raw_orders!D921</f>
        <v>CUST-3656</v>
      </c>
      <c r="E921" t="str">
        <f>PROPER(TRIM([1]raw_orders!E921))</f>
        <v>Neha Gupta</v>
      </c>
      <c r="F921" t="str">
        <f>PROPER(TRIM([1]raw_orders!F921))</f>
        <v>Consumer</v>
      </c>
      <c r="G921" t="str">
        <f>IF(TRIM([1]raw_orders!G921)="","Unknown",PROPER(TRIM([1]raw_orders!G921)))</f>
        <v>East</v>
      </c>
      <c r="H921" t="str">
        <f>PROPER(TRIM([1]raw_orders!H921))</f>
        <v>Odisha</v>
      </c>
      <c r="I921" t="str">
        <f>PROPER(TRIM([1]raw_orders!I921))</f>
        <v>Bhubaneswar</v>
      </c>
      <c r="J921" t="str">
        <f>PROPER(TRIM([1]raw_orders!J921))</f>
        <v>Technology</v>
      </c>
      <c r="K921" t="str">
        <f>PROPER(TRIM([1]raw_orders!K921))</f>
        <v>Copiers</v>
      </c>
      <c r="L921" t="str">
        <f>[1]raw_orders!L921</f>
        <v>Eco Copiers 790</v>
      </c>
      <c r="M921" t="str">
        <f>IF(TRIM([1]raw_orders!M921)="","Unknown",PROPER(TRIM([1]raw_orders!M921)))</f>
        <v>Standard Class</v>
      </c>
      <c r="N921" s="5">
        <f>[1]raw_orders!N921</f>
        <v>4</v>
      </c>
      <c r="O921" s="5">
        <f>[1]raw_orders!O921</f>
        <v>1719.87</v>
      </c>
      <c r="P921" s="5">
        <f>[1]raw_orders!P921</f>
        <v>0.15</v>
      </c>
      <c r="Q921" t="str">
        <f>PROPER(TRIM([1]raw_orders!T921))</f>
        <v>Paid</v>
      </c>
      <c r="R921" t="str">
        <f>PROPER(TRIM([1]raw_orders!U921))</f>
        <v>Completed</v>
      </c>
      <c r="S921" s="5">
        <f>[1]raw_orders!S921</f>
        <v>1120.31</v>
      </c>
      <c r="T921" s="5">
        <f t="shared" si="112"/>
        <v>11.203099999999999</v>
      </c>
      <c r="U921" s="5">
        <f t="shared" si="113"/>
        <v>-70192.022387999983</v>
      </c>
      <c r="V921" s="5">
        <f t="shared" si="114"/>
        <v>-70192.172387999977</v>
      </c>
      <c r="W921" s="5">
        <f t="shared" si="115"/>
        <v>1.0000021369949874</v>
      </c>
      <c r="X921" s="5" t="str">
        <f t="shared" si="116"/>
        <v>Invalid Date</v>
      </c>
      <c r="Y921" s="5">
        <f t="shared" si="117"/>
        <v>10</v>
      </c>
      <c r="Z921" s="5">
        <f t="shared" si="118"/>
        <v>2025</v>
      </c>
      <c r="AA921" t="str">
        <f t="shared" si="119"/>
        <v>Clean</v>
      </c>
    </row>
    <row r="922" spans="1:27" x14ac:dyDescent="0.3">
      <c r="A922" t="str">
        <f>[1]raw_orders!A922</f>
        <v>ORD-2024-10332</v>
      </c>
      <c r="B922" s="4">
        <f>IFERROR(DATEVALUE([1]raw_orders!B922), "Invalid Date")</f>
        <v>45630</v>
      </c>
      <c r="C922" s="4">
        <f>IFERROR(DATEVALUE([1]raw_orders!C922), "Invalid Date")</f>
        <v>45632</v>
      </c>
      <c r="D922" t="str">
        <f>[1]raw_orders!D922</f>
        <v>CUST-9346</v>
      </c>
      <c r="E922" t="str">
        <f>PROPER(TRIM([1]raw_orders!E922))</f>
        <v>Sneha Kapoor</v>
      </c>
      <c r="F922" t="str">
        <f>PROPER(TRIM([1]raw_orders!F922))</f>
        <v>Home Office</v>
      </c>
      <c r="G922" t="str">
        <f>IF(TRIM([1]raw_orders!G922)="","Unknown",PROPER(TRIM([1]raw_orders!G922)))</f>
        <v>East</v>
      </c>
      <c r="H922" t="str">
        <f>PROPER(TRIM([1]raw_orders!H922))</f>
        <v>Odisha</v>
      </c>
      <c r="I922" t="str">
        <f>PROPER(TRIM([1]raw_orders!I922))</f>
        <v>Bhubaneswar</v>
      </c>
      <c r="J922" t="str">
        <f>PROPER(TRIM([1]raw_orders!J922))</f>
        <v>Office Supplies</v>
      </c>
      <c r="K922" t="str">
        <f>PROPER(TRIM([1]raw_orders!K922))</f>
        <v>Binders</v>
      </c>
      <c r="L922" t="str">
        <f>[1]raw_orders!L922</f>
        <v>Smart Binders 939</v>
      </c>
      <c r="M922" t="str">
        <f>IF(TRIM([1]raw_orders!M922)="","Unknown",PROPER(TRIM([1]raw_orders!M922)))</f>
        <v>Second Class</v>
      </c>
      <c r="N922" s="5">
        <f>[1]raw_orders!N922</f>
        <v>4</v>
      </c>
      <c r="O922" s="5">
        <f>[1]raw_orders!O922</f>
        <v>2685.66</v>
      </c>
      <c r="P922" s="5">
        <f>[1]raw_orders!P922</f>
        <v>0</v>
      </c>
      <c r="Q922" t="str">
        <f>PROPER(TRIM([1]raw_orders!T922))</f>
        <v>Paid</v>
      </c>
      <c r="R922" t="str">
        <f>PROPER(TRIM([1]raw_orders!U922))</f>
        <v>Completed</v>
      </c>
      <c r="S922" s="5">
        <f>[1]raw_orders!S922</f>
        <v>4265.2700000000004</v>
      </c>
      <c r="T922" s="5">
        <f t="shared" si="112"/>
        <v>42.652700000000003</v>
      </c>
      <c r="U922" s="5">
        <f t="shared" si="113"/>
        <v>-447459.961128</v>
      </c>
      <c r="V922" s="5">
        <f t="shared" si="114"/>
        <v>-447459.961128</v>
      </c>
      <c r="W922" s="5">
        <f t="shared" si="115"/>
        <v>1</v>
      </c>
      <c r="X922" s="5">
        <f t="shared" si="116"/>
        <v>2</v>
      </c>
      <c r="Y922" s="5">
        <f t="shared" si="117"/>
        <v>12</v>
      </c>
      <c r="Z922" s="5">
        <f t="shared" si="118"/>
        <v>2024</v>
      </c>
      <c r="AA922" t="str">
        <f t="shared" si="119"/>
        <v>Clean</v>
      </c>
    </row>
    <row r="923" spans="1:27" x14ac:dyDescent="0.3">
      <c r="A923" t="str">
        <f>[1]raw_orders!A923</f>
        <v>ORD-2025-10091</v>
      </c>
      <c r="B923" s="4" t="str">
        <f>IFERROR(DATEVALUE([1]raw_orders!B923), "Invalid Date")</f>
        <v>Invalid Date</v>
      </c>
      <c r="C923" s="4">
        <f>IFERROR(DATEVALUE([1]raw_orders!C923), "Invalid Date")</f>
        <v>45898</v>
      </c>
      <c r="D923" t="str">
        <f>[1]raw_orders!D923</f>
        <v>CUST-5909</v>
      </c>
      <c r="E923" t="str">
        <f>PROPER(TRIM([1]raw_orders!E923))</f>
        <v>Aarav Sharma</v>
      </c>
      <c r="F923" t="str">
        <f>PROPER(TRIM([1]raw_orders!F923))</f>
        <v>Small Business</v>
      </c>
      <c r="G923" t="str">
        <f>IF(TRIM([1]raw_orders!G923)="","Unknown",PROPER(TRIM([1]raw_orders!G923)))</f>
        <v>East</v>
      </c>
      <c r="H923" t="str">
        <f>PROPER(TRIM([1]raw_orders!H923))</f>
        <v>Bihar</v>
      </c>
      <c r="I923" t="str">
        <f>PROPER(TRIM([1]raw_orders!I923))</f>
        <v>Patna</v>
      </c>
      <c r="J923" t="str">
        <f>PROPER(TRIM([1]raw_orders!J923))</f>
        <v>Technology</v>
      </c>
      <c r="K923" t="str">
        <f>PROPER(TRIM([1]raw_orders!K923))</f>
        <v>Copiers</v>
      </c>
      <c r="L923" t="str">
        <f>[1]raw_orders!L923</f>
        <v>Smart Copiers 556</v>
      </c>
      <c r="M923" t="str">
        <f>IF(TRIM([1]raw_orders!M923)="","Unknown",PROPER(TRIM([1]raw_orders!M923)))</f>
        <v>First Class</v>
      </c>
      <c r="N923" s="5">
        <f>[1]raw_orders!N923</f>
        <v>3</v>
      </c>
      <c r="O923" s="5">
        <f>[1]raw_orders!O923</f>
        <v>3703.96</v>
      </c>
      <c r="P923" s="5">
        <f>[1]raw_orders!P923</f>
        <v>0.15</v>
      </c>
      <c r="Q923" t="str">
        <f>PROPER(TRIM([1]raw_orders!T923))</f>
        <v>Paid</v>
      </c>
      <c r="R923" t="str">
        <f>PROPER(TRIM([1]raw_orders!U923))</f>
        <v>Returned</v>
      </c>
      <c r="S923" s="5">
        <f>[1]raw_orders!S923</f>
        <v>3858.82</v>
      </c>
      <c r="T923" s="5">
        <f t="shared" si="112"/>
        <v>38.588200000000001</v>
      </c>
      <c r="U923" s="5">
        <f t="shared" si="113"/>
        <v>-417675.56781600002</v>
      </c>
      <c r="V923" s="5">
        <f t="shared" si="114"/>
        <v>-417675.71781600005</v>
      </c>
      <c r="W923" s="5">
        <f t="shared" si="115"/>
        <v>1.000000359130415</v>
      </c>
      <c r="X923" s="5" t="str">
        <f t="shared" si="116"/>
        <v>Invalid Date</v>
      </c>
      <c r="Y923" s="5" t="e">
        <f t="shared" si="117"/>
        <v>#VALUE!</v>
      </c>
      <c r="Z923" s="5" t="e">
        <f t="shared" si="118"/>
        <v>#VALUE!</v>
      </c>
      <c r="AA923" t="str">
        <f t="shared" si="119"/>
        <v>Clean</v>
      </c>
    </row>
    <row r="924" spans="1:27" x14ac:dyDescent="0.3">
      <c r="A924" t="str">
        <f>[1]raw_orders!A924</f>
        <v>ORD-2025-10374</v>
      </c>
      <c r="B924" s="4">
        <f>IFERROR(DATEVALUE([1]raw_orders!B924), "Invalid Date")</f>
        <v>45760</v>
      </c>
      <c r="C924" s="4">
        <f>IFERROR(DATEVALUE([1]raw_orders!C924), "Invalid Date")</f>
        <v>45760</v>
      </c>
      <c r="D924" t="str">
        <f>[1]raw_orders!D924</f>
        <v>CUST-8566</v>
      </c>
      <c r="E924" t="str">
        <f>PROPER(TRIM([1]raw_orders!E924))</f>
        <v>Sneha Kapoor</v>
      </c>
      <c r="F924" t="str">
        <f>PROPER(TRIM([1]raw_orders!F924))</f>
        <v>Small Business</v>
      </c>
      <c r="G924" t="str">
        <f>IF(TRIM([1]raw_orders!G924)="","Unknown",PROPER(TRIM([1]raw_orders!G924)))</f>
        <v>North</v>
      </c>
      <c r="H924" t="str">
        <f>PROPER(TRIM([1]raw_orders!H924))</f>
        <v>Uttar Pradesh</v>
      </c>
      <c r="I924" t="str">
        <f>PROPER(TRIM([1]raw_orders!I924))</f>
        <v>Noida</v>
      </c>
      <c r="J924" t="str">
        <f>PROPER(TRIM([1]raw_orders!J924))</f>
        <v>Office Supplies</v>
      </c>
      <c r="K924" t="str">
        <f>PROPER(TRIM([1]raw_orders!K924))</f>
        <v>Storage</v>
      </c>
      <c r="L924" t="str">
        <f>[1]raw_orders!L924</f>
        <v>Prime Storage 951</v>
      </c>
      <c r="M924" t="str">
        <f>IF(TRIM([1]raw_orders!M924)="","Unknown",PROPER(TRIM([1]raw_orders!M924)))</f>
        <v>Second Class</v>
      </c>
      <c r="N924" s="5">
        <f>[1]raw_orders!N924</f>
        <v>9</v>
      </c>
      <c r="O924" s="5">
        <f>[1]raw_orders!O924</f>
        <v>1118.68</v>
      </c>
      <c r="P924" s="5">
        <f>[1]raw_orders!P924</f>
        <v>0</v>
      </c>
      <c r="Q924" t="str">
        <f>PROPER(TRIM([1]raw_orders!T924))</f>
        <v>Paid</v>
      </c>
      <c r="R924" t="str">
        <f>PROPER(TRIM([1]raw_orders!U924))</f>
        <v>Returned</v>
      </c>
      <c r="S924" s="5">
        <f>[1]raw_orders!S924</f>
        <v>1472.75</v>
      </c>
      <c r="T924" s="5">
        <f t="shared" si="112"/>
        <v>14.727499999999999</v>
      </c>
      <c r="U924" s="5">
        <f t="shared" si="113"/>
        <v>-138210.11730000001</v>
      </c>
      <c r="V924" s="5">
        <f t="shared" si="114"/>
        <v>-138210.11730000001</v>
      </c>
      <c r="W924" s="5">
        <f t="shared" si="115"/>
        <v>1</v>
      </c>
      <c r="X924" s="5">
        <f t="shared" si="116"/>
        <v>0</v>
      </c>
      <c r="Y924" s="5">
        <f t="shared" si="117"/>
        <v>4</v>
      </c>
      <c r="Z924" s="5">
        <f t="shared" si="118"/>
        <v>2025</v>
      </c>
      <c r="AA924" t="str">
        <f t="shared" si="119"/>
        <v>Clean</v>
      </c>
    </row>
    <row r="925" spans="1:27" x14ac:dyDescent="0.3">
      <c r="A925" t="str">
        <f>[1]raw_orders!A925</f>
        <v>ORD-2025-10225</v>
      </c>
      <c r="B925" s="4">
        <f>IFERROR(DATEVALUE([1]raw_orders!B925), "Invalid Date")</f>
        <v>45698</v>
      </c>
      <c r="C925" s="4">
        <f>IFERROR(DATEVALUE([1]raw_orders!C925), "Invalid Date")</f>
        <v>45938</v>
      </c>
      <c r="D925" t="str">
        <f>[1]raw_orders!D925</f>
        <v>CUST-9871</v>
      </c>
      <c r="E925" t="str">
        <f>PROPER(TRIM([1]raw_orders!E925))</f>
        <v>Isha Nair</v>
      </c>
      <c r="F925" t="str">
        <f>PROPER(TRIM([1]raw_orders!F925))</f>
        <v>Small Business</v>
      </c>
      <c r="G925" t="str">
        <f>IF(TRIM([1]raw_orders!G925)="","Unknown",PROPER(TRIM([1]raw_orders!G925)))</f>
        <v>North</v>
      </c>
      <c r="H925" t="str">
        <f>PROPER(TRIM([1]raw_orders!H925))</f>
        <v>Punjab</v>
      </c>
      <c r="I925" t="str">
        <f>PROPER(TRIM([1]raw_orders!I925))</f>
        <v>Ludhiana</v>
      </c>
      <c r="J925" t="str">
        <f>PROPER(TRIM([1]raw_orders!J925))</f>
        <v>Furniture</v>
      </c>
      <c r="K925" t="str">
        <f>PROPER(TRIM([1]raw_orders!K925))</f>
        <v>Furnishings</v>
      </c>
      <c r="L925" t="str">
        <f>[1]raw_orders!L925</f>
        <v>Classic Furnishings 109</v>
      </c>
      <c r="M925" t="str">
        <f>IF(TRIM([1]raw_orders!M925)="","Unknown",PROPER(TRIM([1]raw_orders!M925)))</f>
        <v>Standard Class</v>
      </c>
      <c r="N925" s="5">
        <f>[1]raw_orders!N925</f>
        <v>4</v>
      </c>
      <c r="O925" s="5">
        <f>[1]raw_orders!O925</f>
        <v>3944.64</v>
      </c>
      <c r="P925" s="5">
        <f>[1]raw_orders!P925</f>
        <v>0.25</v>
      </c>
      <c r="Q925" t="str">
        <f>PROPER(TRIM([1]raw_orders!T925))</f>
        <v>Paid</v>
      </c>
      <c r="R925" t="str">
        <f>PROPER(TRIM([1]raw_orders!U925))</f>
        <v>Returned</v>
      </c>
      <c r="S925" s="5">
        <f>[1]raw_orders!S925</f>
        <v>5151</v>
      </c>
      <c r="T925" s="5">
        <f t="shared" si="112"/>
        <v>51.51</v>
      </c>
      <c r="U925" s="5">
        <f t="shared" si="113"/>
        <v>-796975.06559999997</v>
      </c>
      <c r="V925" s="5">
        <f t="shared" si="114"/>
        <v>-796975.31559999997</v>
      </c>
      <c r="W925" s="5">
        <f t="shared" si="115"/>
        <v>1.0000003136860998</v>
      </c>
      <c r="X925" s="5">
        <f t="shared" si="116"/>
        <v>240</v>
      </c>
      <c r="Y925" s="5">
        <f t="shared" si="117"/>
        <v>2</v>
      </c>
      <c r="Z925" s="5">
        <f t="shared" si="118"/>
        <v>2025</v>
      </c>
      <c r="AA925" t="str">
        <f t="shared" si="119"/>
        <v>Clean</v>
      </c>
    </row>
    <row r="926" spans="1:27" x14ac:dyDescent="0.3">
      <c r="A926" t="str">
        <f>[1]raw_orders!A926</f>
        <v>ORD-2025-10315</v>
      </c>
      <c r="B926" s="4" t="str">
        <f>IFERROR(DATEVALUE([1]raw_orders!B926), "Invalid Date")</f>
        <v>Invalid Date</v>
      </c>
      <c r="C926" s="4">
        <f>IFERROR(DATEVALUE([1]raw_orders!C926), "Invalid Date")</f>
        <v>45797</v>
      </c>
      <c r="D926" t="str">
        <f>[1]raw_orders!D926</f>
        <v>CUST-1945</v>
      </c>
      <c r="E926" t="str">
        <f>PROPER(TRIM([1]raw_orders!E926))</f>
        <v>Isha Nair</v>
      </c>
      <c r="F926" t="str">
        <f>PROPER(TRIM([1]raw_orders!F926))</f>
        <v>Corporate</v>
      </c>
      <c r="G926" t="str">
        <f>IF(TRIM([1]raw_orders!G926)="","Unknown",PROPER(TRIM([1]raw_orders!G926)))</f>
        <v>West</v>
      </c>
      <c r="H926" t="str">
        <f>PROPER(TRIM([1]raw_orders!H926))</f>
        <v>Madhya Pradesh</v>
      </c>
      <c r="I926" t="str">
        <f>PROPER(TRIM([1]raw_orders!I926))</f>
        <v>Indore</v>
      </c>
      <c r="J926" t="str">
        <f>PROPER(TRIM([1]raw_orders!J926))</f>
        <v>Office Supplies</v>
      </c>
      <c r="K926" t="str">
        <f>PROPER(TRIM([1]raw_orders!K926))</f>
        <v>Labels</v>
      </c>
      <c r="L926" t="str">
        <f>[1]raw_orders!L926</f>
        <v>Elite Labels 544</v>
      </c>
      <c r="M926" t="str">
        <f>IF(TRIM([1]raw_orders!M926)="","Unknown",PROPER(TRIM([1]raw_orders!M926)))</f>
        <v>Standard Class</v>
      </c>
      <c r="N926" s="5">
        <f>[1]raw_orders!N926</f>
        <v>9</v>
      </c>
      <c r="O926" s="5">
        <f>[1]raw_orders!O926</f>
        <v>847.76</v>
      </c>
      <c r="P926" s="5">
        <f>[1]raw_orders!P926</f>
        <v>0.15</v>
      </c>
      <c r="Q926" t="str">
        <f>PROPER(TRIM([1]raw_orders!T926))</f>
        <v>Failed</v>
      </c>
      <c r="R926" t="str">
        <f>PROPER(TRIM([1]raw_orders!U926))</f>
        <v>Completed</v>
      </c>
      <c r="S926" s="5">
        <f>[1]raw_orders!S926</f>
        <v>1109.19</v>
      </c>
      <c r="T926" s="5">
        <f t="shared" si="112"/>
        <v>11.091900000000001</v>
      </c>
      <c r="U926" s="5">
        <f t="shared" si="113"/>
        <v>-76999.582296000008</v>
      </c>
      <c r="V926" s="5">
        <f t="shared" si="114"/>
        <v>-76999.732296000002</v>
      </c>
      <c r="W926" s="5">
        <f t="shared" si="115"/>
        <v>1.0000019480625157</v>
      </c>
      <c r="X926" s="5" t="str">
        <f t="shared" si="116"/>
        <v>Invalid Date</v>
      </c>
      <c r="Y926" s="5" t="e">
        <f t="shared" si="117"/>
        <v>#VALUE!</v>
      </c>
      <c r="Z926" s="5" t="e">
        <f t="shared" si="118"/>
        <v>#VALUE!</v>
      </c>
      <c r="AA926" t="str">
        <f t="shared" si="119"/>
        <v>Clean</v>
      </c>
    </row>
    <row r="927" spans="1:27" x14ac:dyDescent="0.3">
      <c r="A927" t="str">
        <f>[1]raw_orders!A927</f>
        <v>ORD-2025-10171</v>
      </c>
      <c r="B927" s="4">
        <f>IFERROR(DATEVALUE([1]raw_orders!B927), "Invalid Date")</f>
        <v>45907</v>
      </c>
      <c r="C927" s="4" t="str">
        <f>IFERROR(DATEVALUE([1]raw_orders!C927), "Invalid Date")</f>
        <v>Invalid Date</v>
      </c>
      <c r="D927" t="str">
        <f>[1]raw_orders!D927</f>
        <v>CUST-3734</v>
      </c>
      <c r="E927" t="str">
        <f>PROPER(TRIM([1]raw_orders!E927))</f>
        <v>Rohan Mehta</v>
      </c>
      <c r="F927" t="str">
        <f>PROPER(TRIM([1]raw_orders!F927))</f>
        <v>Corporate</v>
      </c>
      <c r="G927" t="str">
        <f>IF(TRIM([1]raw_orders!G927)="","Unknown",PROPER(TRIM([1]raw_orders!G927)))</f>
        <v>East</v>
      </c>
      <c r="H927" t="str">
        <f>PROPER(TRIM([1]raw_orders!H927))</f>
        <v>Bihar</v>
      </c>
      <c r="I927" t="str">
        <f>PROPER(TRIM([1]raw_orders!I927))</f>
        <v>Patna</v>
      </c>
      <c r="J927" t="str">
        <f>PROPER(TRIM([1]raw_orders!J927))</f>
        <v>Technology</v>
      </c>
      <c r="K927" t="str">
        <f>PROPER(TRIM([1]raw_orders!K927))</f>
        <v>Copiers</v>
      </c>
      <c r="L927" t="str">
        <f>[1]raw_orders!L927</f>
        <v>Eco Copiers 102</v>
      </c>
      <c r="M927" t="str">
        <f>IF(TRIM([1]raw_orders!M927)="","Unknown",PROPER(TRIM([1]raw_orders!M927)))</f>
        <v>Standard Class</v>
      </c>
      <c r="N927" s="5">
        <f>[1]raw_orders!N927</f>
        <v>3</v>
      </c>
      <c r="O927" s="5">
        <f>[1]raw_orders!O927</f>
        <v>1711.32</v>
      </c>
      <c r="P927" s="5">
        <f>[1]raw_orders!P927</f>
        <v>0</v>
      </c>
      <c r="Q927" t="str">
        <f>PROPER(TRIM([1]raw_orders!T927))</f>
        <v>Paid</v>
      </c>
      <c r="R927" t="str">
        <f>PROPER(TRIM([1]raw_orders!U927))</f>
        <v>Returned</v>
      </c>
      <c r="S927" s="5">
        <f>[1]raw_orders!S927</f>
        <v>1203.96</v>
      </c>
      <c r="T927" s="5">
        <f t="shared" si="112"/>
        <v>12.0396</v>
      </c>
      <c r="U927" s="5">
        <f t="shared" si="113"/>
        <v>-56676.864816000001</v>
      </c>
      <c r="V927" s="5">
        <f t="shared" si="114"/>
        <v>-56676.864816000001</v>
      </c>
      <c r="W927" s="5">
        <f t="shared" si="115"/>
        <v>1</v>
      </c>
      <c r="X927" s="5" t="str">
        <f t="shared" si="116"/>
        <v>Invalid Date</v>
      </c>
      <c r="Y927" s="5">
        <f t="shared" si="117"/>
        <v>9</v>
      </c>
      <c r="Z927" s="5">
        <f t="shared" si="118"/>
        <v>2025</v>
      </c>
      <c r="AA927" t="str">
        <f t="shared" si="119"/>
        <v>Clean</v>
      </c>
    </row>
    <row r="928" spans="1:27" x14ac:dyDescent="0.3">
      <c r="A928" t="str">
        <f>[1]raw_orders!A928</f>
        <v>ORD-2024-10424</v>
      </c>
      <c r="B928" s="4">
        <f>IFERROR(DATEVALUE([1]raw_orders!B928), "Invalid Date")</f>
        <v>45342</v>
      </c>
      <c r="C928" s="4">
        <f>IFERROR(DATEVALUE([1]raw_orders!C928), "Invalid Date")</f>
        <v>45349</v>
      </c>
      <c r="D928" t="str">
        <f>[1]raw_orders!D928</f>
        <v>CUST-6169</v>
      </c>
      <c r="E928" t="str">
        <f>PROPER(TRIM([1]raw_orders!E928))</f>
        <v>Diya Patel</v>
      </c>
      <c r="F928" t="str">
        <f>PROPER(TRIM([1]raw_orders!F928))</f>
        <v>Consumer</v>
      </c>
      <c r="G928" t="str">
        <f>IF(TRIM([1]raw_orders!G928)="","Unknown",PROPER(TRIM([1]raw_orders!G928)))</f>
        <v>South</v>
      </c>
      <c r="H928" t="str">
        <f>PROPER(TRIM([1]raw_orders!H928))</f>
        <v>Kerala</v>
      </c>
      <c r="I928" t="str">
        <f>PROPER(TRIM([1]raw_orders!I928))</f>
        <v>Kochi</v>
      </c>
      <c r="J928" t="str">
        <f>PROPER(TRIM([1]raw_orders!J928))</f>
        <v>Technology</v>
      </c>
      <c r="K928" t="str">
        <f>PROPER(TRIM([1]raw_orders!K928))</f>
        <v>Accessories</v>
      </c>
      <c r="L928" t="str">
        <f>[1]raw_orders!L928</f>
        <v>Prime Accessories 236</v>
      </c>
      <c r="M928" t="str">
        <f>IF(TRIM([1]raw_orders!M928)="","Unknown",PROPER(TRIM([1]raw_orders!M928)))</f>
        <v>First Class</v>
      </c>
      <c r="N928" s="5">
        <f>[1]raw_orders!N928</f>
        <v>9</v>
      </c>
      <c r="O928" s="5">
        <f>[1]raw_orders!O928</f>
        <v>3779.31</v>
      </c>
      <c r="P928" s="5">
        <f>[1]raw_orders!P928</f>
        <v>0.2</v>
      </c>
      <c r="Q928" t="str">
        <f>PROPER(TRIM([1]raw_orders!T928))</f>
        <v>Paid</v>
      </c>
      <c r="R928" t="str">
        <f>PROPER(TRIM([1]raw_orders!U928))</f>
        <v>Returned</v>
      </c>
      <c r="S928" s="5">
        <f>[1]raw_orders!S928</f>
        <v>9270.6</v>
      </c>
      <c r="T928" s="5">
        <f t="shared" si="112"/>
        <v>92.706000000000003</v>
      </c>
      <c r="U928" s="5">
        <f t="shared" si="113"/>
        <v>-3119268.62574</v>
      </c>
      <c r="V928" s="5">
        <f t="shared" si="114"/>
        <v>-3119268.8257400002</v>
      </c>
      <c r="W928" s="5">
        <f t="shared" si="115"/>
        <v>1.0000000641175943</v>
      </c>
      <c r="X928" s="5">
        <f t="shared" si="116"/>
        <v>7</v>
      </c>
      <c r="Y928" s="5">
        <f t="shared" si="117"/>
        <v>2</v>
      </c>
      <c r="Z928" s="5">
        <f t="shared" si="118"/>
        <v>2024</v>
      </c>
      <c r="AA928" t="str">
        <f t="shared" si="119"/>
        <v>Clean</v>
      </c>
    </row>
    <row r="929" spans="1:27" x14ac:dyDescent="0.3">
      <c r="A929" t="str">
        <f>[1]raw_orders!A929</f>
        <v>ORD-2025-10572</v>
      </c>
      <c r="B929" s="4">
        <f>IFERROR(DATEVALUE([1]raw_orders!B929), "Invalid Date")</f>
        <v>45698</v>
      </c>
      <c r="C929" s="4">
        <f>IFERROR(DATEVALUE([1]raw_orders!C929), "Invalid Date")</f>
        <v>45702</v>
      </c>
      <c r="D929" t="str">
        <f>[1]raw_orders!D929</f>
        <v>CUST-3425</v>
      </c>
      <c r="E929" t="str">
        <f>PROPER(TRIM([1]raw_orders!E929))</f>
        <v>Priya Menon</v>
      </c>
      <c r="F929" t="str">
        <f>PROPER(TRIM([1]raw_orders!F929))</f>
        <v>Small Business</v>
      </c>
      <c r="G929" t="str">
        <f>IF(TRIM([1]raw_orders!G929)="","Unknown",PROPER(TRIM([1]raw_orders!G929)))</f>
        <v>North</v>
      </c>
      <c r="H929" t="str">
        <f>PROPER(TRIM([1]raw_orders!H929))</f>
        <v>Uttar Pradesh</v>
      </c>
      <c r="I929" t="str">
        <f>PROPER(TRIM([1]raw_orders!I929))</f>
        <v>Noida</v>
      </c>
      <c r="J929" t="str">
        <f>PROPER(TRIM([1]raw_orders!J929))</f>
        <v>Technology</v>
      </c>
      <c r="K929" t="str">
        <f>PROPER(TRIM([1]raw_orders!K929))</f>
        <v>Phones</v>
      </c>
      <c r="L929" t="str">
        <f>[1]raw_orders!L929</f>
        <v>Prime Phones 895</v>
      </c>
      <c r="M929" t="str">
        <f>IF(TRIM([1]raw_orders!M929)="","Unknown",PROPER(TRIM([1]raw_orders!M929)))</f>
        <v>Unknown</v>
      </c>
      <c r="N929" s="5">
        <f>[1]raw_orders!N929</f>
        <v>5</v>
      </c>
      <c r="O929" s="5">
        <f>[1]raw_orders!O929</f>
        <v>4276.29</v>
      </c>
      <c r="P929" s="5">
        <f>[1]raw_orders!P929</f>
        <v>0</v>
      </c>
      <c r="Q929" t="str">
        <f>PROPER(TRIM([1]raw_orders!T929))</f>
        <v>Failed</v>
      </c>
      <c r="R929" t="str">
        <f>PROPER(TRIM([1]raw_orders!U929))</f>
        <v>Completed</v>
      </c>
      <c r="S929" s="5">
        <f>[1]raw_orders!S929</f>
        <v>8141.24</v>
      </c>
      <c r="T929" s="5">
        <f t="shared" si="112"/>
        <v>81.412399999999991</v>
      </c>
      <c r="U929" s="5">
        <f t="shared" si="113"/>
        <v>-1719333.7099799998</v>
      </c>
      <c r="V929" s="5">
        <f t="shared" si="114"/>
        <v>-1719333.7099799998</v>
      </c>
      <c r="W929" s="5">
        <f t="shared" si="115"/>
        <v>1</v>
      </c>
      <c r="X929" s="5">
        <f t="shared" si="116"/>
        <v>4</v>
      </c>
      <c r="Y929" s="5">
        <f t="shared" si="117"/>
        <v>2</v>
      </c>
      <c r="Z929" s="5">
        <f t="shared" si="118"/>
        <v>2025</v>
      </c>
      <c r="AA929" t="str">
        <f t="shared" si="119"/>
        <v>Warning</v>
      </c>
    </row>
    <row r="930" spans="1:27" x14ac:dyDescent="0.3">
      <c r="A930" t="str">
        <f>[1]raw_orders!A930</f>
        <v>ORD-2024-10143</v>
      </c>
      <c r="B930" s="4">
        <f>IFERROR(DATEVALUE([1]raw_orders!B930), "Invalid Date")</f>
        <v>45381</v>
      </c>
      <c r="C930" s="4">
        <f>IFERROR(DATEVALUE([1]raw_orders!C930), "Invalid Date")</f>
        <v>45377</v>
      </c>
      <c r="D930" t="str">
        <f>[1]raw_orders!D930</f>
        <v>CUST-8944</v>
      </c>
      <c r="E930" t="str">
        <f>PROPER(TRIM([1]raw_orders!E930))</f>
        <v>Aditi Sen</v>
      </c>
      <c r="F930" t="str">
        <f>PROPER(TRIM([1]raw_orders!F930))</f>
        <v>Home Office</v>
      </c>
      <c r="G930" t="str">
        <f>IF(TRIM([1]raw_orders!G930)="","Unknown",PROPER(TRIM([1]raw_orders!G930)))</f>
        <v>North</v>
      </c>
      <c r="H930" t="str">
        <f>PROPER(TRIM([1]raw_orders!H930))</f>
        <v>Rajasthan</v>
      </c>
      <c r="I930" t="str">
        <f>PROPER(TRIM([1]raw_orders!I930))</f>
        <v>Jaipur</v>
      </c>
      <c r="J930" t="str">
        <f>PROPER(TRIM([1]raw_orders!J930))</f>
        <v>Technology</v>
      </c>
      <c r="K930" t="str">
        <f>PROPER(TRIM([1]raw_orders!K930))</f>
        <v>Phones</v>
      </c>
      <c r="L930" t="str">
        <f>[1]raw_orders!L930</f>
        <v>Classic Phones 142</v>
      </c>
      <c r="M930" t="str">
        <f>IF(TRIM([1]raw_orders!M930)="","Unknown",PROPER(TRIM([1]raw_orders!M930)))</f>
        <v>Second Class</v>
      </c>
      <c r="N930" s="5">
        <f>[1]raw_orders!N930</f>
        <v>5</v>
      </c>
      <c r="O930" s="5">
        <f>[1]raw_orders!O930</f>
        <v>907.54</v>
      </c>
      <c r="P930" s="5">
        <f>[1]raw_orders!P930</f>
        <v>0.15</v>
      </c>
      <c r="Q930" t="str">
        <f>PROPER(TRIM([1]raw_orders!T930))</f>
        <v>Paid</v>
      </c>
      <c r="R930" t="str">
        <f>PROPER(TRIM([1]raw_orders!U930))</f>
        <v>Returned</v>
      </c>
      <c r="S930" s="5">
        <f>[1]raw_orders!S930</f>
        <v>1087.78</v>
      </c>
      <c r="T930" s="5">
        <f t="shared" si="112"/>
        <v>10.877800000000001</v>
      </c>
      <c r="U930" s="5">
        <f t="shared" si="113"/>
        <v>-44822.493060000001</v>
      </c>
      <c r="V930" s="5">
        <f t="shared" si="114"/>
        <v>-44822.643060000002</v>
      </c>
      <c r="W930" s="5">
        <f t="shared" si="115"/>
        <v>1.0000033465340672</v>
      </c>
      <c r="X930" s="5">
        <f t="shared" si="116"/>
        <v>-4</v>
      </c>
      <c r="Y930" s="5">
        <f t="shared" si="117"/>
        <v>3</v>
      </c>
      <c r="Z930" s="5">
        <f t="shared" si="118"/>
        <v>2024</v>
      </c>
      <c r="AA930" t="str">
        <f t="shared" si="119"/>
        <v>Invalid</v>
      </c>
    </row>
    <row r="931" spans="1:27" x14ac:dyDescent="0.3">
      <c r="A931" t="str">
        <f>[1]raw_orders!A931</f>
        <v>ORD-2024-10273</v>
      </c>
      <c r="B931" s="4" t="str">
        <f>IFERROR(DATEVALUE([1]raw_orders!B931), "Invalid Date")</f>
        <v>Invalid Date</v>
      </c>
      <c r="C931" s="4">
        <f>IFERROR(DATEVALUE([1]raw_orders!C931), "Invalid Date")</f>
        <v>45528</v>
      </c>
      <c r="D931" t="str">
        <f>[1]raw_orders!D931</f>
        <v>CUST-7389</v>
      </c>
      <c r="E931" t="str">
        <f>PROPER(TRIM([1]raw_orders!E931))</f>
        <v>Arjun Bose</v>
      </c>
      <c r="F931" t="str">
        <f>PROPER(TRIM([1]raw_orders!F931))</f>
        <v>Consumer</v>
      </c>
      <c r="G931" t="str">
        <f>IF(TRIM([1]raw_orders!G931)="","Unknown",PROPER(TRIM([1]raw_orders!G931)))</f>
        <v>South</v>
      </c>
      <c r="H931" t="str">
        <f>PROPER(TRIM([1]raw_orders!H931))</f>
        <v>Andhra Pradesh</v>
      </c>
      <c r="I931" t="str">
        <f>PROPER(TRIM([1]raw_orders!I931))</f>
        <v>Vijayawada</v>
      </c>
      <c r="J931" t="str">
        <f>PROPER(TRIM([1]raw_orders!J931))</f>
        <v>Furniture</v>
      </c>
      <c r="K931" t="str">
        <f>PROPER(TRIM([1]raw_orders!K931))</f>
        <v>Chairs</v>
      </c>
      <c r="L931" t="str">
        <f>[1]raw_orders!L931</f>
        <v>Eco Chairs 314</v>
      </c>
      <c r="M931" t="str">
        <f>IF(TRIM([1]raw_orders!M931)="","Unknown",PROPER(TRIM([1]raw_orders!M931)))</f>
        <v>First Class</v>
      </c>
      <c r="N931" s="5">
        <f>[1]raw_orders!N931</f>
        <v>7</v>
      </c>
      <c r="O931" s="5">
        <f>[1]raw_orders!O931</f>
        <v>557.21</v>
      </c>
      <c r="P931" s="5">
        <f>[1]raw_orders!P931</f>
        <v>0.1</v>
      </c>
      <c r="Q931" t="str">
        <f>PROPER(TRIM([1]raw_orders!T931))</f>
        <v>Paid</v>
      </c>
      <c r="R931" t="str">
        <f>PROPER(TRIM([1]raw_orders!U931))</f>
        <v>Returned</v>
      </c>
      <c r="S931" s="5">
        <f>[1]raw_orders!S931</f>
        <v>1213.48</v>
      </c>
      <c r="T931" s="5">
        <f t="shared" si="112"/>
        <v>12.1348</v>
      </c>
      <c r="U931" s="5">
        <f t="shared" si="113"/>
        <v>-43430.953356000005</v>
      </c>
      <c r="V931" s="5">
        <f t="shared" si="114"/>
        <v>-43431.053356000004</v>
      </c>
      <c r="W931" s="5">
        <f t="shared" si="115"/>
        <v>1.0000023025052933</v>
      </c>
      <c r="X931" s="5" t="str">
        <f t="shared" si="116"/>
        <v>Invalid Date</v>
      </c>
      <c r="Y931" s="5" t="e">
        <f t="shared" si="117"/>
        <v>#VALUE!</v>
      </c>
      <c r="Z931" s="5" t="e">
        <f t="shared" si="118"/>
        <v>#VALUE!</v>
      </c>
      <c r="AA931" t="str">
        <f t="shared" si="119"/>
        <v>Clean</v>
      </c>
    </row>
    <row r="932" spans="1:27" x14ac:dyDescent="0.3">
      <c r="A932" t="str">
        <f>[1]raw_orders!A932</f>
        <v>ORD-2024-10124</v>
      </c>
      <c r="B932" s="4" t="str">
        <f>IFERROR(DATEVALUE([1]raw_orders!B932), "Invalid Date")</f>
        <v>Invalid Date</v>
      </c>
      <c r="C932" s="4">
        <f>IFERROR(DATEVALUE([1]raw_orders!C932), "Invalid Date")</f>
        <v>45437</v>
      </c>
      <c r="D932" t="str">
        <f>[1]raw_orders!D932</f>
        <v>CUST-1007</v>
      </c>
      <c r="E932" t="str">
        <f>PROPER(TRIM([1]raw_orders!E932))</f>
        <v>Sneha Kapoor</v>
      </c>
      <c r="F932" t="str">
        <f>PROPER(TRIM([1]raw_orders!F932))</f>
        <v>Small Business</v>
      </c>
      <c r="G932" t="str">
        <f>IF(TRIM([1]raw_orders!G932)="","Unknown",PROPER(TRIM([1]raw_orders!G932)))</f>
        <v>North</v>
      </c>
      <c r="H932" t="str">
        <f>PROPER(TRIM([1]raw_orders!H932))</f>
        <v>Punjab</v>
      </c>
      <c r="I932" t="str">
        <f>PROPER(TRIM([1]raw_orders!I932))</f>
        <v>Ludhiana</v>
      </c>
      <c r="J932" t="str">
        <f>PROPER(TRIM([1]raw_orders!J932))</f>
        <v>Technology</v>
      </c>
      <c r="K932" t="str">
        <f>PROPER(TRIM([1]raw_orders!K932))</f>
        <v>Copiers</v>
      </c>
      <c r="L932" t="str">
        <f>[1]raw_orders!L932</f>
        <v>Max Copiers 970</v>
      </c>
      <c r="M932" t="str">
        <f>IF(TRIM([1]raw_orders!M932)="","Unknown",PROPER(TRIM([1]raw_orders!M932)))</f>
        <v>Same Day</v>
      </c>
      <c r="N932" s="5">
        <f>[1]raw_orders!N932</f>
        <v>1</v>
      </c>
      <c r="O932" s="5">
        <f>[1]raw_orders!O932</f>
        <v>634.13</v>
      </c>
      <c r="P932" s="5">
        <f>[1]raw_orders!P932</f>
        <v>0</v>
      </c>
      <c r="Q932" t="str">
        <f>PROPER(TRIM([1]raw_orders!T932))</f>
        <v>Refunded</v>
      </c>
      <c r="R932" t="str">
        <f>PROPER(TRIM([1]raw_orders!U932))</f>
        <v>Returned</v>
      </c>
      <c r="S932" s="5">
        <f>[1]raw_orders!S932</f>
        <v>180.78</v>
      </c>
      <c r="T932" s="5">
        <f t="shared" si="112"/>
        <v>1.8078000000000001</v>
      </c>
      <c r="U932" s="5">
        <f t="shared" si="113"/>
        <v>-512.25021400000003</v>
      </c>
      <c r="V932" s="5">
        <f t="shared" si="114"/>
        <v>-512.25021400000003</v>
      </c>
      <c r="W932" s="5">
        <f t="shared" si="115"/>
        <v>1</v>
      </c>
      <c r="X932" s="5" t="str">
        <f t="shared" si="116"/>
        <v>Invalid Date</v>
      </c>
      <c r="Y932" s="5" t="e">
        <f t="shared" si="117"/>
        <v>#VALUE!</v>
      </c>
      <c r="Z932" s="5" t="e">
        <f t="shared" si="118"/>
        <v>#VALUE!</v>
      </c>
      <c r="AA932" t="str">
        <f t="shared" si="119"/>
        <v>Clean</v>
      </c>
    </row>
    <row r="933" spans="1:27" x14ac:dyDescent="0.3">
      <c r="A933" t="str">
        <f>[1]raw_orders!A933</f>
        <v>ORD-2025-10336</v>
      </c>
      <c r="B933" s="4" t="str">
        <f>IFERROR(DATEVALUE([1]raw_orders!B933), "Invalid Date")</f>
        <v>Invalid Date</v>
      </c>
      <c r="C933" s="4">
        <f>IFERROR(DATEVALUE([1]raw_orders!C933), "Invalid Date")</f>
        <v>45826</v>
      </c>
      <c r="D933" t="str">
        <f>[1]raw_orders!D933</f>
        <v>CUST-3621</v>
      </c>
      <c r="E933" t="str">
        <f>PROPER(TRIM([1]raw_orders!E933))</f>
        <v>Rahul Verma</v>
      </c>
      <c r="F933" t="str">
        <f>PROPER(TRIM([1]raw_orders!F933))</f>
        <v>Home Office</v>
      </c>
      <c r="G933" t="str">
        <f>IF(TRIM([1]raw_orders!G933)="","Unknown",PROPER(TRIM([1]raw_orders!G933)))</f>
        <v>West</v>
      </c>
      <c r="H933" t="str">
        <f>PROPER(TRIM([1]raw_orders!H933))</f>
        <v>Madhya Pradesh</v>
      </c>
      <c r="I933" t="str">
        <f>PROPER(TRIM([1]raw_orders!I933))</f>
        <v>Indore</v>
      </c>
      <c r="J933" t="str">
        <f>PROPER(TRIM([1]raw_orders!J933))</f>
        <v>Office Supplies</v>
      </c>
      <c r="K933" t="str">
        <f>PROPER(TRIM([1]raw_orders!K933))</f>
        <v>Paper</v>
      </c>
      <c r="L933" t="str">
        <f>[1]raw_orders!L933</f>
        <v>Prime Paper 559</v>
      </c>
      <c r="M933" t="str">
        <f>IF(TRIM([1]raw_orders!M933)="","Unknown",PROPER(TRIM([1]raw_orders!M933)))</f>
        <v>First Class</v>
      </c>
      <c r="N933" s="5">
        <f>[1]raw_orders!N933</f>
        <v>3</v>
      </c>
      <c r="O933" s="5">
        <f>[1]raw_orders!O933</f>
        <v>4289.37</v>
      </c>
      <c r="P933" s="5">
        <f>[1]raw_orders!P933</f>
        <v>0.1</v>
      </c>
      <c r="Q933" t="str">
        <f>PROPER(TRIM([1]raw_orders!T933))</f>
        <v>Paid</v>
      </c>
      <c r="R933" t="str">
        <f>PROPER(TRIM([1]raw_orders!U933))</f>
        <v>Returned</v>
      </c>
      <c r="S933" s="5">
        <f>[1]raw_orders!S933</f>
        <v>4751.87</v>
      </c>
      <c r="T933" s="5">
        <f t="shared" si="112"/>
        <v>47.518699999999995</v>
      </c>
      <c r="U933" s="5">
        <f t="shared" si="113"/>
        <v>-598607.74865700002</v>
      </c>
      <c r="V933" s="5">
        <f t="shared" si="114"/>
        <v>-598607.848657</v>
      </c>
      <c r="W933" s="5">
        <f t="shared" si="115"/>
        <v>1.0000001670543026</v>
      </c>
      <c r="X933" s="5" t="str">
        <f t="shared" si="116"/>
        <v>Invalid Date</v>
      </c>
      <c r="Y933" s="5" t="e">
        <f t="shared" si="117"/>
        <v>#VALUE!</v>
      </c>
      <c r="Z933" s="5" t="e">
        <f t="shared" si="118"/>
        <v>#VALUE!</v>
      </c>
      <c r="AA933" t="str">
        <f t="shared" si="119"/>
        <v>Clean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881C9-CBBC-4DC2-95BA-B7C6BBAAD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Prathamvir Singh</dc:creator>
  <cp:lastModifiedBy>Prathamvir Singh</cp:lastModifiedBy>
  <dcterms:created xsi:type="dcterms:W3CDTF">2026-06-26T12:38:07Z</dcterms:created>
  <dcterms:modified xsi:type="dcterms:W3CDTF">2026-06-26T13:50:11Z</dcterms:modified>
</cp:coreProperties>
</file>